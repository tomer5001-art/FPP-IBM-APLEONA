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Instructions" sheetId="1" state="visible" r:id="rId3"/>
    <sheet name="Dashboard" sheetId="2" state="visible" r:id="rId4"/>
    <sheet name="Tomer Cohen" sheetId="3" state="visible" r:id="rId5"/>
    <sheet name="Nir Ben Haim" sheetId="4" state="visible" r:id="rId6"/>
    <sheet name="Jonatan Ben Sudai" sheetId="5" state="visible" r:id="rId7"/>
    <sheet name="Monthly Report" sheetId="6" state="visible" r:id="rId8"/>
    <sheet name="Annual Report" sheetId="7" state="visible" r:id="rId9"/>
    <sheet name="Holidays" sheetId="8" state="visible" r:id="rId10"/>
    <sheet name="Employees" sheetId="9" state="visible" r:id="rId11"/>
    <sheet name="Settings" sheetId="10" state="visible" r:id="rId12"/>
    <sheet name="Lists" sheetId="11" state="hidden" r:id="rId13"/>
  </sheets>
  <definedNames>
    <definedName function="false" hidden="true" localSheetId="4" name="_xlnm._FilterDatabase" vbProcedure="false">'Jonatan Ben Sudai'!$A$6:$S$371</definedName>
    <definedName function="false" hidden="false" localSheetId="5" name="_xlnm.Print_Area" vbProcedure="false">'Monthly Report'!$A$1:$K$45</definedName>
    <definedName function="false" hidden="true" localSheetId="3" name="_xlnm._FilterDatabase" vbProcedure="false">'Nir Ben Haim'!$A$6:$S$371</definedName>
    <definedName function="false" hidden="true" localSheetId="2" name="_xlnm._FilterDatabase" vbProcedure="false">'Tomer Cohen'!$A$6:$S$371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<sst xmlns="http://schemas.openxmlformats.org/spreadsheetml/2006/main" count="310" uniqueCount="180">
  <si>
    <t xml:space="preserve">Attendance &amp; Vacation Tracker 2026</t>
  </si>
  <si>
    <t xml:space="preserve">Internal attendance, vacation and sick leave record. Calendar year 2026.</t>
  </si>
  <si>
    <t xml:space="preserve">How it works</t>
  </si>
  <si>
    <t xml:space="preserve">Sunday - Thursday</t>
  </si>
  <si>
    <t xml:space="preserve">Automatically Present from the default start to the default end time (08:00 - 16:30 = 8.5 hours). Nothing needs to be entered.</t>
  </si>
  <si>
    <t xml:space="preserve">Friday and Saturday</t>
  </si>
  <si>
    <t xml:space="preserve">No automatic hours. Enter Manual Work with start and end time if work was done. Saturday work is entered by the administrator only.</t>
  </si>
  <si>
    <t xml:space="preserve">Holidays</t>
  </si>
  <si>
    <t xml:space="preserve">No automatic work. Vacation and sick leave cannot be recorded on a holiday. Holidays are not counted as working days.</t>
  </si>
  <si>
    <t xml:space="preserve">Holiday eve</t>
  </si>
  <si>
    <t xml:space="preserve">Automatic work until 14:00. A full vacation day on a holiday eve counts as half a vacation day.</t>
  </si>
  <si>
    <t xml:space="preserve">Partial leave</t>
  </si>
  <si>
    <t xml:space="preserve">Day equivalent = leave hours / 8.5. Example: 4.25 hours = 0.50 day.</t>
  </si>
  <si>
    <t xml:space="preserve">What to fill in</t>
  </si>
  <si>
    <t xml:space="preserve">Yellow cells, blue text</t>
  </si>
  <si>
    <t xml:space="preserve">Input cells. Everything else is calculated and protected.</t>
  </si>
  <si>
    <t xml:space="preserve">Status</t>
  </si>
  <si>
    <t xml:space="preserve">Leave empty for an automatic day. Choose from the list only when the day is different.</t>
  </si>
  <si>
    <t xml:space="preserve">Start / End</t>
  </si>
  <si>
    <t xml:space="preserve">Working hours (hh:mm). Required for Manual Work. Optional for partial leave (the hours actually worked).</t>
  </si>
  <si>
    <t xml:space="preserve">Leave from / Leave to</t>
  </si>
  <si>
    <t xml:space="preserve">Required for Partial Vacation and Partial Sick Leave.</t>
  </si>
  <si>
    <t xml:space="preserve">Notes</t>
  </si>
  <si>
    <t xml:space="preserve">Optional, e.g. Doctor appointment, Annual vacation, Personal leave.</t>
  </si>
  <si>
    <t xml:space="preserve">Check column</t>
  </si>
  <si>
    <t xml:space="preserve">Shows a message when an entry is incomplete or not allowed. Such entries are not counted.</t>
  </si>
  <si>
    <t xml:space="preserve">Adding an employee</t>
  </si>
  <si>
    <t xml:space="preserve">Step 1</t>
  </si>
  <si>
    <t xml:space="preserve">Right-click an employee sheet tab &gt; Move or Copy &gt; Create a copy.</t>
  </si>
  <si>
    <t xml:space="preserve">Step 2</t>
  </si>
  <si>
    <t xml:space="preserve">Rename the new sheet to the employee full name, then clear the yellow input cells (columns E - J).</t>
  </si>
  <si>
    <t xml:space="preserve">Step 3</t>
  </si>
  <si>
    <t xml:space="preserve">Add the same name to the Employees sheet. The reports and the dashboard pick it up automatically.</t>
  </si>
  <si>
    <t xml:space="preserve">Sharing</t>
  </si>
  <si>
    <t xml:space="preserve">Recommended</t>
  </si>
  <si>
    <t xml:space="preserve">Keep the file on OneDrive or SharePoint so everyone edits the same copy. Version history there serves as the change log.</t>
  </si>
  <si>
    <t xml:space="preserve">Limitation</t>
  </si>
  <si>
    <t xml:space="preserve">Excel cannot restrict access per employee: everyone with access to the file can see and edit every sheet.</t>
  </si>
  <si>
    <t xml:space="preserve">Example entry</t>
  </si>
  <si>
    <t xml:space="preserve">Partial vacation</t>
  </si>
  <si>
    <t xml:space="preserve">Date</t>
  </si>
  <si>
    <t xml:space="preserve">Start</t>
  </si>
  <si>
    <t xml:space="preserve">End</t>
  </si>
  <si>
    <t xml:space="preserve">Leave from</t>
  </si>
  <si>
    <t xml:space="preserve">Leave to</t>
  </si>
  <si>
    <t xml:space="preserve">Worked hours</t>
  </si>
  <si>
    <t xml:space="preserve">Vacation hours</t>
  </si>
  <si>
    <t xml:space="preserve">Vacation days</t>
  </si>
  <si>
    <t xml:space="preserve">Works 08:00-12:00, vacation 12:00-16:30</t>
  </si>
  <si>
    <t xml:space="preserve">Partial Vacation</t>
  </si>
  <si>
    <t xml:space="preserve">Doctor appointment</t>
  </si>
  <si>
    <t xml:space="preserve">Illustration only - the example is not part of any employee record.</t>
  </si>
  <si>
    <t xml:space="preserve">Dashboard 2026</t>
  </si>
  <si>
    <t xml:space="preserve">Vacation and sick leave usage per employee. Updates automatically.</t>
  </si>
  <si>
    <t xml:space="preserve">Current month</t>
  </si>
  <si>
    <t xml:space="preserve">Employee</t>
  </si>
  <si>
    <t xml:space="preserve">Vacation days 2026</t>
  </si>
  <si>
    <t xml:space="preserve">Vacation hours 2026</t>
  </si>
  <si>
    <t xml:space="preserve">Sick leave days 2026</t>
  </si>
  <si>
    <t xml:space="preserve">Sick leave hours 2026</t>
  </si>
  <si>
    <t xml:space="preserve">Days worked this month (to date)</t>
  </si>
  <si>
    <t xml:space="preserve">Working days this month</t>
  </si>
  <si>
    <t xml:space="preserve">Entries to check</t>
  </si>
  <si>
    <t xml:space="preserve">Total</t>
  </si>
  <si>
    <t xml:space="preserve">Vacation days by month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</si>
  <si>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</si>
  <si>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</si>
  <si>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</si>
  <si>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</si>
  <si>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</si>
  <si>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</si>
  <si>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</si>
  <si>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</si>
  <si>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</si>
  <si>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</si>
  <si>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</si>
  <si>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</si>
  <si>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Attendance 2026 - Tomer Cohen</t>
  </si>
  <si>
    <t xml:space="preserve">Fill in only the yellow cells, and only for days that differ from the automatic day.</t>
  </si>
  <si>
    <t xml:space="preserve">Sick leave days</t>
  </si>
  <si>
    <t xml:space="preserve">Sick leave hours</t>
  </si>
  <si>
    <t xml:space="preserve">Days worked</t>
  </si>
  <si>
    <t xml:space="preserve">Day</t>
  </si>
  <si>
    <t xml:space="preserve">Day type</t>
  </si>
  <si>
    <t xml:space="preserve">Holiday</t>
  </si>
  <si>
    <t xml:space="preserve">Status
(leave empty = automatic)</t>
  </si>
  <si>
    <t xml:space="preserve">Applied status</t>
  </si>
  <si>
    <t xml:space="preserve">Applied start</t>
  </si>
  <si>
    <t xml:space="preserve">Applied end</t>
  </si>
  <si>
    <t xml:space="preserve">Check</t>
  </si>
  <si>
    <t xml:space="preserve">Month</t>
  </si>
  <si>
    <t xml:space="preserve">Working day</t>
  </si>
  <si>
    <t xml:space="preserve">Day end</t>
  </si>
  <si>
    <t xml:space="preserve">Full day hours</t>
  </si>
  <si>
    <t xml:space="preserve">Attendance 2026 - Nir Ben Haim</t>
  </si>
  <si>
    <t xml:space="preserve">Attendance 2026 - Jonatan Ben Sudai</t>
  </si>
  <si>
    <t xml:space="preserve">Monthly Attendance Report</t>
  </si>
  <si>
    <t xml:space="preserve">Choose an employee and a month in the yellow cells.</t>
  </si>
  <si>
    <t xml:space="preserve">Nir Ben Haim</t>
  </si>
  <si>
    <t xml:space="preserve">January</t>
  </si>
  <si>
    <t xml:space="preserve">Total working hours</t>
  </si>
  <si>
    <t xml:space="preserve">Vacation day equivalent</t>
  </si>
  <si>
    <t xml:space="preserve">Sick day equivalent</t>
  </si>
  <si>
    <t xml:space="preserve">Monthly totals</t>
  </si>
  <si>
    <t xml:space="preserve">Total working days</t>
  </si>
  <si>
    <t xml:space="preserve">Total worked hours</t>
  </si>
  <si>
    <t xml:space="preserve">Total vacation days</t>
  </si>
  <si>
    <t xml:space="preserve">Total sick leave days</t>
  </si>
  <si>
    <t xml:space="preserve">Total vacation hours</t>
  </si>
  <si>
    <t xml:space="preserve">Total sick leave hours</t>
  </si>
  <si>
    <t xml:space="preserve">Annual Report 2026</t>
  </si>
  <si>
    <t xml:space="preserve">Per employee, 1 January - 31 December 2026.</t>
  </si>
  <si>
    <t xml:space="preserve">Total normal working days</t>
  </si>
  <si>
    <t xml:space="preserve">Holidays (Sun-Thu)</t>
  </si>
  <si>
    <t xml:space="preserve">Total days worked</t>
  </si>
  <si>
    <t xml:space="preserve">Total vacation days taken</t>
  </si>
  <si>
    <t xml:space="preserve">Total manual work days</t>
  </si>
  <si>
    <t xml:space="preserve">Holidays 2026</t>
  </si>
  <si>
    <t xml:space="preserve">Holiday: no work, no leave. Eve: short working day. Add rows below the list as needed.</t>
  </si>
  <si>
    <t xml:space="preserve">Type</t>
  </si>
  <si>
    <t xml:space="preserve">Erev Pesach</t>
  </si>
  <si>
    <t xml:space="preserve">Eve</t>
  </si>
  <si>
    <t xml:space="preserve">Pesach</t>
  </si>
  <si>
    <t xml:space="preserve">Erev Seventh Day of Pesach</t>
  </si>
  <si>
    <t xml:space="preserve">Seventh Day of Pesach</t>
  </si>
  <si>
    <t xml:space="preserve">Independence Day</t>
  </si>
  <si>
    <t xml:space="preserve">Erev Shavuot</t>
  </si>
  <si>
    <t xml:space="preserve">Shavuot</t>
  </si>
  <si>
    <t xml:space="preserve">Erev Rosh Hashana</t>
  </si>
  <si>
    <t xml:space="preserve">Rosh Hashana</t>
  </si>
  <si>
    <t xml:space="preserve">Rosh Hashana (second day)</t>
  </si>
  <si>
    <t xml:space="preserve">Erev Yom Kippur</t>
  </si>
  <si>
    <t xml:space="preserve">Yom Kippur</t>
  </si>
  <si>
    <t xml:space="preserve">Erev Sukkot</t>
  </si>
  <si>
    <t xml:space="preserve">Sukkot</t>
  </si>
  <si>
    <t xml:space="preserve">Erev Simchat Torah</t>
  </si>
  <si>
    <t xml:space="preserve">Simchat Torah</t>
  </si>
  <si>
    <t xml:space="preserve">Employees</t>
  </si>
  <si>
    <t xml:space="preserve">The name must match the employee sheet tab exactly.</t>
  </si>
  <si>
    <t xml:space="preserve">Role</t>
  </si>
  <si>
    <t xml:space="preserve">Active</t>
  </si>
  <si>
    <t xml:space="preserve">Tomer Cohen</t>
  </si>
  <si>
    <t xml:space="preserve">Administrator</t>
  </si>
  <si>
    <t xml:space="preserve">Yes</t>
  </si>
  <si>
    <t xml:space="preserve">Jonatan Ben Sudai</t>
  </si>
  <si>
    <t xml:space="preserve">Settings</t>
  </si>
  <si>
    <t xml:space="preserve">Administrator only. Changes apply to the whole year.</t>
  </si>
  <si>
    <t xml:space="preserve">Parameter</t>
  </si>
  <si>
    <t xml:space="preserve">Value</t>
  </si>
  <si>
    <t xml:space="preserve">Note</t>
  </si>
  <si>
    <t xml:space="preserve">Year</t>
  </si>
  <si>
    <t xml:space="preserve">Fixed.</t>
  </si>
  <si>
    <t xml:space="preserve">Default start time</t>
  </si>
  <si>
    <t xml:space="preserve">Applied to every automatic working day.</t>
  </si>
  <si>
    <t xml:space="preserve">Default end time</t>
  </si>
  <si>
    <t xml:space="preserve">Holiday eve end time</t>
  </si>
  <si>
    <t xml:space="preserve">Working day ends at this time on a holiday eve.</t>
  </si>
  <si>
    <t xml:space="preserve">Normal working day (hours)</t>
  </si>
  <si>
    <t xml:space="preserve">Calculated. Basis for partial leave day equivalents.</t>
  </si>
  <si>
    <t xml:space="preserve">Holiday eve working day (hours)</t>
  </si>
  <si>
    <t xml:space="preserve">Calculated.</t>
  </si>
  <si>
    <t xml:space="preserve">Vacation day on a holiday eve (days)</t>
  </si>
  <si>
    <t xml:space="preserve">Company rule: a vacation day on a holiday eve counts as half a day.</t>
  </si>
  <si>
    <t xml:space="preserve">Present</t>
  </si>
  <si>
    <t xml:space="preserve">Vacation</t>
  </si>
  <si>
    <t xml:space="preserve">February</t>
  </si>
  <si>
    <t xml:space="preserve">No</t>
  </si>
  <si>
    <t xml:space="preserve">Sick Leave</t>
  </si>
  <si>
    <t xml:space="preserve">March</t>
  </si>
  <si>
    <t xml:space="preserve">April</t>
  </si>
  <si>
    <t xml:space="preserve">Partial Sick Leave</t>
  </si>
  <si>
    <t xml:space="preserve">Manual Work</t>
  </si>
  <si>
    <t xml:space="preserve">June</t>
  </si>
  <si>
    <t xml:space="preserve">No Work</t>
  </si>
  <si>
    <t xml:space="preserve">July</t>
  </si>
  <si>
    <t xml:space="preserve">August</t>
  </si>
  <si>
    <t xml:space="preserve">September</t>
  </si>
  <si>
    <t xml:space="preserve">October</t>
  </si>
  <si>
    <t xml:space="preserve">November</t>
  </si>
  <si>
    <t xml:space="preserve">December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</si>
</sst>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dd/mm/yyyy"/>
    <numFmt numFmtId="166" formatCode="hh:mm"/>
    <numFmt numFmtId="167" formatCode="#,##0.00;\(#,##0.00\);\-"/>
    <numFmt numFmtId="168" formatCode="&quot;As of &quot;dd/mm/yyyy"/>
    <numFmt numFmtId="169" formatCode="General"/>
    <numFmt numFmtId="170" formatCode="#,##0;\(#,##0\);\-"/>
    <numFmt numFmtId="171" formatCode="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FFFFFF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C00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D9E1F2"/>
        <bgColor rgb="FFE7E6E6"/>
      </patternFill>
    </fill>
    <fill>
      <patternFill patternType="solid">
        <fgColor rgb="FF1F3864"/>
        <bgColor rgb="FF333333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E7E6E6"/>
      </patternFill>
    </fill>
    <fill>
      <patternFill patternType="solid">
        <fgColor rgb="FF7F6000"/>
        <bgColor rgb="FF595959"/>
      </patternFill>
    </fill>
    <fill>
      <patternFill patternType="solid">
        <fgColor rgb="FF808080"/>
        <bgColor rgb="FF7F7F7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/>
      <right/>
      <top style="thin"/>
      <bottom style="double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6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6" fontId="9" fillId="4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4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9" fillId="4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1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67" fontId="9" fillId="4" borderId="1" xfId="0" applyFont="true" applyBorder="true" applyAlignment="true" applyProtection="true">
      <alignment horizontal="right" vertical="center" textRotation="0" wrapText="false" indent="0" shrinkToFit="false"/>
      <protection locked="fals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 patternType="solid">
          <fgColor rgb="FF1F3864"/>
          <bgColor rgb="FF000000"/>
        </patternFill>
      </fill>
    </dxf>
    <dxf>
      <fill>
        <patternFill patternType="solid">
          <fgColor rgb="FFE7E6E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7F7F7F"/>
          <bgColor rgb="FF000000"/>
        </patternFill>
      </fill>
    </dxf>
    <dxf>
      <fill>
        <patternFill patternType="solid">
          <fgColor rgb="FFA6A6A6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8000"/>
          <bgColor rgb="FF000000"/>
        </patternFill>
      </fill>
    </dxf>
    <dxf>
      <fill>
        <patternFill patternType="solid">
          <fgColor rgb="FF7F6000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ont>
        <color rgb="FF7F7F7F"/>
      </font>
      <fill>
        <patternFill>
          <bgColor rgb="FFE7E6E6"/>
        </patternFill>
      </fill>
    </dxf>
    <dxf>
      <font>
        <color rgb="FFA6A6A6"/>
      </font>
    </dxf>
    <dxf>
      <font>
        <b val="1"/>
        <color rgb="FF1F3864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1F3864"/>
      <rgbColor rgb="FF7F7F7F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18"/>
    <col collapsed="false" customWidth="true" hidden="false" outlineLevel="0" max="6" min="5" style="0" width="9"/>
    <col collapsed="false" customWidth="true" hidden="false" outlineLevel="0" max="8" min="7" style="0" width="11"/>
    <col collapsed="false" customWidth="true" hidden="false" outlineLevel="0" max="9" min="9" style="0" width="20"/>
    <col collapsed="false" customWidth="true" hidden="false" outlineLevel="0" max="10" min="10" style="0" width="14"/>
    <col collapsed="false" customWidth="true" hidden="false" outlineLevel="0" max="11" min="11" style="0" width="15"/>
    <col collapsed="false" customWidth="true" hidden="false" outlineLevel="0" max="12" min="12" style="0" width="1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customFormat="false" ht="19.5" hidden="false" customHeight="true" outlineLevel="0" collapsed="false">
      <c r="A5" s="4" t="s">
        <v>3</v>
      </c>
      <c r="B5" s="5" t="s">
        <v>4</v>
      </c>
      <c r="C5" s="5"/>
      <c r="D5" s="5"/>
      <c r="E5" s="5"/>
      <c r="F5" s="5"/>
      <c r="G5" s="5"/>
      <c r="H5" s="5"/>
      <c r="I5" s="5"/>
      <c r="J5" s="5"/>
      <c r="K5" s="5"/>
      <c r="L5" s="5"/>
    </row>
    <row r="6" customFormat="false" ht="19.5" hidden="false" customHeight="true" outlineLevel="0" collapsed="false">
      <c r="A6" s="4" t="s">
        <v>5</v>
      </c>
      <c r="B6" s="5" t="s">
        <v>6</v>
      </c>
      <c r="C6" s="5"/>
      <c r="D6" s="5"/>
      <c r="E6" s="5"/>
      <c r="F6" s="5"/>
      <c r="G6" s="5"/>
      <c r="H6" s="5"/>
      <c r="I6" s="5"/>
      <c r="J6" s="5"/>
      <c r="K6" s="5"/>
      <c r="L6" s="5"/>
    </row>
    <row r="7" customFormat="false" ht="19.5" hidden="false" customHeight="true" outlineLevel="0" collapsed="false">
      <c r="A7" s="4" t="s">
        <v>7</v>
      </c>
      <c r="B7" s="5" t="s">
        <v>8</v>
      </c>
      <c r="C7" s="5"/>
      <c r="D7" s="5"/>
      <c r="E7" s="5"/>
      <c r="F7" s="5"/>
      <c r="G7" s="5"/>
      <c r="H7" s="5"/>
      <c r="I7" s="5"/>
      <c r="J7" s="5"/>
      <c r="K7" s="5"/>
      <c r="L7" s="5"/>
    </row>
    <row r="8" customFormat="false" ht="19.5" hidden="false" customHeight="true" outlineLevel="0" collapsed="false">
      <c r="A8" s="4" t="s">
        <v>9</v>
      </c>
      <c r="B8" s="5" t="s">
        <v>10</v>
      </c>
      <c r="C8" s="5"/>
      <c r="D8" s="5"/>
      <c r="E8" s="5"/>
      <c r="F8" s="5"/>
      <c r="G8" s="5"/>
      <c r="H8" s="5"/>
      <c r="I8" s="5"/>
      <c r="J8" s="5"/>
      <c r="K8" s="5"/>
      <c r="L8" s="5"/>
    </row>
    <row r="9" customFormat="false" ht="19.5" hidden="false" customHeight="true" outlineLevel="0" collapsed="false">
      <c r="A9" s="4" t="s">
        <v>11</v>
      </c>
      <c r="B9" s="5" t="s">
        <v>12</v>
      </c>
      <c r="C9" s="5"/>
      <c r="D9" s="5"/>
      <c r="E9" s="5"/>
      <c r="F9" s="5"/>
      <c r="G9" s="5"/>
      <c r="H9" s="5"/>
      <c r="I9" s="5"/>
      <c r="J9" s="5"/>
      <c r="K9" s="5"/>
      <c r="L9" s="5"/>
    </row>
    <row r="11" customFormat="false" ht="15" hidden="false" customHeight="false" outlineLevel="0" collapsed="false">
      <c r="A11" s="3" t="s">
        <v>13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customFormat="false" ht="19.5" hidden="false" customHeight="true" outlineLevel="0" collapsed="false">
      <c r="A12" s="4" t="s">
        <v>14</v>
      </c>
      <c r="B12" s="5" t="s">
        <v>15</v>
      </c>
      <c r="C12" s="5"/>
      <c r="D12" s="5"/>
      <c r="E12" s="5"/>
      <c r="F12" s="5"/>
      <c r="G12" s="5"/>
      <c r="H12" s="5"/>
      <c r="I12" s="5"/>
      <c r="J12" s="5"/>
      <c r="K12" s="5"/>
      <c r="L12" s="5"/>
    </row>
    <row r="13" customFormat="false" ht="19.5" hidden="false" customHeight="true" outlineLevel="0" collapsed="false">
      <c r="A13" s="4" t="s">
        <v>16</v>
      </c>
      <c r="B13" s="5" t="s">
        <v>17</v>
      </c>
      <c r="C13" s="5"/>
      <c r="D13" s="5"/>
      <c r="E13" s="5"/>
      <c r="F13" s="5"/>
      <c r="G13" s="5"/>
      <c r="H13" s="5"/>
      <c r="I13" s="5"/>
      <c r="J13" s="5"/>
      <c r="K13" s="5"/>
      <c r="L13" s="5"/>
    </row>
    <row r="14" customFormat="false" ht="19.5" hidden="false" customHeight="true" outlineLevel="0" collapsed="false">
      <c r="A14" s="4" t="s">
        <v>18</v>
      </c>
      <c r="B14" s="5" t="s">
        <v>19</v>
      </c>
      <c r="C14" s="5"/>
      <c r="D14" s="5"/>
      <c r="E14" s="5"/>
      <c r="F14" s="5"/>
      <c r="G14" s="5"/>
      <c r="H14" s="5"/>
      <c r="I14" s="5"/>
      <c r="J14" s="5"/>
      <c r="K14" s="5"/>
      <c r="L14" s="5"/>
    </row>
    <row r="15" customFormat="false" ht="19.5" hidden="false" customHeight="true" outlineLevel="0" collapsed="false">
      <c r="A15" s="4" t="s">
        <v>20</v>
      </c>
      <c r="B15" s="5" t="s">
        <v>21</v>
      </c>
      <c r="C15" s="5"/>
      <c r="D15" s="5"/>
      <c r="E15" s="5"/>
      <c r="F15" s="5"/>
      <c r="G15" s="5"/>
      <c r="H15" s="5"/>
      <c r="I15" s="5"/>
      <c r="J15" s="5"/>
      <c r="K15" s="5"/>
      <c r="L15" s="5"/>
    </row>
    <row r="16" customFormat="false" ht="19.5" hidden="false" customHeight="true" outlineLevel="0" collapsed="false">
      <c r="A16" s="4" t="s">
        <v>22</v>
      </c>
      <c r="B16" s="5" t="s">
        <v>23</v>
      </c>
      <c r="C16" s="5"/>
      <c r="D16" s="5"/>
      <c r="E16" s="5"/>
      <c r="F16" s="5"/>
      <c r="G16" s="5"/>
      <c r="H16" s="5"/>
      <c r="I16" s="5"/>
      <c r="J16" s="5"/>
      <c r="K16" s="5"/>
      <c r="L16" s="5"/>
    </row>
    <row r="17" customFormat="false" ht="19.5" hidden="false" customHeight="true" outlineLevel="0" collapsed="false">
      <c r="A17" s="4" t="s">
        <v>24</v>
      </c>
      <c r="B17" s="5" t="s">
        <v>25</v>
      </c>
      <c r="C17" s="5"/>
      <c r="D17" s="5"/>
      <c r="E17" s="5"/>
      <c r="F17" s="5"/>
      <c r="G17" s="5"/>
      <c r="H17" s="5"/>
      <c r="I17" s="5"/>
      <c r="J17" s="5"/>
      <c r="K17" s="5"/>
      <c r="L17" s="5"/>
    </row>
    <row r="19" customFormat="false" ht="15" hidden="false" customHeight="false" outlineLevel="0" collapsed="false">
      <c r="A19" s="3" t="s">
        <v>26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customFormat="false" ht="19.5" hidden="false" customHeight="true" outlineLevel="0" collapsed="false">
      <c r="A20" s="4" t="s">
        <v>27</v>
      </c>
      <c r="B20" s="5" t="s">
        <v>28</v>
      </c>
      <c r="C20" s="5"/>
      <c r="D20" s="5"/>
      <c r="E20" s="5"/>
      <c r="F20" s="5"/>
      <c r="G20" s="5"/>
      <c r="H20" s="5"/>
      <c r="I20" s="5"/>
      <c r="J20" s="5"/>
      <c r="K20" s="5"/>
      <c r="L20" s="5"/>
    </row>
    <row r="21" customFormat="false" ht="19.5" hidden="false" customHeight="true" outlineLevel="0" collapsed="false">
      <c r="A21" s="4" t="s">
        <v>29</v>
      </c>
      <c r="B21" s="5" t="s">
        <v>30</v>
      </c>
      <c r="C21" s="5"/>
      <c r="D21" s="5"/>
      <c r="E21" s="5"/>
      <c r="F21" s="5"/>
      <c r="G21" s="5"/>
      <c r="H21" s="5"/>
      <c r="I21" s="5"/>
      <c r="J21" s="5"/>
      <c r="K21" s="5"/>
      <c r="L21" s="5"/>
    </row>
    <row r="22" customFormat="false" ht="19.5" hidden="false" customHeight="true" outlineLevel="0" collapsed="false">
      <c r="A22" s="4" t="s">
        <v>31</v>
      </c>
      <c r="B22" s="5" t="s">
        <v>32</v>
      </c>
      <c r="C22" s="5"/>
      <c r="D22" s="5"/>
      <c r="E22" s="5"/>
      <c r="F22" s="5"/>
      <c r="G22" s="5"/>
      <c r="H22" s="5"/>
      <c r="I22" s="5"/>
      <c r="J22" s="5"/>
      <c r="K22" s="5"/>
      <c r="L22" s="5"/>
    </row>
    <row r="24" customFormat="false" ht="15" hidden="false" customHeight="false" outlineLevel="0" collapsed="false">
      <c r="A24" s="3" t="s">
        <v>33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customFormat="false" ht="19.5" hidden="false" customHeight="true" outlineLevel="0" collapsed="false">
      <c r="A25" s="4" t="s">
        <v>34</v>
      </c>
      <c r="B25" s="5" t="s">
        <v>35</v>
      </c>
      <c r="C25" s="5"/>
      <c r="D25" s="5"/>
      <c r="E25" s="5"/>
      <c r="F25" s="5"/>
      <c r="G25" s="5"/>
      <c r="H25" s="5"/>
      <c r="I25" s="5"/>
      <c r="J25" s="5"/>
      <c r="K25" s="5"/>
      <c r="L25" s="5"/>
    </row>
    <row r="26" customFormat="false" ht="19.5" hidden="false" customHeight="true" outlineLevel="0" collapsed="false">
      <c r="A26" s="4" t="s">
        <v>36</v>
      </c>
      <c r="B26" s="5" t="s">
        <v>37</v>
      </c>
      <c r="C26" s="5"/>
      <c r="D26" s="5"/>
      <c r="E26" s="5"/>
      <c r="F26" s="5"/>
      <c r="G26" s="5"/>
      <c r="H26" s="5"/>
      <c r="I26" s="5"/>
      <c r="J26" s="5"/>
      <c r="K26" s="5"/>
      <c r="L26" s="5"/>
    </row>
    <row r="28" customFormat="false" ht="15" hidden="false" customHeight="false" outlineLevel="0" collapsed="false">
      <c r="A28" s="6" t="s">
        <v>38</v>
      </c>
      <c r="B28" s="7"/>
    </row>
    <row r="29" customFormat="false" ht="15" hidden="false" customHeight="false" outlineLevel="0" collapsed="false">
      <c r="A29" s="8" t="s">
        <v>39</v>
      </c>
      <c r="C29" s="9" t="s">
        <v>40</v>
      </c>
      <c r="D29" s="9" t="s">
        <v>16</v>
      </c>
      <c r="E29" s="9" t="s">
        <v>41</v>
      </c>
      <c r="F29" s="9" t="s">
        <v>42</v>
      </c>
      <c r="G29" s="9" t="s">
        <v>43</v>
      </c>
      <c r="H29" s="9" t="s">
        <v>44</v>
      </c>
      <c r="I29" s="9" t="s">
        <v>22</v>
      </c>
      <c r="J29" s="9" t="s">
        <v>45</v>
      </c>
      <c r="K29" s="9" t="s">
        <v>46</v>
      </c>
      <c r="L29" s="9" t="s">
        <v>47</v>
      </c>
    </row>
    <row r="30" customFormat="false" ht="15" hidden="false" customHeight="false" outlineLevel="0" collapsed="false">
      <c r="A30" s="10" t="s">
        <v>48</v>
      </c>
      <c r="C30" s="11" t="n">
        <v>46027</v>
      </c>
      <c r="D30" s="12" t="s">
        <v>49</v>
      </c>
      <c r="E30" s="13" t="n">
        <v>0.333333333333333</v>
      </c>
      <c r="F30" s="13" t="n">
        <v>0.5</v>
      </c>
      <c r="G30" s="13" t="n">
        <v>0.5</v>
      </c>
      <c r="H30" s="13" t="n">
        <v>0.6875</v>
      </c>
      <c r="I30" s="12" t="s">
        <v>50</v>
      </c>
      <c r="J30" s="14" t="n">
        <f aca="false">(F30-E30)*24</f>
        <v>4</v>
      </c>
      <c r="K30" s="14" t="n">
        <f aca="false">(H30-G30)*24</f>
        <v>4.5</v>
      </c>
      <c r="L30" s="14" t="n">
        <f aca="false">K30/Settings!$B$9</f>
        <v>0.529411764705882</v>
      </c>
    </row>
    <row r="31" customFormat="false" ht="15" hidden="false" customHeight="false" outlineLevel="0" collapsed="false">
      <c r="A31" s="2" t="s">
        <v>51</v>
      </c>
    </row>
  </sheetData>
  <sheetProtection sheet="true" formatColumns="false" formatRows="false" sort="false" autoFilter="false"/>
  <mergeCells count="20">
    <mergeCell ref="A4:L4"/>
    <mergeCell ref="B5:L5"/>
    <mergeCell ref="B6:L6"/>
    <mergeCell ref="B7:L7"/>
    <mergeCell ref="B8:L8"/>
    <mergeCell ref="B9:L9"/>
    <mergeCell ref="A11:L11"/>
    <mergeCell ref="B12:L12"/>
    <mergeCell ref="B13:L13"/>
    <mergeCell ref="B14:L14"/>
    <mergeCell ref="B15:L15"/>
    <mergeCell ref="B16:L16"/>
    <mergeCell ref="B17:L17"/>
    <mergeCell ref="A19:L19"/>
    <mergeCell ref="B20:L20"/>
    <mergeCell ref="B21:L21"/>
    <mergeCell ref="B22:L22"/>
    <mergeCell ref="A24:L24"/>
    <mergeCell ref="B25:L25"/>
    <mergeCell ref="B26:L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5" min="2" style="0" width="12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13" min="9" style="0" width="9"/>
    <col collapsed="false" customWidth="true" hidden="false" outlineLevel="0" max="14" min="14" style="0" width="10"/>
  </cols>
  <sheetData>
    <row r="1" customFormat="false" ht="17.35" hidden="false" customHeight="false" outlineLevel="0" collapsed="false">
      <c r="A1" s="1" t="s">
        <v>52</v>
      </c>
    </row>
    <row r="2" customFormat="false" ht="15" hidden="false" customHeight="false" outlineLevel="0" collapsed="false">
      <c r="A2" s="2" t="s">
        <v>53</v>
      </c>
    </row>
    <row r="3" customFormat="false" ht="15" hidden="false" customHeight="false" outlineLevel="0" collapsed="false">
      <c r="A3" s="8" t="s">
        <v>54</v>
      </c>
      <c r="B3" s="8" t="str">
        <f aca="false">INDEX(Lists!$B$1:$B$12,J3)&amp;" 2026"</f>
        <v>October 2026</v>
      </c>
      <c r="D3" s="15" t="n">
        <f aca="true">IF(YEAR(TODAY())=2026,TODAY(),DATE(2026,12,31))</f>
        <v>46310</v>
      </c>
      <c r="E3" s="15"/>
      <c r="F3" s="15"/>
      <c r="J3" s="16" t="n">
        <f aca="true">IF(YEAR(TODAY())=2026,MONTH(TODAY()),IF(YEAR(TODAY())&lt;2026,1,12))</f>
        <v>10</v>
      </c>
    </row>
    <row r="5" customFormat="false" ht="42" hidden="false" customHeight="true" outlineLevel="0" collapsed="false">
      <c r="A5" s="17" t="s">
        <v>55</v>
      </c>
      <c r="B5" s="17" t="s">
        <v>56</v>
      </c>
      <c r="C5" s="17" t="s">
        <v>57</v>
      </c>
      <c r="D5" s="17" t="s">
        <v>58</v>
      </c>
      <c r="E5" s="17" t="s">
        <v>59</v>
      </c>
      <c r="F5" s="17" t="s">
        <v>60</v>
      </c>
      <c r="G5" s="17" t="s">
        <v>61</v>
      </c>
      <c r="H5" s="17" t="s">
        <v>62</v>
      </c>
    </row>
    <row r="6" customFormat="false" ht="15" hidden="false" customHeight="false" outlineLevel="0" collapsed="false">
      <c r="A6" s="18" t="str">
        <f aca="false">IF(Employees!A5="","",Employees!A5)</f>
        <v>Tomer Cohen</v>
      </c>
      <c r="B6" s="14" t="n">
        <f aca="true">IF($A6="","",IFERROR(SUM(INDIRECT("'"&amp;$A6&amp;"'!$Q$7:$Q$371")),"Sheet missing"))</f>
        <v>0</v>
      </c>
      <c r="C6" s="14" t="n">
        <f aca="true">IF($A6="","",IFERROR(SUM(INDIRECT("'"&amp;$A6&amp;"'!$O$7:$O$371")),"Sheet missing"))</f>
        <v>0</v>
      </c>
      <c r="D6" s="14" t="n">
        <f aca="true">IF($A6="","",IFERROR(SUM(INDIRECT("'"&amp;$A6&amp;"'!$R$7:$R$371")),"Sheet missing"))</f>
        <v>0</v>
      </c>
      <c r="E6" s="14" t="n">
        <f aca="true">IF($A6="","",IFERROR(SUM(INDIRECT("'"&amp;$A6&amp;"'!$P$7:$P$371")),"Sheet missing"))</f>
        <v>0</v>
      </c>
      <c r="F6" s="19" t="n">
        <f aca="true">IF($A6="","",IFERROR(COUNTIFS(INDIRECT("'"&amp;$A6&amp;"'!$T$7:$T$371"),$J$3,INDIRECT("'"&amp;$A6&amp;"'!$N$7:$N$371"),"&gt;0",INDIRECT("'"&amp;$A6&amp;"'!$A$7:$A$371"),"&lt;="&amp;$D$3),"Sheet missing"))</f>
        <v>11</v>
      </c>
      <c r="G6" s="19" t="n">
        <f aca="true">IF($A6="","",IFERROR(COUNTIFS(INDIRECT("'"&amp;$A6&amp;"'!$T$7:$T$371"),$J$3,INDIRECT("'"&amp;$A6&amp;"'!$U$7:$U$371"),TRUE()),"Sheet missing"))</f>
        <v>21</v>
      </c>
      <c r="H6" s="19" t="n">
        <f aca="true">IF($A6="","",IFERROR(COUNTIF(INDIRECT("'"&amp;$A6&amp;"'!$S$7:$S$371"),"?*"),"Sheet missing"))</f>
        <v>0</v>
      </c>
    </row>
    <row r="7" customFormat="false" ht="15" hidden="false" customHeight="false" outlineLevel="0" collapsed="false">
      <c r="A7" s="18" t="str">
        <f aca="false">IF(Employees!A6="","",Employees!A6)</f>
        <v>Nir Ben Haim</v>
      </c>
      <c r="B7" s="14" t="n">
        <f aca="true">IF($A7="","",IFERROR(SUM(INDIRECT("'"&amp;$A7&amp;"'!$Q$7:$Q$371")),"Sheet missing"))</f>
        <v>0</v>
      </c>
      <c r="C7" s="14" t="n">
        <f aca="true">IF($A7="","",IFERROR(SUM(INDIRECT("'"&amp;$A7&amp;"'!$O$7:$O$371")),"Sheet missing"))</f>
        <v>0</v>
      </c>
      <c r="D7" s="14" t="n">
        <f aca="true">IF($A7="","",IFERROR(SUM(INDIRECT("'"&amp;$A7&amp;"'!$R$7:$R$371")),"Sheet missing"))</f>
        <v>0</v>
      </c>
      <c r="E7" s="14" t="n">
        <f aca="true">IF($A7="","",IFERROR(SUM(INDIRECT("'"&amp;$A7&amp;"'!$P$7:$P$371")),"Sheet missing"))</f>
        <v>0</v>
      </c>
      <c r="F7" s="19" t="n">
        <f aca="true">IF($A7="","",IFERROR(COUNTIFS(INDIRECT("'"&amp;$A7&amp;"'!$T$7:$T$371"),$J$3,INDIRECT("'"&amp;$A7&amp;"'!$N$7:$N$371"),"&gt;0",INDIRECT("'"&amp;$A7&amp;"'!$A$7:$A$371"),"&lt;="&amp;$D$3),"Sheet missing"))</f>
        <v>11</v>
      </c>
      <c r="G7" s="19" t="n">
        <f aca="true">IF($A7="","",IFERROR(COUNTIFS(INDIRECT("'"&amp;$A7&amp;"'!$T$7:$T$371"),$J$3,INDIRECT("'"&amp;$A7&amp;"'!$U$7:$U$371"),TRUE()),"Sheet missing"))</f>
        <v>21</v>
      </c>
      <c r="H7" s="19" t="n">
        <f aca="true">IF($A7="","",IFERROR(COUNTIF(INDIRECT("'"&amp;$A7&amp;"'!$S$7:$S$371"),"?*"),"Sheet missing"))</f>
        <v>0</v>
      </c>
    </row>
    <row r="8" customFormat="false" ht="15" hidden="false" customHeight="false" outlineLevel="0" collapsed="false">
      <c r="A8" s="18" t="str">
        <f aca="false">IF(Employees!A7="","",Employees!A7)</f>
        <v>Jonatan Ben Sudai</v>
      </c>
      <c r="B8" s="14" t="n">
        <f aca="true">IF($A8="","",IFERROR(SUM(INDIRECT("'"&amp;$A8&amp;"'!$Q$7:$Q$371")),"Sheet missing"))</f>
        <v>0</v>
      </c>
      <c r="C8" s="14" t="n">
        <f aca="true">IF($A8="","",IFERROR(SUM(INDIRECT("'"&amp;$A8&amp;"'!$O$7:$O$371")),"Sheet missing"))</f>
        <v>0</v>
      </c>
      <c r="D8" s="14" t="n">
        <f aca="true">IF($A8="","",IFERROR(SUM(INDIRECT("'"&amp;$A8&amp;"'!$R$7:$R$371")),"Sheet missing"))</f>
        <v>0</v>
      </c>
      <c r="E8" s="14" t="n">
        <f aca="true">IF($A8="","",IFERROR(SUM(INDIRECT("'"&amp;$A8&amp;"'!$P$7:$P$371")),"Sheet missing"))</f>
        <v>0</v>
      </c>
      <c r="F8" s="19" t="n">
        <f aca="true">IF($A8="","",IFERROR(COUNTIFS(INDIRECT("'"&amp;$A8&amp;"'!$T$7:$T$371"),$J$3,INDIRECT("'"&amp;$A8&amp;"'!$N$7:$N$371"),"&gt;0",INDIRECT("'"&amp;$A8&amp;"'!$A$7:$A$371"),"&lt;="&amp;$D$3),"Sheet missing"))</f>
        <v>11</v>
      </c>
      <c r="G8" s="19" t="n">
        <f aca="true">IF($A8="","",IFERROR(COUNTIFS(INDIRECT("'"&amp;$A8&amp;"'!$T$7:$T$371"),$J$3,INDIRECT("'"&amp;$A8&amp;"'!$U$7:$U$371"),TRUE()),"Sheet missing"))</f>
        <v>21</v>
      </c>
      <c r="H8" s="19" t="n">
        <f aca="true">IF($A8="","",IFERROR(COUNTIF(INDIRECT("'"&amp;$A8&amp;"'!$S$7:$S$371"),"?*"),"Sheet missing"))</f>
        <v>0</v>
      </c>
    </row>
    <row r="9" customFormat="false" ht="15" hidden="false" customHeight="false" outlineLevel="0" collapsed="false">
      <c r="A9" s="18" t="str">
        <f aca="false">IF(Employees!A8="","",Employees!A8)</f>
        <v/>
      </c>
      <c r="B9" s="14" t="str">
        <f aca="true">IF($A9="","",IFERROR(SUM(INDIRECT("'"&amp;$A9&amp;"'!$Q$7:$Q$371")),"Sheet missing"))</f>
        <v/>
      </c>
      <c r="C9" s="14" t="str">
        <f aca="true">IF($A9="","",IFERROR(SUM(INDIRECT("'"&amp;$A9&amp;"'!$O$7:$O$371")),"Sheet missing"))</f>
        <v/>
      </c>
      <c r="D9" s="14" t="str">
        <f aca="true">IF($A9="","",IFERROR(SUM(INDIRECT("'"&amp;$A9&amp;"'!$R$7:$R$371")),"Sheet missing"))</f>
        <v/>
      </c>
      <c r="E9" s="14" t="str">
        <f aca="true">IF($A9="","",IFERROR(SUM(INDIRECT("'"&amp;$A9&amp;"'!$P$7:$P$371")),"Sheet missing"))</f>
        <v/>
      </c>
      <c r="F9" s="19" t="str">
        <f aca="true">IF($A9="","",IFERROR(COUNTIFS(INDIRECT("'"&amp;$A9&amp;"'!$T$7:$T$371"),$J$3,INDIRECT("'"&amp;$A9&amp;"'!$N$7:$N$371"),"&gt;0",INDIRECT("'"&amp;$A9&amp;"'!$A$7:$A$371"),"&lt;="&amp;$D$3),"Sheet missing"))</f>
        <v/>
      </c>
      <c r="G9" s="19" t="str">
        <f aca="true">IF($A9="","",IFERROR(COUNTIFS(INDIRECT("'"&amp;$A9&amp;"'!$T$7:$T$371"),$J$3,INDIRECT("'"&amp;$A9&amp;"'!$U$7:$U$371"),TRUE()),"Sheet missing"))</f>
        <v/>
      </c>
      <c r="H9" s="19" t="str">
        <f aca="true">IF($A9="","",IFERROR(COUNTIF(INDIRECT("'"&amp;$A9&amp;"'!$S$7:$S$371"),"?*"),"Sheet missing"))</f>
        <v/>
      </c>
    </row>
    <row r="10" customFormat="false" ht="15" hidden="false" customHeight="false" outlineLevel="0" collapsed="false">
      <c r="A10" s="18" t="str">
        <f aca="false">IF(Employees!A9="","",Employees!A9)</f>
        <v/>
      </c>
      <c r="B10" s="14" t="str">
        <f aca="true">IF($A10="","",IFERROR(SUM(INDIRECT("'"&amp;$A10&amp;"'!$Q$7:$Q$371")),"Sheet missing"))</f>
        <v/>
      </c>
      <c r="C10" s="14" t="str">
        <f aca="true">IF($A10="","",IFERROR(SUM(INDIRECT("'"&amp;$A10&amp;"'!$O$7:$O$371")),"Sheet missing"))</f>
        <v/>
      </c>
      <c r="D10" s="14" t="str">
        <f aca="true">IF($A10="","",IFERROR(SUM(INDIRECT("'"&amp;$A10&amp;"'!$R$7:$R$371")),"Sheet missing"))</f>
        <v/>
      </c>
      <c r="E10" s="14" t="str">
        <f aca="true">IF($A10="","",IFERROR(SUM(INDIRECT("'"&amp;$A10&amp;"'!$P$7:$P$371")),"Sheet missing"))</f>
        <v/>
      </c>
      <c r="F10" s="19" t="str">
        <f aca="true">IF($A10="","",IFERROR(COUNTIFS(INDIRECT("'"&amp;$A10&amp;"'!$T$7:$T$371"),$J$3,INDIRECT("'"&amp;$A10&amp;"'!$N$7:$N$371"),"&gt;0",INDIRECT("'"&amp;$A10&amp;"'!$A$7:$A$371"),"&lt;="&amp;$D$3),"Sheet missing"))</f>
        <v/>
      </c>
      <c r="G10" s="19" t="str">
        <f aca="true">IF($A10="","",IFERROR(COUNTIFS(INDIRECT("'"&amp;$A10&amp;"'!$T$7:$T$371"),$J$3,INDIRECT("'"&amp;$A10&amp;"'!$U$7:$U$371"),TRUE()),"Sheet missing"))</f>
        <v/>
      </c>
      <c r="H10" s="19" t="str">
        <f aca="true">IF($A10="","",IFERROR(COUNTIF(INDIRECT("'"&amp;$A10&amp;"'!$S$7:$S$371"),"?*"),"Sheet missing"))</f>
        <v/>
      </c>
    </row>
    <row r="11" customFormat="false" ht="15" hidden="false" customHeight="false" outlineLevel="0" collapsed="false">
      <c r="A11" s="18" t="str">
        <f aca="false">IF(Employees!A10="","",Employees!A10)</f>
        <v/>
      </c>
      <c r="B11" s="14" t="str">
        <f aca="true">IF($A11="","",IFERROR(SUM(INDIRECT("'"&amp;$A11&amp;"'!$Q$7:$Q$371")),"Sheet missing"))</f>
        <v/>
      </c>
      <c r="C11" s="14" t="str">
        <f aca="true">IF($A11="","",IFERROR(SUM(INDIRECT("'"&amp;$A11&amp;"'!$O$7:$O$371")),"Sheet missing"))</f>
        <v/>
      </c>
      <c r="D11" s="14" t="str">
        <f aca="true">IF($A11="","",IFERROR(SUM(INDIRECT("'"&amp;$A11&amp;"'!$R$7:$R$371")),"Sheet missing"))</f>
        <v/>
      </c>
      <c r="E11" s="14" t="str">
        <f aca="true">IF($A11="","",IFERROR(SUM(INDIRECT("'"&amp;$A11&amp;"'!$P$7:$P$371")),"Sheet missing"))</f>
        <v/>
      </c>
      <c r="F11" s="19" t="str">
        <f aca="true">IF($A11="","",IFERROR(COUNTIFS(INDIRECT("'"&amp;$A11&amp;"'!$T$7:$T$371"),$J$3,INDIRECT("'"&amp;$A11&amp;"'!$N$7:$N$371"),"&gt;0",INDIRECT("'"&amp;$A11&amp;"'!$A$7:$A$371"),"&lt;="&amp;$D$3),"Sheet missing"))</f>
        <v/>
      </c>
      <c r="G11" s="19" t="str">
        <f aca="true">IF($A11="","",IFERROR(COUNTIFS(INDIRECT("'"&amp;$A11&amp;"'!$T$7:$T$371"),$J$3,INDIRECT("'"&amp;$A11&amp;"'!$U$7:$U$371"),TRUE()),"Sheet missing"))</f>
        <v/>
      </c>
      <c r="H11" s="19" t="str">
        <f aca="true">IF($A11="","",IFERROR(COUNTIF(INDIRECT("'"&amp;$A11&amp;"'!$S$7:$S$371"),"?*"),"Sheet missing"))</f>
        <v/>
      </c>
    </row>
    <row r="12" customFormat="false" ht="15" hidden="false" customHeight="false" outlineLevel="0" collapsed="false">
      <c r="A12" s="18" t="str">
        <f aca="false">IF(Employees!A11="","",Employees!A11)</f>
        <v/>
      </c>
      <c r="B12" s="14" t="str">
        <f aca="true">IF($A12="","",IFERROR(SUM(INDIRECT("'"&amp;$A12&amp;"'!$Q$7:$Q$371")),"Sheet missing"))</f>
        <v/>
      </c>
      <c r="C12" s="14" t="str">
        <f aca="true">IF($A12="","",IFERROR(SUM(INDIRECT("'"&amp;$A12&amp;"'!$O$7:$O$371")),"Sheet missing"))</f>
        <v/>
      </c>
      <c r="D12" s="14" t="str">
        <f aca="true">IF($A12="","",IFERROR(SUM(INDIRECT("'"&amp;$A12&amp;"'!$R$7:$R$371")),"Sheet missing"))</f>
        <v/>
      </c>
      <c r="E12" s="14" t="str">
        <f aca="true">IF($A12="","",IFERROR(SUM(INDIRECT("'"&amp;$A12&amp;"'!$P$7:$P$371")),"Sheet missing"))</f>
        <v/>
      </c>
      <c r="F12" s="19" t="str">
        <f aca="true">IF($A12="","",IFERROR(COUNTIFS(INDIRECT("'"&amp;$A12&amp;"'!$T$7:$T$371"),$J$3,INDIRECT("'"&amp;$A12&amp;"'!$N$7:$N$371"),"&gt;0",INDIRECT("'"&amp;$A12&amp;"'!$A$7:$A$371"),"&lt;="&amp;$D$3),"Sheet missing"))</f>
        <v/>
      </c>
      <c r="G12" s="19" t="str">
        <f aca="true">IF($A12="","",IFERROR(COUNTIFS(INDIRECT("'"&amp;$A12&amp;"'!$T$7:$T$371"),$J$3,INDIRECT("'"&amp;$A12&amp;"'!$U$7:$U$371"),TRUE()),"Sheet missing"))</f>
        <v/>
      </c>
      <c r="H12" s="19" t="str">
        <f aca="true">IF($A12="","",IFERROR(COUNTIF(INDIRECT("'"&amp;$A12&amp;"'!$S$7:$S$371"),"?*"),"Sheet missing"))</f>
        <v/>
      </c>
    </row>
    <row r="13" customFormat="false" ht="15" hidden="false" customHeight="false" outlineLevel="0" collapsed="false">
      <c r="A13" s="18" t="str">
        <f aca="false">IF(Employees!A12="","",Employees!A12)</f>
        <v/>
      </c>
      <c r="B13" s="14" t="str">
        <f aca="true">IF($A13="","",IFERROR(SUM(INDIRECT("'"&amp;$A13&amp;"'!$Q$7:$Q$371")),"Sheet missing"))</f>
        <v/>
      </c>
      <c r="C13" s="14" t="str">
        <f aca="true">IF($A13="","",IFERROR(SUM(INDIRECT("'"&amp;$A13&amp;"'!$O$7:$O$371")),"Sheet missing"))</f>
        <v/>
      </c>
      <c r="D13" s="14" t="str">
        <f aca="true">IF($A13="","",IFERROR(SUM(INDIRECT("'"&amp;$A13&amp;"'!$R$7:$R$371")),"Sheet missing"))</f>
        <v/>
      </c>
      <c r="E13" s="14" t="str">
        <f aca="true">IF($A13="","",IFERROR(SUM(INDIRECT("'"&amp;$A13&amp;"'!$P$7:$P$371")),"Sheet missing"))</f>
        <v/>
      </c>
      <c r="F13" s="19" t="str">
        <f aca="true">IF($A13="","",IFERROR(COUNTIFS(INDIRECT("'"&amp;$A13&amp;"'!$T$7:$T$371"),$J$3,INDIRECT("'"&amp;$A13&amp;"'!$N$7:$N$371"),"&gt;0",INDIRECT("'"&amp;$A13&amp;"'!$A$7:$A$371"),"&lt;="&amp;$D$3),"Sheet missing"))</f>
        <v/>
      </c>
      <c r="G13" s="19" t="str">
        <f aca="true">IF($A13="","",IFERROR(COUNTIFS(INDIRECT("'"&amp;$A13&amp;"'!$T$7:$T$371"),$J$3,INDIRECT("'"&amp;$A13&amp;"'!$U$7:$U$371"),TRUE()),"Sheet missing"))</f>
        <v/>
      </c>
      <c r="H13" s="19" t="str">
        <f aca="true">IF($A13="","",IFERROR(COUNTIF(INDIRECT("'"&amp;$A13&amp;"'!$S$7:$S$371"),"?*"),"Sheet missing"))</f>
        <v/>
      </c>
    </row>
    <row r="14" customFormat="false" ht="15" hidden="false" customHeight="false" outlineLevel="0" collapsed="false">
      <c r="A14" s="18" t="str">
        <f aca="false">IF(Employees!A13="","",Employees!A13)</f>
        <v/>
      </c>
      <c r="B14" s="14" t="str">
        <f aca="true">IF($A14="","",IFERROR(SUM(INDIRECT("'"&amp;$A14&amp;"'!$Q$7:$Q$371")),"Sheet missing"))</f>
        <v/>
      </c>
      <c r="C14" s="14" t="str">
        <f aca="true">IF($A14="","",IFERROR(SUM(INDIRECT("'"&amp;$A14&amp;"'!$O$7:$O$371")),"Sheet missing"))</f>
        <v/>
      </c>
      <c r="D14" s="14" t="str">
        <f aca="true">IF($A14="","",IFERROR(SUM(INDIRECT("'"&amp;$A14&amp;"'!$R$7:$R$371")),"Sheet missing"))</f>
        <v/>
      </c>
      <c r="E14" s="14" t="str">
        <f aca="true">IF($A14="","",IFERROR(SUM(INDIRECT("'"&amp;$A14&amp;"'!$P$7:$P$371")),"Sheet missing"))</f>
        <v/>
      </c>
      <c r="F14" s="19" t="str">
        <f aca="true">IF($A14="","",IFERROR(COUNTIFS(INDIRECT("'"&amp;$A14&amp;"'!$T$7:$T$371"),$J$3,INDIRECT("'"&amp;$A14&amp;"'!$N$7:$N$371"),"&gt;0",INDIRECT("'"&amp;$A14&amp;"'!$A$7:$A$371"),"&lt;="&amp;$D$3),"Sheet missing"))</f>
        <v/>
      </c>
      <c r="G14" s="19" t="str">
        <f aca="true">IF($A14="","",IFERROR(COUNTIFS(INDIRECT("'"&amp;$A14&amp;"'!$T$7:$T$371"),$J$3,INDIRECT("'"&amp;$A14&amp;"'!$U$7:$U$371"),TRUE()),"Sheet missing"))</f>
        <v/>
      </c>
      <c r="H14" s="19" t="str">
        <f aca="true">IF($A14="","",IFERROR(COUNTIF(INDIRECT("'"&amp;$A14&amp;"'!$S$7:$S$371"),"?*"),"Sheet missing"))</f>
        <v/>
      </c>
    </row>
    <row r="15" customFormat="false" ht="15" hidden="false" customHeight="false" outlineLevel="0" collapsed="false">
      <c r="A15" s="18" t="str">
        <f aca="false">IF(Employees!A14="","",Employees!A14)</f>
        <v/>
      </c>
      <c r="B15" s="14" t="str">
        <f aca="true">IF($A15="","",IFERROR(SUM(INDIRECT("'"&amp;$A15&amp;"'!$Q$7:$Q$371")),"Sheet missing"))</f>
        <v/>
      </c>
      <c r="C15" s="14" t="str">
        <f aca="true">IF($A15="","",IFERROR(SUM(INDIRECT("'"&amp;$A15&amp;"'!$O$7:$O$371")),"Sheet missing"))</f>
        <v/>
      </c>
      <c r="D15" s="14" t="str">
        <f aca="true">IF($A15="","",IFERROR(SUM(INDIRECT("'"&amp;$A15&amp;"'!$R$7:$R$371")),"Sheet missing"))</f>
        <v/>
      </c>
      <c r="E15" s="14" t="str">
        <f aca="true">IF($A15="","",IFERROR(SUM(INDIRECT("'"&amp;$A15&amp;"'!$P$7:$P$371")),"Sheet missing"))</f>
        <v/>
      </c>
      <c r="F15" s="19" t="str">
        <f aca="true">IF($A15="","",IFERROR(COUNTIFS(INDIRECT("'"&amp;$A15&amp;"'!$T$7:$T$371"),$J$3,INDIRECT("'"&amp;$A15&amp;"'!$N$7:$N$371"),"&gt;0",INDIRECT("'"&amp;$A15&amp;"'!$A$7:$A$371"),"&lt;="&amp;$D$3),"Sheet missing"))</f>
        <v/>
      </c>
      <c r="G15" s="19" t="str">
        <f aca="true">IF($A15="","",IFERROR(COUNTIFS(INDIRECT("'"&amp;$A15&amp;"'!$T$7:$T$371"),$J$3,INDIRECT("'"&amp;$A15&amp;"'!$U$7:$U$371"),TRUE()),"Sheet missing"))</f>
        <v/>
      </c>
      <c r="H15" s="19" t="str">
        <f aca="true">IF($A15="","",IFERROR(COUNTIF(INDIRECT("'"&amp;$A15&amp;"'!$S$7:$S$371"),"?*"),"Sheet missing"))</f>
        <v/>
      </c>
    </row>
    <row r="16" customFormat="false" ht="15" hidden="false" customHeight="false" outlineLevel="0" collapsed="false">
      <c r="A16" s="20" t="s">
        <v>63</v>
      </c>
      <c r="B16" s="21" t="n">
        <f aca="false">SUM(B6:B15)</f>
        <v>0</v>
      </c>
      <c r="C16" s="21" t="n">
        <f aca="false">SUM(C6:C15)</f>
        <v>0</v>
      </c>
      <c r="D16" s="21" t="n">
        <f aca="false">SUM(D6:D15)</f>
        <v>0</v>
      </c>
      <c r="E16" s="21" t="n">
        <f aca="false">SUM(E6:E15)</f>
        <v>0</v>
      </c>
      <c r="F16" s="20"/>
      <c r="G16" s="20"/>
      <c r="H16" s="22" t="n">
        <f aca="false">SUM(H6:H15)</f>
        <v>0</v>
      </c>
    </row>
    <row r="18" customFormat="false" ht="15" hidden="false" customHeight="false" outlineLevel="0" collapsed="false">
      <c r="A18" s="8" t="s">
        <v>64</v>
      </c>
    </row>
    <row r="19" customFormat="false" ht="42" hidden="false" customHeight="true" outlineLevel="0" collapsed="false">
      <c r="A19" s="17" t="s">
        <v>55</v>
      </c>
      <c r="B19" s="17" t="s">
        <v>65</v>
      </c>
      <c r="C19" s="17" t="s">
        <v>66</v>
      </c>
      <c r="D19" s="17" t="s">
        <v>67</v>
      </c>
      <c r="E19" s="17" t="s">
        <v>68</v>
      </c>
      <c r="F19" s="17" t="s">
        <v>69</v>
      </c>
      <c r="G19" s="17" t="s">
        <v>70</v>
      </c>
      <c r="H19" s="17" t="s">
        <v>71</v>
      </c>
      <c r="I19" s="17" t="s">
        <v>72</v>
      </c>
      <c r="J19" s="17" t="s">
        <v>73</v>
      </c>
      <c r="K19" s="17" t="s">
        <v>74</v>
      </c>
      <c r="L19" s="17" t="s">
        <v>75</v>
      </c>
      <c r="M19" s="17" t="s">
        <v>76</v>
      </c>
      <c r="N19" s="17" t="s">
        <v>63</v>
      </c>
    </row>
    <row r="20" customFormat="false" ht="15" hidden="false" customHeight="false" outlineLevel="0" collapsed="false">
      <c r="A20" s="18" t="str">
        <f aca="false">$A6</f>
        <v>Tomer Cohen</v>
      </c>
      <c r="B20" s="14" t="n">
        <f aca="true">IF($A20="","",IFERROR(SUMIFS(INDIRECT("'"&amp;$A20&amp;"'!$Q$7:$Q$371"),INDIRECT("'"&amp;$A20&amp;"'!$T$7:$T$371"),1),"-"))</f>
        <v>0</v>
      </c>
      <c r="C20" s="14" t="n">
        <f aca="true">IF($A20="","",IFERROR(SUMIFS(INDIRECT("'"&amp;$A20&amp;"'!$Q$7:$Q$371"),INDIRECT("'"&amp;$A20&amp;"'!$T$7:$T$371"),2),"-"))</f>
        <v>0</v>
      </c>
      <c r="D20" s="14" t="n">
        <f aca="true">IF($A20="","",IFERROR(SUMIFS(INDIRECT("'"&amp;$A20&amp;"'!$Q$7:$Q$371"),INDIRECT("'"&amp;$A20&amp;"'!$T$7:$T$371"),3),"-"))</f>
        <v>0</v>
      </c>
      <c r="E20" s="14" t="n">
        <f aca="true">IF($A20="","",IFERROR(SUMIFS(INDIRECT("'"&amp;$A20&amp;"'!$Q$7:$Q$371"),INDIRECT("'"&amp;$A20&amp;"'!$T$7:$T$371"),4),"-"))</f>
        <v>0</v>
      </c>
      <c r="F20" s="14" t="n">
        <f aca="true">IF($A20="","",IFERROR(SUMIFS(INDIRECT("'"&amp;$A20&amp;"'!$Q$7:$Q$371"),INDIRECT("'"&amp;$A20&amp;"'!$T$7:$T$371"),5),"-"))</f>
        <v>0</v>
      </c>
      <c r="G20" s="14" t="n">
        <f aca="true">IF($A20="","",IFERROR(SUMIFS(INDIRECT("'"&amp;$A20&amp;"'!$Q$7:$Q$371"),INDIRECT("'"&amp;$A20&amp;"'!$T$7:$T$371"),6),"-"))</f>
        <v>0</v>
      </c>
      <c r="H20" s="14" t="n">
        <f aca="true">IF($A20="","",IFERROR(SUMIFS(INDIRECT("'"&amp;$A20&amp;"'!$Q$7:$Q$371"),INDIRECT("'"&amp;$A20&amp;"'!$T$7:$T$371"),7),"-"))</f>
        <v>0</v>
      </c>
      <c r="I20" s="14" t="n">
        <f aca="true">IF($A20="","",IFERROR(SUMIFS(INDIRECT("'"&amp;$A20&amp;"'!$Q$7:$Q$371"),INDIRECT("'"&amp;$A20&amp;"'!$T$7:$T$371"),8),"-"))</f>
        <v>0</v>
      </c>
      <c r="J20" s="14" t="n">
        <f aca="true">IF($A20="","",IFERROR(SUMIFS(INDIRECT("'"&amp;$A20&amp;"'!$Q$7:$Q$371"),INDIRECT("'"&amp;$A20&amp;"'!$T$7:$T$371"),9),"-"))</f>
        <v>0</v>
      </c>
      <c r="K20" s="14" t="n">
        <f aca="true">IF($A20="","",IFERROR(SUMIFS(INDIRECT("'"&amp;$A20&amp;"'!$Q$7:$Q$371"),INDIRECT("'"&amp;$A20&amp;"'!$T$7:$T$371"),10),"-"))</f>
        <v>0</v>
      </c>
      <c r="L20" s="14" t="n">
        <f aca="true">IF($A20="","",IFERROR(SUMIFS(INDIRECT("'"&amp;$A20&amp;"'!$Q$7:$Q$371"),INDIRECT("'"&amp;$A20&amp;"'!$T$7:$T$371"),11),"-"))</f>
        <v>0</v>
      </c>
      <c r="M20" s="14" t="n">
        <f aca="true">IF($A20="","",IFERROR(SUMIFS(INDIRECT("'"&amp;$A20&amp;"'!$Q$7:$Q$371"),INDIRECT("'"&amp;$A20&amp;"'!$T$7:$T$371"),12),"-"))</f>
        <v>0</v>
      </c>
      <c r="N20" s="23" t="n">
        <f aca="false">IF($A20="","",SUM(B20:M20))</f>
        <v>0</v>
      </c>
    </row>
    <row r="21" customFormat="false" ht="15" hidden="false" customHeight="false" outlineLevel="0" collapsed="false">
      <c r="A21" s="18" t="str">
        <f aca="false">$A7</f>
        <v>Nir Ben Haim</v>
      </c>
      <c r="B21" s="14" t="n">
        <f aca="true">IF($A21="","",IFERROR(SUMIFS(INDIRECT("'"&amp;$A21&amp;"'!$Q$7:$Q$371"),INDIRECT("'"&amp;$A21&amp;"'!$T$7:$T$371"),1),"-"))</f>
        <v>0</v>
      </c>
      <c r="C21" s="14" t="n">
        <f aca="true">IF($A21="","",IFERROR(SUMIFS(INDIRECT("'"&amp;$A21&amp;"'!$Q$7:$Q$371"),INDIRECT("'"&amp;$A21&amp;"'!$T$7:$T$371"),2),"-"))</f>
        <v>0</v>
      </c>
      <c r="D21" s="14" t="n">
        <f aca="true">IF($A21="","",IFERROR(SUMIFS(INDIRECT("'"&amp;$A21&amp;"'!$Q$7:$Q$371"),INDIRECT("'"&amp;$A21&amp;"'!$T$7:$T$371"),3),"-"))</f>
        <v>0</v>
      </c>
      <c r="E21" s="14" t="n">
        <f aca="true">IF($A21="","",IFERROR(SUMIFS(INDIRECT("'"&amp;$A21&amp;"'!$Q$7:$Q$371"),INDIRECT("'"&amp;$A21&amp;"'!$T$7:$T$371"),4),"-"))</f>
        <v>0</v>
      </c>
      <c r="F21" s="14" t="n">
        <f aca="true">IF($A21="","",IFERROR(SUMIFS(INDIRECT("'"&amp;$A21&amp;"'!$Q$7:$Q$371"),INDIRECT("'"&amp;$A21&amp;"'!$T$7:$T$371"),5),"-"))</f>
        <v>0</v>
      </c>
      <c r="G21" s="14" t="n">
        <f aca="true">IF($A21="","",IFERROR(SUMIFS(INDIRECT("'"&amp;$A21&amp;"'!$Q$7:$Q$371"),INDIRECT("'"&amp;$A21&amp;"'!$T$7:$T$371"),6),"-"))</f>
        <v>0</v>
      </c>
      <c r="H21" s="14" t="n">
        <f aca="true">IF($A21="","",IFERROR(SUMIFS(INDIRECT("'"&amp;$A21&amp;"'!$Q$7:$Q$371"),INDIRECT("'"&amp;$A21&amp;"'!$T$7:$T$371"),7),"-"))</f>
        <v>0</v>
      </c>
      <c r="I21" s="14" t="n">
        <f aca="true">IF($A21="","",IFERROR(SUMIFS(INDIRECT("'"&amp;$A21&amp;"'!$Q$7:$Q$371"),INDIRECT("'"&amp;$A21&amp;"'!$T$7:$T$371"),8),"-"))</f>
        <v>0</v>
      </c>
      <c r="J21" s="14" t="n">
        <f aca="true">IF($A21="","",IFERROR(SUMIFS(INDIRECT("'"&amp;$A21&amp;"'!$Q$7:$Q$371"),INDIRECT("'"&amp;$A21&amp;"'!$T$7:$T$371"),9),"-"))</f>
        <v>0</v>
      </c>
      <c r="K21" s="14" t="n">
        <f aca="true">IF($A21="","",IFERROR(SUMIFS(INDIRECT("'"&amp;$A21&amp;"'!$Q$7:$Q$371"),INDIRECT("'"&amp;$A21&amp;"'!$T$7:$T$371"),10),"-"))</f>
        <v>0</v>
      </c>
      <c r="L21" s="14" t="n">
        <f aca="true">IF($A21="","",IFERROR(SUMIFS(INDIRECT("'"&amp;$A21&amp;"'!$Q$7:$Q$371"),INDIRECT("'"&amp;$A21&amp;"'!$T$7:$T$371"),11),"-"))</f>
        <v>0</v>
      </c>
      <c r="M21" s="14" t="n">
        <f aca="true">IF($A21="","",IFERROR(SUMIFS(INDIRECT("'"&amp;$A21&amp;"'!$Q$7:$Q$371"),INDIRECT("'"&amp;$A21&amp;"'!$T$7:$T$371"),12),"-"))</f>
        <v>0</v>
      </c>
      <c r="N21" s="23" t="n">
        <f aca="false">IF($A21="","",SUM(B21:M21))</f>
        <v>0</v>
      </c>
    </row>
    <row r="22" customFormat="false" ht="15" hidden="false" customHeight="false" outlineLevel="0" collapsed="false">
      <c r="A22" s="18" t="str">
        <f aca="false">$A8</f>
        <v>Jonatan Ben Sudai</v>
      </c>
      <c r="B22" s="14" t="n">
        <f aca="true">IF($A22="","",IFERROR(SUMIFS(INDIRECT("'"&amp;$A22&amp;"'!$Q$7:$Q$371"),INDIRECT("'"&amp;$A22&amp;"'!$T$7:$T$371"),1),"-"))</f>
        <v>0</v>
      </c>
      <c r="C22" s="14" t="n">
        <f aca="true">IF($A22="","",IFERROR(SUMIFS(INDIRECT("'"&amp;$A22&amp;"'!$Q$7:$Q$371"),INDIRECT("'"&amp;$A22&amp;"'!$T$7:$T$371"),2),"-"))</f>
        <v>0</v>
      </c>
      <c r="D22" s="14" t="n">
        <f aca="true">IF($A22="","",IFERROR(SUMIFS(INDIRECT("'"&amp;$A22&amp;"'!$Q$7:$Q$371"),INDIRECT("'"&amp;$A22&amp;"'!$T$7:$T$371"),3),"-"))</f>
        <v>0</v>
      </c>
      <c r="E22" s="14" t="n">
        <f aca="true">IF($A22="","",IFERROR(SUMIFS(INDIRECT("'"&amp;$A22&amp;"'!$Q$7:$Q$371"),INDIRECT("'"&amp;$A22&amp;"'!$T$7:$T$371"),4),"-"))</f>
        <v>0</v>
      </c>
      <c r="F22" s="14" t="n">
        <f aca="true">IF($A22="","",IFERROR(SUMIFS(INDIRECT("'"&amp;$A22&amp;"'!$Q$7:$Q$371"),INDIRECT("'"&amp;$A22&amp;"'!$T$7:$T$371"),5),"-"))</f>
        <v>0</v>
      </c>
      <c r="G22" s="14" t="n">
        <f aca="true">IF($A22="","",IFERROR(SUMIFS(INDIRECT("'"&amp;$A22&amp;"'!$Q$7:$Q$371"),INDIRECT("'"&amp;$A22&amp;"'!$T$7:$T$371"),6),"-"))</f>
        <v>0</v>
      </c>
      <c r="H22" s="14" t="n">
        <f aca="true">IF($A22="","",IFERROR(SUMIFS(INDIRECT("'"&amp;$A22&amp;"'!$Q$7:$Q$371"),INDIRECT("'"&amp;$A22&amp;"'!$T$7:$T$371"),7),"-"))</f>
        <v>0</v>
      </c>
      <c r="I22" s="14" t="n">
        <f aca="true">IF($A22="","",IFERROR(SUMIFS(INDIRECT("'"&amp;$A22&amp;"'!$Q$7:$Q$371"),INDIRECT("'"&amp;$A22&amp;"'!$T$7:$T$371"),8),"-"))</f>
        <v>0</v>
      </c>
      <c r="J22" s="14" t="n">
        <f aca="true">IF($A22="","",IFERROR(SUMIFS(INDIRECT("'"&amp;$A22&amp;"'!$Q$7:$Q$371"),INDIRECT("'"&amp;$A22&amp;"'!$T$7:$T$371"),9),"-"))</f>
        <v>0</v>
      </c>
      <c r="K22" s="14" t="n">
        <f aca="true">IF($A22="","",IFERROR(SUMIFS(INDIRECT("'"&amp;$A22&amp;"'!$Q$7:$Q$371"),INDIRECT("'"&amp;$A22&amp;"'!$T$7:$T$371"),10),"-"))</f>
        <v>0</v>
      </c>
      <c r="L22" s="14" t="n">
        <f aca="true">IF($A22="","",IFERROR(SUMIFS(INDIRECT("'"&amp;$A22&amp;"'!$Q$7:$Q$371"),INDIRECT("'"&amp;$A22&amp;"'!$T$7:$T$371"),11),"-"))</f>
        <v>0</v>
      </c>
      <c r="M22" s="14" t="n">
        <f aca="true">IF($A22="","",IFERROR(SUMIFS(INDIRECT("'"&amp;$A22&amp;"'!$Q$7:$Q$371"),INDIRECT("'"&amp;$A22&amp;"'!$T$7:$T$371"),12),"-"))</f>
        <v>0</v>
      </c>
      <c r="N22" s="23" t="n">
        <f aca="false">IF($A22="","",SUM(B22:M22))</f>
        <v>0</v>
      </c>
    </row>
    <row r="23" customFormat="false" ht="15" hidden="false" customHeight="false" outlineLevel="0" collapsed="false">
      <c r="A23" s="18" t="str">
        <f aca="false">$A9</f>
        <v/>
      </c>
      <c r="B23" s="14" t="str">
        <f aca="true">IF($A23="","",IFERROR(SUMIFS(INDIRECT("'"&amp;$A23&amp;"'!$Q$7:$Q$371"),INDIRECT("'"&amp;$A23&amp;"'!$T$7:$T$371"),1),"-"))</f>
        <v/>
      </c>
      <c r="C23" s="14" t="str">
        <f aca="true">IF($A23="","",IFERROR(SUMIFS(INDIRECT("'"&amp;$A23&amp;"'!$Q$7:$Q$371"),INDIRECT("'"&amp;$A23&amp;"'!$T$7:$T$371"),2),"-"))</f>
        <v/>
      </c>
      <c r="D23" s="14" t="str">
        <f aca="true">IF($A23="","",IFERROR(SUMIFS(INDIRECT("'"&amp;$A23&amp;"'!$Q$7:$Q$371"),INDIRECT("'"&amp;$A23&amp;"'!$T$7:$T$371"),3),"-"))</f>
        <v/>
      </c>
      <c r="E23" s="14" t="str">
        <f aca="true">IF($A23="","",IFERROR(SUMIFS(INDIRECT("'"&amp;$A23&amp;"'!$Q$7:$Q$371"),INDIRECT("'"&amp;$A23&amp;"'!$T$7:$T$371"),4),"-"))</f>
        <v/>
      </c>
      <c r="F23" s="14" t="str">
        <f aca="true">IF($A23="","",IFERROR(SUMIFS(INDIRECT("'"&amp;$A23&amp;"'!$Q$7:$Q$371"),INDIRECT("'"&amp;$A23&amp;"'!$T$7:$T$371"),5),"-"))</f>
        <v/>
      </c>
      <c r="G23" s="14" t="str">
        <f aca="true">IF($A23="","",IFERROR(SUMIFS(INDIRECT("'"&amp;$A23&amp;"'!$Q$7:$Q$371"),INDIRECT("'"&amp;$A23&amp;"'!$T$7:$T$371"),6),"-"))</f>
        <v/>
      </c>
      <c r="H23" s="14" t="str">
        <f aca="true">IF($A23="","",IFERROR(SUMIFS(INDIRECT("'"&amp;$A23&amp;"'!$Q$7:$Q$371"),INDIRECT("'"&amp;$A23&amp;"'!$T$7:$T$371"),7),"-"))</f>
        <v/>
      </c>
      <c r="I23" s="14" t="str">
        <f aca="true">IF($A23="","",IFERROR(SUMIFS(INDIRECT("'"&amp;$A23&amp;"'!$Q$7:$Q$371"),INDIRECT("'"&amp;$A23&amp;"'!$T$7:$T$371"),8),"-"))</f>
        <v/>
      </c>
      <c r="J23" s="14" t="str">
        <f aca="true">IF($A23="","",IFERROR(SUMIFS(INDIRECT("'"&amp;$A23&amp;"'!$Q$7:$Q$371"),INDIRECT("'"&amp;$A23&amp;"'!$T$7:$T$371"),9),"-"))</f>
        <v/>
      </c>
      <c r="K23" s="14" t="str">
        <f aca="true">IF($A23="","",IFERROR(SUMIFS(INDIRECT("'"&amp;$A23&amp;"'!$Q$7:$Q$371"),INDIRECT("'"&amp;$A23&amp;"'!$T$7:$T$371"),10),"-"))</f>
        <v/>
      </c>
      <c r="L23" s="14" t="str">
        <f aca="true">IF($A23="","",IFERROR(SUMIFS(INDIRECT("'"&amp;$A23&amp;"'!$Q$7:$Q$371"),INDIRECT("'"&amp;$A23&amp;"'!$T$7:$T$371"),11),"-"))</f>
        <v/>
      </c>
      <c r="M23" s="14" t="str">
        <f aca="true">IF($A23="","",IFERROR(SUMIFS(INDIRECT("'"&amp;$A23&amp;"'!$Q$7:$Q$371"),INDIRECT("'"&amp;$A23&amp;"'!$T$7:$T$371"),12),"-"))</f>
        <v/>
      </c>
      <c r="N23" s="23" t="str">
        <f aca="false">IF($A23="","",SUM(B23:M23))</f>
        <v/>
      </c>
    </row>
    <row r="24" customFormat="false" ht="15" hidden="false" customHeight="false" outlineLevel="0" collapsed="false">
      <c r="A24" s="18" t="str">
        <f aca="false">$A10</f>
        <v/>
      </c>
      <c r="B24" s="14" t="str">
        <f aca="true">IF($A24="","",IFERROR(SUMIFS(INDIRECT("'"&amp;$A24&amp;"'!$Q$7:$Q$371"),INDIRECT("'"&amp;$A24&amp;"'!$T$7:$T$371"),1),"-"))</f>
        <v/>
      </c>
      <c r="C24" s="14" t="str">
        <f aca="true">IF($A24="","",IFERROR(SUMIFS(INDIRECT("'"&amp;$A24&amp;"'!$Q$7:$Q$371"),INDIRECT("'"&amp;$A24&amp;"'!$T$7:$T$371"),2),"-"))</f>
        <v/>
      </c>
      <c r="D24" s="14" t="str">
        <f aca="true">IF($A24="","",IFERROR(SUMIFS(INDIRECT("'"&amp;$A24&amp;"'!$Q$7:$Q$371"),INDIRECT("'"&amp;$A24&amp;"'!$T$7:$T$371"),3),"-"))</f>
        <v/>
      </c>
      <c r="E24" s="14" t="str">
        <f aca="true">IF($A24="","",IFERROR(SUMIFS(INDIRECT("'"&amp;$A24&amp;"'!$Q$7:$Q$371"),INDIRECT("'"&amp;$A24&amp;"'!$T$7:$T$371"),4),"-"))</f>
        <v/>
      </c>
      <c r="F24" s="14" t="str">
        <f aca="true">IF($A24="","",IFERROR(SUMIFS(INDIRECT("'"&amp;$A24&amp;"'!$Q$7:$Q$371"),INDIRECT("'"&amp;$A24&amp;"'!$T$7:$T$371"),5),"-"))</f>
        <v/>
      </c>
      <c r="G24" s="14" t="str">
        <f aca="true">IF($A24="","",IFERROR(SUMIFS(INDIRECT("'"&amp;$A24&amp;"'!$Q$7:$Q$371"),INDIRECT("'"&amp;$A24&amp;"'!$T$7:$T$371"),6),"-"))</f>
        <v/>
      </c>
      <c r="H24" s="14" t="str">
        <f aca="true">IF($A24="","",IFERROR(SUMIFS(INDIRECT("'"&amp;$A24&amp;"'!$Q$7:$Q$371"),INDIRECT("'"&amp;$A24&amp;"'!$T$7:$T$371"),7),"-"))</f>
        <v/>
      </c>
      <c r="I24" s="14" t="str">
        <f aca="true">IF($A24="","",IFERROR(SUMIFS(INDIRECT("'"&amp;$A24&amp;"'!$Q$7:$Q$371"),INDIRECT("'"&amp;$A24&amp;"'!$T$7:$T$371"),8),"-"))</f>
        <v/>
      </c>
      <c r="J24" s="14" t="str">
        <f aca="true">IF($A24="","",IFERROR(SUMIFS(INDIRECT("'"&amp;$A24&amp;"'!$Q$7:$Q$371"),INDIRECT("'"&amp;$A24&amp;"'!$T$7:$T$371"),9),"-"))</f>
        <v/>
      </c>
      <c r="K24" s="14" t="str">
        <f aca="true">IF($A24="","",IFERROR(SUMIFS(INDIRECT("'"&amp;$A24&amp;"'!$Q$7:$Q$371"),INDIRECT("'"&amp;$A24&amp;"'!$T$7:$T$371"),10),"-"))</f>
        <v/>
      </c>
      <c r="L24" s="14" t="str">
        <f aca="true">IF($A24="","",IFERROR(SUMIFS(INDIRECT("'"&amp;$A24&amp;"'!$Q$7:$Q$371"),INDIRECT("'"&amp;$A24&amp;"'!$T$7:$T$371"),11),"-"))</f>
        <v/>
      </c>
      <c r="M24" s="14" t="str">
        <f aca="true">IF($A24="","",IFERROR(SUMIFS(INDIRECT("'"&amp;$A24&amp;"'!$Q$7:$Q$371"),INDIRECT("'"&amp;$A24&amp;"'!$T$7:$T$371"),12),"-"))</f>
        <v/>
      </c>
      <c r="N24" s="23" t="str">
        <f aca="false">IF($A24="","",SUM(B24:M24))</f>
        <v/>
      </c>
    </row>
    <row r="25" customFormat="false" ht="15" hidden="false" customHeight="false" outlineLevel="0" collapsed="false">
      <c r="A25" s="18" t="str">
        <f aca="false">$A11</f>
        <v/>
      </c>
      <c r="B25" s="14" t="str">
        <f aca="true">IF($A25="","",IFERROR(SUMIFS(INDIRECT("'"&amp;$A25&amp;"'!$Q$7:$Q$371"),INDIRECT("'"&amp;$A25&amp;"'!$T$7:$T$371"),1),"-"))</f>
        <v/>
      </c>
      <c r="C25" s="14" t="str">
        <f aca="true">IF($A25="","",IFERROR(SUMIFS(INDIRECT("'"&amp;$A25&amp;"'!$Q$7:$Q$371"),INDIRECT("'"&amp;$A25&amp;"'!$T$7:$T$371"),2),"-"))</f>
        <v/>
      </c>
      <c r="D25" s="14" t="str">
        <f aca="true">IF($A25="","",IFERROR(SUMIFS(INDIRECT("'"&amp;$A25&amp;"'!$Q$7:$Q$371"),INDIRECT("'"&amp;$A25&amp;"'!$T$7:$T$371"),3),"-"))</f>
        <v/>
      </c>
      <c r="E25" s="14" t="str">
        <f aca="true">IF($A25="","",IFERROR(SUMIFS(INDIRECT("'"&amp;$A25&amp;"'!$Q$7:$Q$371"),INDIRECT("'"&amp;$A25&amp;"'!$T$7:$T$371"),4),"-"))</f>
        <v/>
      </c>
      <c r="F25" s="14" t="str">
        <f aca="true">IF($A25="","",IFERROR(SUMIFS(INDIRECT("'"&amp;$A25&amp;"'!$Q$7:$Q$371"),INDIRECT("'"&amp;$A25&amp;"'!$T$7:$T$371"),5),"-"))</f>
        <v/>
      </c>
      <c r="G25" s="14" t="str">
        <f aca="true">IF($A25="","",IFERROR(SUMIFS(INDIRECT("'"&amp;$A25&amp;"'!$Q$7:$Q$371"),INDIRECT("'"&amp;$A25&amp;"'!$T$7:$T$371"),6),"-"))</f>
        <v/>
      </c>
      <c r="H25" s="14" t="str">
        <f aca="true">IF($A25="","",IFERROR(SUMIFS(INDIRECT("'"&amp;$A25&amp;"'!$Q$7:$Q$371"),INDIRECT("'"&amp;$A25&amp;"'!$T$7:$T$371"),7),"-"))</f>
        <v/>
      </c>
      <c r="I25" s="14" t="str">
        <f aca="true">IF($A25="","",IFERROR(SUMIFS(INDIRECT("'"&amp;$A25&amp;"'!$Q$7:$Q$371"),INDIRECT("'"&amp;$A25&amp;"'!$T$7:$T$371"),8),"-"))</f>
        <v/>
      </c>
      <c r="J25" s="14" t="str">
        <f aca="true">IF($A25="","",IFERROR(SUMIFS(INDIRECT("'"&amp;$A25&amp;"'!$Q$7:$Q$371"),INDIRECT("'"&amp;$A25&amp;"'!$T$7:$T$371"),9),"-"))</f>
        <v/>
      </c>
      <c r="K25" s="14" t="str">
        <f aca="true">IF($A25="","",IFERROR(SUMIFS(INDIRECT("'"&amp;$A25&amp;"'!$Q$7:$Q$371"),INDIRECT("'"&amp;$A25&amp;"'!$T$7:$T$371"),10),"-"))</f>
        <v/>
      </c>
      <c r="L25" s="14" t="str">
        <f aca="true">IF($A25="","",IFERROR(SUMIFS(INDIRECT("'"&amp;$A25&amp;"'!$Q$7:$Q$371"),INDIRECT("'"&amp;$A25&amp;"'!$T$7:$T$371"),11),"-"))</f>
        <v/>
      </c>
      <c r="M25" s="14" t="str">
        <f aca="true">IF($A25="","",IFERROR(SUMIFS(INDIRECT("'"&amp;$A25&amp;"'!$Q$7:$Q$371"),INDIRECT("'"&amp;$A25&amp;"'!$T$7:$T$371"),12),"-"))</f>
        <v/>
      </c>
      <c r="N25" s="23" t="str">
        <f aca="false">IF($A25="","",SUM(B25:M25))</f>
        <v/>
      </c>
    </row>
    <row r="26" customFormat="false" ht="15" hidden="false" customHeight="false" outlineLevel="0" collapsed="false">
      <c r="A26" s="18" t="str">
        <f aca="false">$A12</f>
        <v/>
      </c>
      <c r="B26" s="14" t="str">
        <f aca="true">IF($A26="","",IFERROR(SUMIFS(INDIRECT("'"&amp;$A26&amp;"'!$Q$7:$Q$371"),INDIRECT("'"&amp;$A26&amp;"'!$T$7:$T$371"),1),"-"))</f>
        <v/>
      </c>
      <c r="C26" s="14" t="str">
        <f aca="true">IF($A26="","",IFERROR(SUMIFS(INDIRECT("'"&amp;$A26&amp;"'!$Q$7:$Q$371"),INDIRECT("'"&amp;$A26&amp;"'!$T$7:$T$371"),2),"-"))</f>
        <v/>
      </c>
      <c r="D26" s="14" t="str">
        <f aca="true">IF($A26="","",IFERROR(SUMIFS(INDIRECT("'"&amp;$A26&amp;"'!$Q$7:$Q$371"),INDIRECT("'"&amp;$A26&amp;"'!$T$7:$T$371"),3),"-"))</f>
        <v/>
      </c>
      <c r="E26" s="14" t="str">
        <f aca="true">IF($A26="","",IFERROR(SUMIFS(INDIRECT("'"&amp;$A26&amp;"'!$Q$7:$Q$371"),INDIRECT("'"&amp;$A26&amp;"'!$T$7:$T$371"),4),"-"))</f>
        <v/>
      </c>
      <c r="F26" s="14" t="str">
        <f aca="true">IF($A26="","",IFERROR(SUMIFS(INDIRECT("'"&amp;$A26&amp;"'!$Q$7:$Q$371"),INDIRECT("'"&amp;$A26&amp;"'!$T$7:$T$371"),5),"-"))</f>
        <v/>
      </c>
      <c r="G26" s="14" t="str">
        <f aca="true">IF($A26="","",IFERROR(SUMIFS(INDIRECT("'"&amp;$A26&amp;"'!$Q$7:$Q$371"),INDIRECT("'"&amp;$A26&amp;"'!$T$7:$T$371"),6),"-"))</f>
        <v/>
      </c>
      <c r="H26" s="14" t="str">
        <f aca="true">IF($A26="","",IFERROR(SUMIFS(INDIRECT("'"&amp;$A26&amp;"'!$Q$7:$Q$371"),INDIRECT("'"&amp;$A26&amp;"'!$T$7:$T$371"),7),"-"))</f>
        <v/>
      </c>
      <c r="I26" s="14" t="str">
        <f aca="true">IF($A26="","",IFERROR(SUMIFS(INDIRECT("'"&amp;$A26&amp;"'!$Q$7:$Q$371"),INDIRECT("'"&amp;$A26&amp;"'!$T$7:$T$371"),8),"-"))</f>
        <v/>
      </c>
      <c r="J26" s="14" t="str">
        <f aca="true">IF($A26="","",IFERROR(SUMIFS(INDIRECT("'"&amp;$A26&amp;"'!$Q$7:$Q$371"),INDIRECT("'"&amp;$A26&amp;"'!$T$7:$T$371"),9),"-"))</f>
        <v/>
      </c>
      <c r="K26" s="14" t="str">
        <f aca="true">IF($A26="","",IFERROR(SUMIFS(INDIRECT("'"&amp;$A26&amp;"'!$Q$7:$Q$371"),INDIRECT("'"&amp;$A26&amp;"'!$T$7:$T$371"),10),"-"))</f>
        <v/>
      </c>
      <c r="L26" s="14" t="str">
        <f aca="true">IF($A26="","",IFERROR(SUMIFS(INDIRECT("'"&amp;$A26&amp;"'!$Q$7:$Q$371"),INDIRECT("'"&amp;$A26&amp;"'!$T$7:$T$371"),11),"-"))</f>
        <v/>
      </c>
      <c r="M26" s="14" t="str">
        <f aca="true">IF($A26="","",IFERROR(SUMIFS(INDIRECT("'"&amp;$A26&amp;"'!$Q$7:$Q$371"),INDIRECT("'"&amp;$A26&amp;"'!$T$7:$T$371"),12),"-"))</f>
        <v/>
      </c>
      <c r="N26" s="23" t="str">
        <f aca="false">IF($A26="","",SUM(B26:M26))</f>
        <v/>
      </c>
    </row>
    <row r="27" customFormat="false" ht="15" hidden="false" customHeight="false" outlineLevel="0" collapsed="false">
      <c r="A27" s="18" t="str">
        <f aca="false">$A13</f>
        <v/>
      </c>
      <c r="B27" s="14" t="str">
        <f aca="true">IF($A27="","",IFERROR(SUMIFS(INDIRECT("'"&amp;$A27&amp;"'!$Q$7:$Q$371"),INDIRECT("'"&amp;$A27&amp;"'!$T$7:$T$371"),1),"-"))</f>
        <v/>
      </c>
      <c r="C27" s="14" t="str">
        <f aca="true">IF($A27="","",IFERROR(SUMIFS(INDIRECT("'"&amp;$A27&amp;"'!$Q$7:$Q$371"),INDIRECT("'"&amp;$A27&amp;"'!$T$7:$T$371"),2),"-"))</f>
        <v/>
      </c>
      <c r="D27" s="14" t="str">
        <f aca="true">IF($A27="","",IFERROR(SUMIFS(INDIRECT("'"&amp;$A27&amp;"'!$Q$7:$Q$371"),INDIRECT("'"&amp;$A27&amp;"'!$T$7:$T$371"),3),"-"))</f>
        <v/>
      </c>
      <c r="E27" s="14" t="str">
        <f aca="true">IF($A27="","",IFERROR(SUMIFS(INDIRECT("'"&amp;$A27&amp;"'!$Q$7:$Q$371"),INDIRECT("'"&amp;$A27&amp;"'!$T$7:$T$371"),4),"-"))</f>
        <v/>
      </c>
      <c r="F27" s="14" t="str">
        <f aca="true">IF($A27="","",IFERROR(SUMIFS(INDIRECT("'"&amp;$A27&amp;"'!$Q$7:$Q$371"),INDIRECT("'"&amp;$A27&amp;"'!$T$7:$T$371"),5),"-"))</f>
        <v/>
      </c>
      <c r="G27" s="14" t="str">
        <f aca="true">IF($A27="","",IFERROR(SUMIFS(INDIRECT("'"&amp;$A27&amp;"'!$Q$7:$Q$371"),INDIRECT("'"&amp;$A27&amp;"'!$T$7:$T$371"),6),"-"))</f>
        <v/>
      </c>
      <c r="H27" s="14" t="str">
        <f aca="true">IF($A27="","",IFERROR(SUMIFS(INDIRECT("'"&amp;$A27&amp;"'!$Q$7:$Q$371"),INDIRECT("'"&amp;$A27&amp;"'!$T$7:$T$371"),7),"-"))</f>
        <v/>
      </c>
      <c r="I27" s="14" t="str">
        <f aca="true">IF($A27="","",IFERROR(SUMIFS(INDIRECT("'"&amp;$A27&amp;"'!$Q$7:$Q$371"),INDIRECT("'"&amp;$A27&amp;"'!$T$7:$T$371"),8),"-"))</f>
        <v/>
      </c>
      <c r="J27" s="14" t="str">
        <f aca="true">IF($A27="","",IFERROR(SUMIFS(INDIRECT("'"&amp;$A27&amp;"'!$Q$7:$Q$371"),INDIRECT("'"&amp;$A27&amp;"'!$T$7:$T$371"),9),"-"))</f>
        <v/>
      </c>
      <c r="K27" s="14" t="str">
        <f aca="true">IF($A27="","",IFERROR(SUMIFS(INDIRECT("'"&amp;$A27&amp;"'!$Q$7:$Q$371"),INDIRECT("'"&amp;$A27&amp;"'!$T$7:$T$371"),10),"-"))</f>
        <v/>
      </c>
      <c r="L27" s="14" t="str">
        <f aca="true">IF($A27="","",IFERROR(SUMIFS(INDIRECT("'"&amp;$A27&amp;"'!$Q$7:$Q$371"),INDIRECT("'"&amp;$A27&amp;"'!$T$7:$T$371"),11),"-"))</f>
        <v/>
      </c>
      <c r="M27" s="14" t="str">
        <f aca="true">IF($A27="","",IFERROR(SUMIFS(INDIRECT("'"&amp;$A27&amp;"'!$Q$7:$Q$371"),INDIRECT("'"&amp;$A27&amp;"'!$T$7:$T$371"),12),"-"))</f>
        <v/>
      </c>
      <c r="N27" s="23" t="str">
        <f aca="false">IF($A27="","",SUM(B27:M27))</f>
        <v/>
      </c>
    </row>
    <row r="28" customFormat="false" ht="15" hidden="false" customHeight="false" outlineLevel="0" collapsed="false">
      <c r="A28" s="18" t="str">
        <f aca="false">$A14</f>
        <v/>
      </c>
      <c r="B28" s="14" t="str">
        <f aca="true">IF($A28="","",IFERROR(SUMIFS(INDIRECT("'"&amp;$A28&amp;"'!$Q$7:$Q$371"),INDIRECT("'"&amp;$A28&amp;"'!$T$7:$T$371"),1),"-"))</f>
        <v/>
      </c>
      <c r="C28" s="14" t="str">
        <f aca="true">IF($A28="","",IFERROR(SUMIFS(INDIRECT("'"&amp;$A28&amp;"'!$Q$7:$Q$371"),INDIRECT("'"&amp;$A28&amp;"'!$T$7:$T$371"),2),"-"))</f>
        <v/>
      </c>
      <c r="D28" s="14" t="str">
        <f aca="true">IF($A28="","",IFERROR(SUMIFS(INDIRECT("'"&amp;$A28&amp;"'!$Q$7:$Q$371"),INDIRECT("'"&amp;$A28&amp;"'!$T$7:$T$371"),3),"-"))</f>
        <v/>
      </c>
      <c r="E28" s="14" t="str">
        <f aca="true">IF($A28="","",IFERROR(SUMIFS(INDIRECT("'"&amp;$A28&amp;"'!$Q$7:$Q$371"),INDIRECT("'"&amp;$A28&amp;"'!$T$7:$T$371"),4),"-"))</f>
        <v/>
      </c>
      <c r="F28" s="14" t="str">
        <f aca="true">IF($A28="","",IFERROR(SUMIFS(INDIRECT("'"&amp;$A28&amp;"'!$Q$7:$Q$371"),INDIRECT("'"&amp;$A28&amp;"'!$T$7:$T$371"),5),"-"))</f>
        <v/>
      </c>
      <c r="G28" s="14" t="str">
        <f aca="true">IF($A28="","",IFERROR(SUMIFS(INDIRECT("'"&amp;$A28&amp;"'!$Q$7:$Q$371"),INDIRECT("'"&amp;$A28&amp;"'!$T$7:$T$371"),6),"-"))</f>
        <v/>
      </c>
      <c r="H28" s="14" t="str">
        <f aca="true">IF($A28="","",IFERROR(SUMIFS(INDIRECT("'"&amp;$A28&amp;"'!$Q$7:$Q$371"),INDIRECT("'"&amp;$A28&amp;"'!$T$7:$T$371"),7),"-"))</f>
        <v/>
      </c>
      <c r="I28" s="14" t="str">
        <f aca="true">IF($A28="","",IFERROR(SUMIFS(INDIRECT("'"&amp;$A28&amp;"'!$Q$7:$Q$371"),INDIRECT("'"&amp;$A28&amp;"'!$T$7:$T$371"),8),"-"))</f>
        <v/>
      </c>
      <c r="J28" s="14" t="str">
        <f aca="true">IF($A28="","",IFERROR(SUMIFS(INDIRECT("'"&amp;$A28&amp;"'!$Q$7:$Q$371"),INDIRECT("'"&amp;$A28&amp;"'!$T$7:$T$371"),9),"-"))</f>
        <v/>
      </c>
      <c r="K28" s="14" t="str">
        <f aca="true">IF($A28="","",IFERROR(SUMIFS(INDIRECT("'"&amp;$A28&amp;"'!$Q$7:$Q$371"),INDIRECT("'"&amp;$A28&amp;"'!$T$7:$T$371"),10),"-"))</f>
        <v/>
      </c>
      <c r="L28" s="14" t="str">
        <f aca="true">IF($A28="","",IFERROR(SUMIFS(INDIRECT("'"&amp;$A28&amp;"'!$Q$7:$Q$371"),INDIRECT("'"&amp;$A28&amp;"'!$T$7:$T$371"),11),"-"))</f>
        <v/>
      </c>
      <c r="M28" s="14" t="str">
        <f aca="true">IF($A28="","",IFERROR(SUMIFS(INDIRECT("'"&amp;$A28&amp;"'!$Q$7:$Q$371"),INDIRECT("'"&amp;$A28&amp;"'!$T$7:$T$371"),12),"-"))</f>
        <v/>
      </c>
      <c r="N28" s="23" t="str">
        <f aca="false">IF($A28="","",SUM(B28:M28))</f>
        <v/>
      </c>
    </row>
    <row r="29" customFormat="false" ht="15" hidden="false" customHeight="false" outlineLevel="0" collapsed="false">
      <c r="A29" s="18" t="str">
        <f aca="false">$A15</f>
        <v/>
      </c>
      <c r="B29" s="14" t="str">
        <f aca="true">IF($A29="","",IFERROR(SUMIFS(INDIRECT("'"&amp;$A29&amp;"'!$Q$7:$Q$371"),INDIRECT("'"&amp;$A29&amp;"'!$T$7:$T$371"),1),"-"))</f>
        <v/>
      </c>
      <c r="C29" s="14" t="str">
        <f aca="true">IF($A29="","",IFERROR(SUMIFS(INDIRECT("'"&amp;$A29&amp;"'!$Q$7:$Q$371"),INDIRECT("'"&amp;$A29&amp;"'!$T$7:$T$371"),2),"-"))</f>
        <v/>
      </c>
      <c r="D29" s="14" t="str">
        <f aca="true">IF($A29="","",IFERROR(SUMIFS(INDIRECT("'"&amp;$A29&amp;"'!$Q$7:$Q$371"),INDIRECT("'"&amp;$A29&amp;"'!$T$7:$T$371"),3),"-"))</f>
        <v/>
      </c>
      <c r="E29" s="14" t="str">
        <f aca="true">IF($A29="","",IFERROR(SUMIFS(INDIRECT("'"&amp;$A29&amp;"'!$Q$7:$Q$371"),INDIRECT("'"&amp;$A29&amp;"'!$T$7:$T$371"),4),"-"))</f>
        <v/>
      </c>
      <c r="F29" s="14" t="str">
        <f aca="true">IF($A29="","",IFERROR(SUMIFS(INDIRECT("'"&amp;$A29&amp;"'!$Q$7:$Q$371"),INDIRECT("'"&amp;$A29&amp;"'!$T$7:$T$371"),5),"-"))</f>
        <v/>
      </c>
      <c r="G29" s="14" t="str">
        <f aca="true">IF($A29="","",IFERROR(SUMIFS(INDIRECT("'"&amp;$A29&amp;"'!$Q$7:$Q$371"),INDIRECT("'"&amp;$A29&amp;"'!$T$7:$T$371"),6),"-"))</f>
        <v/>
      </c>
      <c r="H29" s="14" t="str">
        <f aca="true">IF($A29="","",IFERROR(SUMIFS(INDIRECT("'"&amp;$A29&amp;"'!$Q$7:$Q$371"),INDIRECT("'"&amp;$A29&amp;"'!$T$7:$T$371"),7),"-"))</f>
        <v/>
      </c>
      <c r="I29" s="14" t="str">
        <f aca="true">IF($A29="","",IFERROR(SUMIFS(INDIRECT("'"&amp;$A29&amp;"'!$Q$7:$Q$371"),INDIRECT("'"&amp;$A29&amp;"'!$T$7:$T$371"),8),"-"))</f>
        <v/>
      </c>
      <c r="J29" s="14" t="str">
        <f aca="true">IF($A29="","",IFERROR(SUMIFS(INDIRECT("'"&amp;$A29&amp;"'!$Q$7:$Q$371"),INDIRECT("'"&amp;$A29&amp;"'!$T$7:$T$371"),9),"-"))</f>
        <v/>
      </c>
      <c r="K29" s="14" t="str">
        <f aca="true">IF($A29="","",IFERROR(SUMIFS(INDIRECT("'"&amp;$A29&amp;"'!$Q$7:$Q$371"),INDIRECT("'"&amp;$A29&amp;"'!$T$7:$T$371"),10),"-"))</f>
        <v/>
      </c>
      <c r="L29" s="14" t="str">
        <f aca="true">IF($A29="","",IFERROR(SUMIFS(INDIRECT("'"&amp;$A29&amp;"'!$Q$7:$Q$371"),INDIRECT("'"&amp;$A29&amp;"'!$T$7:$T$371"),11),"-"))</f>
        <v/>
      </c>
      <c r="M29" s="14" t="str">
        <f aca="true">IF($A29="","",IFERROR(SUMIFS(INDIRECT("'"&amp;$A29&amp;"'!$Q$7:$Q$371"),INDIRECT("'"&amp;$A29&amp;"'!$T$7:$T$371"),12),"-"))</f>
        <v/>
      </c>
      <c r="N29" s="23" t="str">
        <f aca="false">IF($A29="","",SUM(B29:M29))</f>
        <v/>
      </c>
    </row>
  </sheetData>
  <sheetProtection sheet="true" formatColumns="false" formatRows="false" sort="false" autoFilter="false"/>
  <mergeCells count="1">
    <mergeCell ref="D3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37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6" topLeftCell="E7" activePane="bottomRight" state="frozen"/>
      <selection pane="topLeft" activeCell="A1" activeCellId="0" sqref="A1"/>
      <selection pane="topRight" activeCell="E1" activeCellId="0" sqref="E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6"/>
    <col collapsed="false" customWidth="true" hidden="false" outlineLevel="0" max="3" min="3" style="0" width="10"/>
    <col collapsed="false" customWidth="true" hidden="false" outlineLevel="0" max="4" min="4" style="0" width="22"/>
    <col collapsed="false" customWidth="true" hidden="false" outlineLevel="0" max="5" min="5" style="0" width="20"/>
    <col collapsed="false" customWidth="true" hidden="false" outlineLevel="0" max="7" min="6" style="0" width="8"/>
    <col collapsed="false" customWidth="true" hidden="false" outlineLevel="0" max="9" min="8" style="0" width="10"/>
    <col collapsed="false" customWidth="true" hidden="false" outlineLevel="0" max="10" min="10" style="0" width="24"/>
    <col collapsed="false" customWidth="true" hidden="false" outlineLevel="0" max="11" min="11" style="0" width="16"/>
    <col collapsed="false" customWidth="true" hidden="false" outlineLevel="0" max="14" min="12" style="0" width="9"/>
    <col collapsed="false" customWidth="true" hidden="false" outlineLevel="0" max="18" min="15" style="0" width="10"/>
    <col collapsed="false" customWidth="true" hidden="false" outlineLevel="0" max="19" min="19" style="0" width="28"/>
    <col collapsed="false" customWidth="true" hidden="true" outlineLevel="0" max="20" min="20" style="0" width="7"/>
    <col collapsed="false" customWidth="true" hidden="true" outlineLevel="0" max="21" min="21" style="0" width="9"/>
    <col collapsed="false" customWidth="true" hidden="true" outlineLevel="0" max="22" min="22" style="0" width="8"/>
    <col collapsed="false" customWidth="true" hidden="true" outlineLevel="0" max="23" min="23" style="0" width="9"/>
  </cols>
  <sheetData>
    <row r="1" customFormat="false" ht="17.35" hidden="false" customHeight="false" outlineLevel="0" collapsed="false">
      <c r="A1" s="1" t="s">
        <v>77</v>
      </c>
    </row>
    <row r="2" customFormat="false" ht="15" hidden="false" customHeight="false" outlineLevel="0" collapsed="false">
      <c r="A2" s="2" t="s">
        <v>78</v>
      </c>
    </row>
    <row r="3" customFormat="false" ht="15" hidden="false" customHeight="false" outlineLevel="0" collapsed="false">
      <c r="A3" s="24" t="s">
        <v>47</v>
      </c>
      <c r="B3" s="24"/>
      <c r="C3" s="24" t="s">
        <v>46</v>
      </c>
      <c r="D3" s="24"/>
      <c r="E3" s="24" t="s">
        <v>79</v>
      </c>
      <c r="F3" s="24" t="s">
        <v>80</v>
      </c>
      <c r="G3" s="24"/>
      <c r="H3" s="24" t="s">
        <v>81</v>
      </c>
      <c r="I3" s="24"/>
      <c r="J3" s="24" t="s">
        <v>45</v>
      </c>
      <c r="K3" s="24" t="s">
        <v>62</v>
      </c>
    </row>
    <row r="4" customFormat="false" ht="15" hidden="false" customHeight="false" outlineLevel="0" collapsed="false">
      <c r="A4" s="25" t="n">
        <f aca="false">SUM(Q7:Q371)</f>
        <v>0</v>
      </c>
      <c r="B4" s="25"/>
      <c r="C4" s="25" t="n">
        <f aca="false">SUM(O7:O371)</f>
        <v>0</v>
      </c>
      <c r="D4" s="25"/>
      <c r="E4" s="25" t="n">
        <f aca="false">SUM(R7:R371)</f>
        <v>0</v>
      </c>
      <c r="F4" s="25" t="n">
        <f aca="false">SUM(P7:P371)</f>
        <v>0</v>
      </c>
      <c r="G4" s="25"/>
      <c r="H4" s="26" t="n">
        <f aca="false">COUNTIF(N7:N371,"&gt;0")</f>
        <v>256</v>
      </c>
      <c r="I4" s="26"/>
      <c r="J4" s="25" t="n">
        <f aca="false">SUM(N7:N371)</f>
        <v>2166</v>
      </c>
      <c r="K4" s="26" t="n">
        <f aca="false">COUNTIF(S7:S371,"?*")</f>
        <v>0</v>
      </c>
    </row>
    <row r="6" customFormat="false" ht="42" hidden="false" customHeight="true" outlineLevel="0" collapsed="false">
      <c r="A6" s="17" t="s">
        <v>40</v>
      </c>
      <c r="B6" s="17" t="s">
        <v>82</v>
      </c>
      <c r="C6" s="17" t="s">
        <v>83</v>
      </c>
      <c r="D6" s="17" t="s">
        <v>84</v>
      </c>
      <c r="E6" s="27" t="s">
        <v>85</v>
      </c>
      <c r="F6" s="27" t="s">
        <v>41</v>
      </c>
      <c r="G6" s="27" t="s">
        <v>42</v>
      </c>
      <c r="H6" s="27" t="s">
        <v>43</v>
      </c>
      <c r="I6" s="27" t="s">
        <v>44</v>
      </c>
      <c r="J6" s="27" t="s">
        <v>22</v>
      </c>
      <c r="K6" s="17" t="s">
        <v>86</v>
      </c>
      <c r="L6" s="17" t="s">
        <v>87</v>
      </c>
      <c r="M6" s="17" t="s">
        <v>88</v>
      </c>
      <c r="N6" s="17" t="s">
        <v>45</v>
      </c>
      <c r="O6" s="17" t="s">
        <v>46</v>
      </c>
      <c r="P6" s="17" t="s">
        <v>80</v>
      </c>
      <c r="Q6" s="17" t="s">
        <v>47</v>
      </c>
      <c r="R6" s="17" t="s">
        <v>79</v>
      </c>
      <c r="S6" s="17" t="s">
        <v>89</v>
      </c>
      <c r="T6" s="28" t="s">
        <v>90</v>
      </c>
      <c r="U6" s="28" t="s">
        <v>91</v>
      </c>
      <c r="V6" s="28" t="s">
        <v>92</v>
      </c>
      <c r="W6" s="28" t="s">
        <v>93</v>
      </c>
    </row>
    <row r="7" customFormat="false" ht="15" hidden="false" customHeight="false" outlineLevel="0" collapsed="false">
      <c r="A7" s="29" t="n">
        <v>46023</v>
      </c>
      <c r="B7" s="30" t="str">
        <f aca="false">CHOOSE(WEEKDAY(A7),"Sun","Mon","Tue","Wed","Thu","Fri","Sat")</f>
        <v>Thu</v>
      </c>
      <c r="C7" s="30" t="str">
        <f aca="false">IF(IFERROR(INDEX(Holidays!$D$5:$D$60,MATCH(A7,Holidays!$A$5:$A$60,0)),"")="Holiday","Holiday",IF(WEEKDAY(A7)&gt;=6,"Weekend",IF(IFERROR(INDEX(Holidays!$D$5:$D$60,MATCH(A7,Holidays!$A$5:$A$60,0)),"")="Eve","Eve","Workday")))</f>
        <v>Workday</v>
      </c>
      <c r="D7" s="18" t="str">
        <f aca="false">IFERROR(INDEX(Holidays!$C$5:$C$60,MATCH(A7,Holidays!$A$5:$A$60,0)),"")</f>
        <v/>
      </c>
      <c r="E7" s="31"/>
      <c r="F7" s="32"/>
      <c r="G7" s="32"/>
      <c r="H7" s="32"/>
      <c r="I7" s="32"/>
      <c r="J7" s="31"/>
      <c r="K7" s="33" t="str">
        <f aca="false">IF(E7&lt;&gt;"",E7,IF(U7,"Present",IF(C7="Holiday","Holiday","Weekend")))</f>
        <v>Present</v>
      </c>
      <c r="L7" s="34" t="n">
        <f aca="false">IF(OR(K7="Present",K7="Manual Work",K7="Partial Vacation",K7="Partial Sick Leave"),IF(ISNUMBER(F7),F7,IF(AND(K7="Present",U7),Settings!$B$6,"")),"")</f>
        <v>0.333333333333333</v>
      </c>
      <c r="M7" s="34" t="n">
        <f aca="false">IF(OR(K7="Present",K7="Manual Work",K7="Partial Vacation",K7="Partial Sick Leave"),IF(ISNUMBER(G7),G7,IF(AND(K7="Present",U7),V7,"")),"")</f>
        <v>0.6875</v>
      </c>
      <c r="N7" s="14" t="n">
        <f aca="false">IF(AND(ISNUMBER(L7),ISNUMBER(M7)),MAX(0,(M7-L7)*24),0)</f>
        <v>8.5</v>
      </c>
      <c r="O7" s="14" t="n">
        <f aca="false">IF(NOT(U7),0,IF(K7="Vacation",IF(C7="Eve",Settings!$B$9*Settings!$B$11,W7),IF(K7="Partial Vacation",IF(AND(ISNUMBER(H7),ISNUMBER(I7)),MAX(0,(I7-H7)*24),0),0)))</f>
        <v>0</v>
      </c>
      <c r="P7" s="14" t="n">
        <f aca="false">IF(NOT(U7),0,IF(K7="Sick Leave",W7,IF(K7="Partial Sick Leave",IF(AND(ISNUMBER(H7),ISNUMBER(I7)),MAX(0,(I7-H7)*24),0),0)))</f>
        <v>0</v>
      </c>
      <c r="Q7" s="14" t="n">
        <f aca="false">IF(NOT(U7),0,IF(K7="Vacation",IF(C7="Eve",Settings!$B$11,1),IF(K7="Partial Vacation",O7/Settings!$B$9,0)))</f>
        <v>0</v>
      </c>
      <c r="R7" s="14" t="n">
        <f aca="false">IF(NOT(U7),0,IF(K7="Sick Leave",1,IF(K7="Partial Sick Leave",P7/Settings!$B$9,0)))</f>
        <v>0</v>
      </c>
      <c r="S7" s="35" t="str">
        <f aca="false">IF(AND(OR(E7="Vacation",E7="Sick Leave",E7="Partial Vacation",E7="Partial Sick Leave"),NOT(U7)),"Leave not allowed on this day",IF(AND(E7="Manual Work",OR(NOT(ISNUMBER(F7)),NOT(ISNUMBER(G7)))),"Enter start and end",IF(AND(OR(E7="Partial Vacation",E7="Partial Sick Leave"),OR(NOT(ISNUMBER(H7)),NOT(ISNUMBER(I7)))),"Enter leave from and to",IF(AND(ISNUMBER(F7),ISNUMBER(G7),G7&lt;=F7),"End is before start",IF(AND(ISNUMBER(H7),ISNUMBER(I7),I7&lt;=H7),"Leave end is before start",IF(AND(ISNUMBER(F7),ISNUMBER(G7),ISNUMBER(H7),ISNUMBER(I7),F7&lt;I7,H7&lt;G7),"Work and leave hours overlap",IF(AND(E7&lt;&gt;"",WEEKDAY(A7)=7),"Saturday - administrator only","")))))))</f>
        <v/>
      </c>
      <c r="T7" s="36" t="n">
        <f aca="false">MONTH(A7)</f>
        <v>1</v>
      </c>
      <c r="U7" s="37" t="b">
        <f aca="false">OR(C7="Workday",C7="Eve")</f>
        <v>1</v>
      </c>
      <c r="V7" s="34" t="n">
        <f aca="false">IF(C7="Eve",Settings!$B$8,Settings!$B$7)</f>
        <v>0.6875</v>
      </c>
      <c r="W7" s="14" t="n">
        <f aca="false">IF(U7,(V7-Settings!$B$6)*24,0)</f>
        <v>8.5</v>
      </c>
    </row>
    <row r="8" customFormat="false" ht="15" hidden="false" customHeight="false" outlineLevel="0" collapsed="false">
      <c r="A8" s="29" t="n">
        <v>46024</v>
      </c>
      <c r="B8" s="30" t="str">
        <f aca="false">CHOOSE(WEEKDAY(A8),"Sun","Mon","Tue","Wed","Thu","Fri","Sat")</f>
        <v>Fri</v>
      </c>
      <c r="C8" s="30" t="str">
        <f aca="false">IF(IFERROR(INDEX(Holidays!$D$5:$D$60,MATCH(A8,Holidays!$A$5:$A$60,0)),"")="Holiday","Holiday",IF(WEEKDAY(A8)&gt;=6,"Weekend",IF(IFERROR(INDEX(Holidays!$D$5:$D$60,MATCH(A8,Holidays!$A$5:$A$60,0)),"")="Eve","Eve","Workday")))</f>
        <v>Weekend</v>
      </c>
      <c r="D8" s="18" t="str">
        <f aca="false">IFERROR(INDEX(Holidays!$C$5:$C$60,MATCH(A8,Holidays!$A$5:$A$60,0)),"")</f>
        <v/>
      </c>
      <c r="E8" s="31"/>
      <c r="F8" s="32"/>
      <c r="G8" s="32"/>
      <c r="H8" s="32"/>
      <c r="I8" s="32"/>
      <c r="J8" s="31"/>
      <c r="K8" s="33" t="str">
        <f aca="false">IF(E8&lt;&gt;"",E8,IF(U8,"Present",IF(C8="Holiday","Holiday","Weekend")))</f>
        <v>Weekend</v>
      </c>
      <c r="L8" s="34" t="str">
        <f aca="false">IF(OR(K8="Present",K8="Manual Work",K8="Partial Vacation",K8="Partial Sick Leave"),IF(ISNUMBER(F8),F8,IF(AND(K8="Present",U8),Settings!$B$6,"")),"")</f>
        <v/>
      </c>
      <c r="M8" s="34" t="str">
        <f aca="false">IF(OR(K8="Present",K8="Manual Work",K8="Partial Vacation",K8="Partial Sick Leave"),IF(ISNUMBER(G8),G8,IF(AND(K8="Present",U8),V8,"")),"")</f>
        <v/>
      </c>
      <c r="N8" s="14" t="n">
        <f aca="false">IF(AND(ISNUMBER(L8),ISNUMBER(M8)),MAX(0,(M8-L8)*24),0)</f>
        <v>0</v>
      </c>
      <c r="O8" s="14" t="n">
        <f aca="false">IF(NOT(U8),0,IF(K8="Vacation",IF(C8="Eve",Settings!$B$9*Settings!$B$11,W8),IF(K8="Partial Vacation",IF(AND(ISNUMBER(H8),ISNUMBER(I8)),MAX(0,(I8-H8)*24),0),0)))</f>
        <v>0</v>
      </c>
      <c r="P8" s="14" t="n">
        <f aca="false">IF(NOT(U8),0,IF(K8="Sick Leave",W8,IF(K8="Partial Sick Leave",IF(AND(ISNUMBER(H8),ISNUMBER(I8)),MAX(0,(I8-H8)*24),0),0)))</f>
        <v>0</v>
      </c>
      <c r="Q8" s="14" t="n">
        <f aca="false">IF(NOT(U8),0,IF(K8="Vacation",IF(C8="Eve",Settings!$B$11,1),IF(K8="Partial Vacation",O8/Settings!$B$9,0)))</f>
        <v>0</v>
      </c>
      <c r="R8" s="14" t="n">
        <f aca="false">IF(NOT(U8),0,IF(K8="Sick Leave",1,IF(K8="Partial Sick Leave",P8/Settings!$B$9,0)))</f>
        <v>0</v>
      </c>
      <c r="S8" s="35" t="str">
        <f aca="false">IF(AND(OR(E8="Vacation",E8="Sick Leave",E8="Partial Vacation",E8="Partial Sick Leave"),NOT(U8)),"Leave not allowed on this day",IF(AND(E8="Manual Work",OR(NOT(ISNUMBER(F8)),NOT(ISNUMBER(G8)))),"Enter start and end",IF(AND(OR(E8="Partial Vacation",E8="Partial Sick Leave"),OR(NOT(ISNUMBER(H8)),NOT(ISNUMBER(I8)))),"Enter leave from and to",IF(AND(ISNUMBER(F8),ISNUMBER(G8),G8&lt;=F8),"End is before start",IF(AND(ISNUMBER(H8),ISNUMBER(I8),I8&lt;=H8),"Leave end is before start",IF(AND(ISNUMBER(F8),ISNUMBER(G8),ISNUMBER(H8),ISNUMBER(I8),F8&lt;I8,H8&lt;G8),"Work and leave hours overlap",IF(AND(E8&lt;&gt;"",WEEKDAY(A8)=7),"Saturday - administrator only","")))))))</f>
        <v/>
      </c>
      <c r="T8" s="36" t="n">
        <f aca="false">MONTH(A8)</f>
        <v>1</v>
      </c>
      <c r="U8" s="37" t="b">
        <f aca="false">OR(C8="Workday",C8="Eve")</f>
        <v>0</v>
      </c>
      <c r="V8" s="34" t="n">
        <f aca="false">IF(C8="Eve",Settings!$B$8,Settings!$B$7)</f>
        <v>0.6875</v>
      </c>
      <c r="W8" s="14" t="n">
        <f aca="false">IF(U8,(V8-Settings!$B$6)*24,0)</f>
        <v>0</v>
      </c>
    </row>
    <row r="9" customFormat="false" ht="15" hidden="false" customHeight="false" outlineLevel="0" collapsed="false">
      <c r="A9" s="29" t="n">
        <v>46025</v>
      </c>
      <c r="B9" s="30" t="str">
        <f aca="false">CHOOSE(WEEKDAY(A9),"Sun","Mon","Tue","Wed","Thu","Fri","Sat")</f>
        <v>Sat</v>
      </c>
      <c r="C9" s="30" t="str">
        <f aca="false">IF(IFERROR(INDEX(Holidays!$D$5:$D$60,MATCH(A9,Holidays!$A$5:$A$60,0)),"")="Holiday","Holiday",IF(WEEKDAY(A9)&gt;=6,"Weekend",IF(IFERROR(INDEX(Holidays!$D$5:$D$60,MATCH(A9,Holidays!$A$5:$A$60,0)),"")="Eve","Eve","Workday")))</f>
        <v>Weekend</v>
      </c>
      <c r="D9" s="18" t="str">
        <f aca="false">IFERROR(INDEX(Holidays!$C$5:$C$60,MATCH(A9,Holidays!$A$5:$A$60,0)),"")</f>
        <v/>
      </c>
      <c r="E9" s="31"/>
      <c r="F9" s="32"/>
      <c r="G9" s="32"/>
      <c r="H9" s="32"/>
      <c r="I9" s="32"/>
      <c r="J9" s="31"/>
      <c r="K9" s="33" t="str">
        <f aca="false">IF(E9&lt;&gt;"",E9,IF(U9,"Present",IF(C9="Holiday","Holiday","Weekend")))</f>
        <v>Weekend</v>
      </c>
      <c r="L9" s="34" t="str">
        <f aca="false">IF(OR(K9="Present",K9="Manual Work",K9="Partial Vacation",K9="Partial Sick Leave"),IF(ISNUMBER(F9),F9,IF(AND(K9="Present",U9),Settings!$B$6,"")),"")</f>
        <v/>
      </c>
      <c r="M9" s="34" t="str">
        <f aca="false">IF(OR(K9="Present",K9="Manual Work",K9="Partial Vacation",K9="Partial Sick Leave"),IF(ISNUMBER(G9),G9,IF(AND(K9="Present",U9),V9,"")),"")</f>
        <v/>
      </c>
      <c r="N9" s="14" t="n">
        <f aca="false">IF(AND(ISNUMBER(L9),ISNUMBER(M9)),MAX(0,(M9-L9)*24),0)</f>
        <v>0</v>
      </c>
      <c r="O9" s="14" t="n">
        <f aca="false">IF(NOT(U9),0,IF(K9="Vacation",IF(C9="Eve",Settings!$B$9*Settings!$B$11,W9),IF(K9="Partial Vacation",IF(AND(ISNUMBER(H9),ISNUMBER(I9)),MAX(0,(I9-H9)*24),0),0)))</f>
        <v>0</v>
      </c>
      <c r="P9" s="14" t="n">
        <f aca="false">IF(NOT(U9),0,IF(K9="Sick Leave",W9,IF(K9="Partial Sick Leave",IF(AND(ISNUMBER(H9),ISNUMBER(I9)),MAX(0,(I9-H9)*24),0),0)))</f>
        <v>0</v>
      </c>
      <c r="Q9" s="14" t="n">
        <f aca="false">IF(NOT(U9),0,IF(K9="Vacation",IF(C9="Eve",Settings!$B$11,1),IF(K9="Partial Vacation",O9/Settings!$B$9,0)))</f>
        <v>0</v>
      </c>
      <c r="R9" s="14" t="n">
        <f aca="false">IF(NOT(U9),0,IF(K9="Sick Leave",1,IF(K9="Partial Sick Leave",P9/Settings!$B$9,0)))</f>
        <v>0</v>
      </c>
      <c r="S9" s="35" t="str">
        <f aca="false">IF(AND(OR(E9="Vacation",E9="Sick Leave",E9="Partial Vacation",E9="Partial Sick Leave"),NOT(U9)),"Leave not allowed on this day",IF(AND(E9="Manual Work",OR(NOT(ISNUMBER(F9)),NOT(ISNUMBER(G9)))),"Enter start and end",IF(AND(OR(E9="Partial Vacation",E9="Partial Sick Leave"),OR(NOT(ISNUMBER(H9)),NOT(ISNUMBER(I9)))),"Enter leave from and to",IF(AND(ISNUMBER(F9),ISNUMBER(G9),G9&lt;=F9),"End is before start",IF(AND(ISNUMBER(H9),ISNUMBER(I9),I9&lt;=H9),"Leave end is before start",IF(AND(ISNUMBER(F9),ISNUMBER(G9),ISNUMBER(H9),ISNUMBER(I9),F9&lt;I9,H9&lt;G9),"Work and leave hours overlap",IF(AND(E9&lt;&gt;"",WEEKDAY(A9)=7),"Saturday - administrator only","")))))))</f>
        <v/>
      </c>
      <c r="T9" s="36" t="n">
        <f aca="false">MONTH(A9)</f>
        <v>1</v>
      </c>
      <c r="U9" s="37" t="b">
        <f aca="false">OR(C9="Workday",C9="Eve")</f>
        <v>0</v>
      </c>
      <c r="V9" s="34" t="n">
        <f aca="false">IF(C9="Eve",Settings!$B$8,Settings!$B$7)</f>
        <v>0.6875</v>
      </c>
      <c r="W9" s="14" t="n">
        <f aca="false">IF(U9,(V9-Settings!$B$6)*24,0)</f>
        <v>0</v>
      </c>
    </row>
    <row r="10" customFormat="false" ht="15" hidden="false" customHeight="false" outlineLevel="0" collapsed="false">
      <c r="A10" s="29" t="n">
        <v>46026</v>
      </c>
      <c r="B10" s="30" t="str">
        <f aca="false">CHOOSE(WEEKDAY(A10),"Sun","Mon","Tue","Wed","Thu","Fri","Sat")</f>
        <v>Sun</v>
      </c>
      <c r="C10" s="30" t="str">
        <f aca="false">IF(IFERROR(INDEX(Holidays!$D$5:$D$60,MATCH(A10,Holidays!$A$5:$A$60,0)),"")="Holiday","Holiday",IF(WEEKDAY(A10)&gt;=6,"Weekend",IF(IFERROR(INDEX(Holidays!$D$5:$D$60,MATCH(A10,Holidays!$A$5:$A$60,0)),"")="Eve","Eve","Workday")))</f>
        <v>Workday</v>
      </c>
      <c r="D10" s="18" t="str">
        <f aca="false">IFERROR(INDEX(Holidays!$C$5:$C$60,MATCH(A10,Holidays!$A$5:$A$60,0)),"")</f>
        <v/>
      </c>
      <c r="E10" s="31"/>
      <c r="F10" s="32"/>
      <c r="G10" s="32"/>
      <c r="H10" s="32"/>
      <c r="I10" s="32"/>
      <c r="J10" s="31"/>
      <c r="K10" s="33" t="str">
        <f aca="false">IF(E10&lt;&gt;"",E10,IF(U10,"Present",IF(C10="Holiday","Holiday","Weekend")))</f>
        <v>Present</v>
      </c>
      <c r="L10" s="34" t="n">
        <f aca="false">IF(OR(K10="Present",K10="Manual Work",K10="Partial Vacation",K10="Partial Sick Leave"),IF(ISNUMBER(F10),F10,IF(AND(K10="Present",U10),Settings!$B$6,"")),"")</f>
        <v>0.333333333333333</v>
      </c>
      <c r="M10" s="34" t="n">
        <f aca="false">IF(OR(K10="Present",K10="Manual Work",K10="Partial Vacation",K10="Partial Sick Leave"),IF(ISNUMBER(G10),G10,IF(AND(K10="Present",U10),V10,"")),"")</f>
        <v>0.6875</v>
      </c>
      <c r="N10" s="14" t="n">
        <f aca="false">IF(AND(ISNUMBER(L10),ISNUMBER(M10)),MAX(0,(M10-L10)*24),0)</f>
        <v>8.5</v>
      </c>
      <c r="O10" s="14" t="n">
        <f aca="false">IF(NOT(U10),0,IF(K10="Vacation",IF(C10="Eve",Settings!$B$9*Settings!$B$11,W10),IF(K10="Partial Vacation",IF(AND(ISNUMBER(H10),ISNUMBER(I10)),MAX(0,(I10-H10)*24),0),0)))</f>
        <v>0</v>
      </c>
      <c r="P10" s="14" t="n">
        <f aca="false">IF(NOT(U10),0,IF(K10="Sick Leave",W10,IF(K10="Partial Sick Leave",IF(AND(ISNUMBER(H10),ISNUMBER(I10)),MAX(0,(I10-H10)*24),0),0)))</f>
        <v>0</v>
      </c>
      <c r="Q10" s="14" t="n">
        <f aca="false">IF(NOT(U10),0,IF(K10="Vacation",IF(C10="Eve",Settings!$B$11,1),IF(K10="Partial Vacation",O10/Settings!$B$9,0)))</f>
        <v>0</v>
      </c>
      <c r="R10" s="14" t="n">
        <f aca="false">IF(NOT(U10),0,IF(K10="Sick Leave",1,IF(K10="Partial Sick Leave",P10/Settings!$B$9,0)))</f>
        <v>0</v>
      </c>
      <c r="S10" s="35" t="str">
        <f aca="false">IF(AND(OR(E10="Vacation",E10="Sick Leave",E10="Partial Vacation",E10="Partial Sick Leave"),NOT(U10)),"Leave not allowed on this day",IF(AND(E10="Manual Work",OR(NOT(ISNUMBER(F10)),NOT(ISNUMBER(G10)))),"Enter start and end",IF(AND(OR(E10="Partial Vacation",E10="Partial Sick Leave"),OR(NOT(ISNUMBER(H10)),NOT(ISNUMBER(I10)))),"Enter leave from and to",IF(AND(ISNUMBER(F10),ISNUMBER(G10),G10&lt;=F10),"End is before start",IF(AND(ISNUMBER(H10),ISNUMBER(I10),I10&lt;=H10),"Leave end is before start",IF(AND(ISNUMBER(F10),ISNUMBER(G10),ISNUMBER(H10),ISNUMBER(I10),F10&lt;I10,H10&lt;G10),"Work and leave hours overlap",IF(AND(E10&lt;&gt;"",WEEKDAY(A10)=7),"Saturday - administrator only","")))))))</f>
        <v/>
      </c>
      <c r="T10" s="36" t="n">
        <f aca="false">MONTH(A10)</f>
        <v>1</v>
      </c>
      <c r="U10" s="37" t="b">
        <f aca="false">OR(C10="Workday",C10="Eve")</f>
        <v>1</v>
      </c>
      <c r="V10" s="34" t="n">
        <f aca="false">IF(C10="Eve",Settings!$B$8,Settings!$B$7)</f>
        <v>0.6875</v>
      </c>
      <c r="W10" s="14" t="n">
        <f aca="false">IF(U10,(V10-Settings!$B$6)*24,0)</f>
        <v>8.5</v>
      </c>
    </row>
    <row r="11" customFormat="false" ht="15" hidden="false" customHeight="false" outlineLevel="0" collapsed="false">
      <c r="A11" s="29" t="n">
        <v>46027</v>
      </c>
      <c r="B11" s="30" t="str">
        <f aca="false">CHOOSE(WEEKDAY(A11),"Sun","Mon","Tue","Wed","Thu","Fri","Sat")</f>
        <v>Mon</v>
      </c>
      <c r="C11" s="30" t="str">
        <f aca="false">IF(IFERROR(INDEX(Holidays!$D$5:$D$60,MATCH(A11,Holidays!$A$5:$A$60,0)),"")="Holiday","Holiday",IF(WEEKDAY(A11)&gt;=6,"Weekend",IF(IFERROR(INDEX(Holidays!$D$5:$D$60,MATCH(A11,Holidays!$A$5:$A$60,0)),"")="Eve","Eve","Workday")))</f>
        <v>Workday</v>
      </c>
      <c r="D11" s="18" t="str">
        <f aca="false">IFERROR(INDEX(Holidays!$C$5:$C$60,MATCH(A11,Holidays!$A$5:$A$60,0)),"")</f>
        <v/>
      </c>
      <c r="E11" s="31"/>
      <c r="F11" s="32"/>
      <c r="G11" s="32"/>
      <c r="H11" s="32"/>
      <c r="I11" s="32"/>
      <c r="J11" s="31"/>
      <c r="K11" s="33" t="str">
        <f aca="false">IF(E11&lt;&gt;"",E11,IF(U11,"Present",IF(C11="Holiday","Holiday","Weekend")))</f>
        <v>Present</v>
      </c>
      <c r="L11" s="34" t="n">
        <f aca="false">IF(OR(K11="Present",K11="Manual Work",K11="Partial Vacation",K11="Partial Sick Leave"),IF(ISNUMBER(F11),F11,IF(AND(K11="Present",U11),Settings!$B$6,"")),"")</f>
        <v>0.333333333333333</v>
      </c>
      <c r="M11" s="34" t="n">
        <f aca="false">IF(OR(K11="Present",K11="Manual Work",K11="Partial Vacation",K11="Partial Sick Leave"),IF(ISNUMBER(G11),G11,IF(AND(K11="Present",U11),V11,"")),"")</f>
        <v>0.6875</v>
      </c>
      <c r="N11" s="14" t="n">
        <f aca="false">IF(AND(ISNUMBER(L11),ISNUMBER(M11)),MAX(0,(M11-L11)*24),0)</f>
        <v>8.5</v>
      </c>
      <c r="O11" s="14" t="n">
        <f aca="false">IF(NOT(U11),0,IF(K11="Vacation",IF(C11="Eve",Settings!$B$9*Settings!$B$11,W11),IF(K11="Partial Vacation",IF(AND(ISNUMBER(H11),ISNUMBER(I11)),MAX(0,(I11-H11)*24),0),0)))</f>
        <v>0</v>
      </c>
      <c r="P11" s="14" t="n">
        <f aca="false">IF(NOT(U11),0,IF(K11="Sick Leave",W11,IF(K11="Partial Sick Leave",IF(AND(ISNUMBER(H11),ISNUMBER(I11)),MAX(0,(I11-H11)*24),0),0)))</f>
        <v>0</v>
      </c>
      <c r="Q11" s="14" t="n">
        <f aca="false">IF(NOT(U11),0,IF(K11="Vacation",IF(C11="Eve",Settings!$B$11,1),IF(K11="Partial Vacation",O11/Settings!$B$9,0)))</f>
        <v>0</v>
      </c>
      <c r="R11" s="14" t="n">
        <f aca="false">IF(NOT(U11),0,IF(K11="Sick Leave",1,IF(K11="Partial Sick Leave",P11/Settings!$B$9,0)))</f>
        <v>0</v>
      </c>
      <c r="S11" s="35" t="str">
        <f aca="false">IF(AND(OR(E11="Vacation",E11="Sick Leave",E11="Partial Vacation",E11="Partial Sick Leave"),NOT(U11)),"Leave not allowed on this day",IF(AND(E11="Manual Work",OR(NOT(ISNUMBER(F11)),NOT(ISNUMBER(G11)))),"Enter start and end",IF(AND(OR(E11="Partial Vacation",E11="Partial Sick Leave"),OR(NOT(ISNUMBER(H11)),NOT(ISNUMBER(I11)))),"Enter leave from and to",IF(AND(ISNUMBER(F11),ISNUMBER(G11),G11&lt;=F11),"End is before start",IF(AND(ISNUMBER(H11),ISNUMBER(I11),I11&lt;=H11),"Leave end is before start",IF(AND(ISNUMBER(F11),ISNUMBER(G11),ISNUMBER(H11),ISNUMBER(I11),F11&lt;I11,H11&lt;G11),"Work and leave hours overlap",IF(AND(E11&lt;&gt;"",WEEKDAY(A11)=7),"Saturday - administrator only","")))))))</f>
        <v/>
      </c>
      <c r="T11" s="36" t="n">
        <f aca="false">MONTH(A11)</f>
        <v>1</v>
      </c>
      <c r="U11" s="37" t="b">
        <f aca="false">OR(C11="Workday",C11="Eve")</f>
        <v>1</v>
      </c>
      <c r="V11" s="34" t="n">
        <f aca="false">IF(C11="Eve",Settings!$B$8,Settings!$B$7)</f>
        <v>0.6875</v>
      </c>
      <c r="W11" s="14" t="n">
        <f aca="false">IF(U11,(V11-Settings!$B$6)*24,0)</f>
        <v>8.5</v>
      </c>
    </row>
    <row r="12" customFormat="false" ht="15" hidden="false" customHeight="false" outlineLevel="0" collapsed="false">
      <c r="A12" s="29" t="n">
        <v>46028</v>
      </c>
      <c r="B12" s="30" t="str">
        <f aca="false">CHOOSE(WEEKDAY(A12),"Sun","Mon","Tue","Wed","Thu","Fri","Sat")</f>
        <v>Tue</v>
      </c>
      <c r="C12" s="30" t="str">
        <f aca="false">IF(IFERROR(INDEX(Holidays!$D$5:$D$60,MATCH(A12,Holidays!$A$5:$A$60,0)),"")="Holiday","Holiday",IF(WEEKDAY(A12)&gt;=6,"Weekend",IF(IFERROR(INDEX(Holidays!$D$5:$D$60,MATCH(A12,Holidays!$A$5:$A$60,0)),"")="Eve","Eve","Workday")))</f>
        <v>Workday</v>
      </c>
      <c r="D12" s="18" t="str">
        <f aca="false">IFERROR(INDEX(Holidays!$C$5:$C$60,MATCH(A12,Holidays!$A$5:$A$60,0)),"")</f>
        <v/>
      </c>
      <c r="E12" s="31"/>
      <c r="F12" s="32"/>
      <c r="G12" s="32"/>
      <c r="H12" s="32"/>
      <c r="I12" s="32"/>
      <c r="J12" s="31"/>
      <c r="K12" s="33" t="str">
        <f aca="false">IF(E12&lt;&gt;"",E12,IF(U12,"Present",IF(C12="Holiday","Holiday","Weekend")))</f>
        <v>Present</v>
      </c>
      <c r="L12" s="34" t="n">
        <f aca="false">IF(OR(K12="Present",K12="Manual Work",K12="Partial Vacation",K12="Partial Sick Leave"),IF(ISNUMBER(F12),F12,IF(AND(K12="Present",U12),Settings!$B$6,"")),"")</f>
        <v>0.333333333333333</v>
      </c>
      <c r="M12" s="34" t="n">
        <f aca="false">IF(OR(K12="Present",K12="Manual Work",K12="Partial Vacation",K12="Partial Sick Leave"),IF(ISNUMBER(G12),G12,IF(AND(K12="Present",U12),V12,"")),"")</f>
        <v>0.6875</v>
      </c>
      <c r="N12" s="14" t="n">
        <f aca="false">IF(AND(ISNUMBER(L12),ISNUMBER(M12)),MAX(0,(M12-L12)*24),0)</f>
        <v>8.5</v>
      </c>
      <c r="O12" s="14" t="n">
        <f aca="false">IF(NOT(U12),0,IF(K12="Vacation",IF(C12="Eve",Settings!$B$9*Settings!$B$11,W12),IF(K12="Partial Vacation",IF(AND(ISNUMBER(H12),ISNUMBER(I12)),MAX(0,(I12-H12)*24),0),0)))</f>
        <v>0</v>
      </c>
      <c r="P12" s="14" t="n">
        <f aca="false">IF(NOT(U12),0,IF(K12="Sick Leave",W12,IF(K12="Partial Sick Leave",IF(AND(ISNUMBER(H12),ISNUMBER(I12)),MAX(0,(I12-H12)*24),0),0)))</f>
        <v>0</v>
      </c>
      <c r="Q12" s="14" t="n">
        <f aca="false">IF(NOT(U12),0,IF(K12="Vacation",IF(C12="Eve",Settings!$B$11,1),IF(K12="Partial Vacation",O12/Settings!$B$9,0)))</f>
        <v>0</v>
      </c>
      <c r="R12" s="14" t="n">
        <f aca="false">IF(NOT(U12),0,IF(K12="Sick Leave",1,IF(K12="Partial Sick Leave",P12/Settings!$B$9,0)))</f>
        <v>0</v>
      </c>
      <c r="S12" s="35" t="str">
        <f aca="false">IF(AND(OR(E12="Vacation",E12="Sick Leave",E12="Partial Vacation",E12="Partial Sick Leave"),NOT(U12)),"Leave not allowed on this day",IF(AND(E12="Manual Work",OR(NOT(ISNUMBER(F12)),NOT(ISNUMBER(G12)))),"Enter start and end",IF(AND(OR(E12="Partial Vacation",E12="Partial Sick Leave"),OR(NOT(ISNUMBER(H12)),NOT(ISNUMBER(I12)))),"Enter leave from and to",IF(AND(ISNUMBER(F12),ISNUMBER(G12),G12&lt;=F12),"End is before start",IF(AND(ISNUMBER(H12),ISNUMBER(I12),I12&lt;=H12),"Leave end is before start",IF(AND(ISNUMBER(F12),ISNUMBER(G12),ISNUMBER(H12),ISNUMBER(I12),F12&lt;I12,H12&lt;G12),"Work and leave hours overlap",IF(AND(E12&lt;&gt;"",WEEKDAY(A12)=7),"Saturday - administrator only","")))))))</f>
        <v/>
      </c>
      <c r="T12" s="36" t="n">
        <f aca="false">MONTH(A12)</f>
        <v>1</v>
      </c>
      <c r="U12" s="37" t="b">
        <f aca="false">OR(C12="Workday",C12="Eve")</f>
        <v>1</v>
      </c>
      <c r="V12" s="34" t="n">
        <f aca="false">IF(C12="Eve",Settings!$B$8,Settings!$B$7)</f>
        <v>0.6875</v>
      </c>
      <c r="W12" s="14" t="n">
        <f aca="false">IF(U12,(V12-Settings!$B$6)*24,0)</f>
        <v>8.5</v>
      </c>
    </row>
    <row r="13" customFormat="false" ht="15" hidden="false" customHeight="false" outlineLevel="0" collapsed="false">
      <c r="A13" s="29" t="n">
        <v>46029</v>
      </c>
      <c r="B13" s="30" t="str">
        <f aca="false">CHOOSE(WEEKDAY(A13),"Sun","Mon","Tue","Wed","Thu","Fri","Sat")</f>
        <v>Wed</v>
      </c>
      <c r="C13" s="30" t="str">
        <f aca="false">IF(IFERROR(INDEX(Holidays!$D$5:$D$60,MATCH(A13,Holidays!$A$5:$A$60,0)),"")="Holiday","Holiday",IF(WEEKDAY(A13)&gt;=6,"Weekend",IF(IFERROR(INDEX(Holidays!$D$5:$D$60,MATCH(A13,Holidays!$A$5:$A$60,0)),"")="Eve","Eve","Workday")))</f>
        <v>Workday</v>
      </c>
      <c r="D13" s="18" t="str">
        <f aca="false">IFERROR(INDEX(Holidays!$C$5:$C$60,MATCH(A13,Holidays!$A$5:$A$60,0)),"")</f>
        <v/>
      </c>
      <c r="E13" s="31"/>
      <c r="F13" s="32"/>
      <c r="G13" s="32"/>
      <c r="H13" s="32"/>
      <c r="I13" s="32"/>
      <c r="J13" s="31"/>
      <c r="K13" s="33" t="str">
        <f aca="false">IF(E13&lt;&gt;"",E13,IF(U13,"Present",IF(C13="Holiday","Holiday","Weekend")))</f>
        <v>Present</v>
      </c>
      <c r="L13" s="34" t="n">
        <f aca="false">IF(OR(K13="Present",K13="Manual Work",K13="Partial Vacation",K13="Partial Sick Leave"),IF(ISNUMBER(F13),F13,IF(AND(K13="Present",U13),Settings!$B$6,"")),"")</f>
        <v>0.333333333333333</v>
      </c>
      <c r="M13" s="34" t="n">
        <f aca="false">IF(OR(K13="Present",K13="Manual Work",K13="Partial Vacation",K13="Partial Sick Leave"),IF(ISNUMBER(G13),G13,IF(AND(K13="Present",U13),V13,"")),"")</f>
        <v>0.6875</v>
      </c>
      <c r="N13" s="14" t="n">
        <f aca="false">IF(AND(ISNUMBER(L13),ISNUMBER(M13)),MAX(0,(M13-L13)*24),0)</f>
        <v>8.5</v>
      </c>
      <c r="O13" s="14" t="n">
        <f aca="false">IF(NOT(U13),0,IF(K13="Vacation",IF(C13="Eve",Settings!$B$9*Settings!$B$11,W13),IF(K13="Partial Vacation",IF(AND(ISNUMBER(H13),ISNUMBER(I13)),MAX(0,(I13-H13)*24),0),0)))</f>
        <v>0</v>
      </c>
      <c r="P13" s="14" t="n">
        <f aca="false">IF(NOT(U13),0,IF(K13="Sick Leave",W13,IF(K13="Partial Sick Leave",IF(AND(ISNUMBER(H13),ISNUMBER(I13)),MAX(0,(I13-H13)*24),0),0)))</f>
        <v>0</v>
      </c>
      <c r="Q13" s="14" t="n">
        <f aca="false">IF(NOT(U13),0,IF(K13="Vacation",IF(C13="Eve",Settings!$B$11,1),IF(K13="Partial Vacation",O13/Settings!$B$9,0)))</f>
        <v>0</v>
      </c>
      <c r="R13" s="14" t="n">
        <f aca="false">IF(NOT(U13),0,IF(K13="Sick Leave",1,IF(K13="Partial Sick Leave",P13/Settings!$B$9,0)))</f>
        <v>0</v>
      </c>
      <c r="S13" s="35" t="str">
        <f aca="false">IF(AND(OR(E13="Vacation",E13="Sick Leave",E13="Partial Vacation",E13="Partial Sick Leave"),NOT(U13)),"Leave not allowed on this day",IF(AND(E13="Manual Work",OR(NOT(ISNUMBER(F13)),NOT(ISNUMBER(G13)))),"Enter start and end",IF(AND(OR(E13="Partial Vacation",E13="Partial Sick Leave"),OR(NOT(ISNUMBER(H13)),NOT(ISNUMBER(I13)))),"Enter leave from and to",IF(AND(ISNUMBER(F13),ISNUMBER(G13),G13&lt;=F13),"End is before start",IF(AND(ISNUMBER(H13),ISNUMBER(I13),I13&lt;=H13),"Leave end is before start",IF(AND(ISNUMBER(F13),ISNUMBER(G13),ISNUMBER(H13),ISNUMBER(I13),F13&lt;I13,H13&lt;G13),"Work and leave hours overlap",IF(AND(E13&lt;&gt;"",WEEKDAY(A13)=7),"Saturday - administrator only","")))))))</f>
        <v/>
      </c>
      <c r="T13" s="36" t="n">
        <f aca="false">MONTH(A13)</f>
        <v>1</v>
      </c>
      <c r="U13" s="37" t="b">
        <f aca="false">OR(C13="Workday",C13="Eve")</f>
        <v>1</v>
      </c>
      <c r="V13" s="34" t="n">
        <f aca="false">IF(C13="Eve",Settings!$B$8,Settings!$B$7)</f>
        <v>0.6875</v>
      </c>
      <c r="W13" s="14" t="n">
        <f aca="false">IF(U13,(V13-Settings!$B$6)*24,0)</f>
        <v>8.5</v>
      </c>
    </row>
    <row r="14" customFormat="false" ht="15" hidden="false" customHeight="false" outlineLevel="0" collapsed="false">
      <c r="A14" s="29" t="n">
        <v>46030</v>
      </c>
      <c r="B14" s="30" t="str">
        <f aca="false">CHOOSE(WEEKDAY(A14),"Sun","Mon","Tue","Wed","Thu","Fri","Sat")</f>
        <v>Thu</v>
      </c>
      <c r="C14" s="30" t="str">
        <f aca="false">IF(IFERROR(INDEX(Holidays!$D$5:$D$60,MATCH(A14,Holidays!$A$5:$A$60,0)),"")="Holiday","Holiday",IF(WEEKDAY(A14)&gt;=6,"Weekend",IF(IFERROR(INDEX(Holidays!$D$5:$D$60,MATCH(A14,Holidays!$A$5:$A$60,0)),"")="Eve","Eve","Workday")))</f>
        <v>Workday</v>
      </c>
      <c r="D14" s="18" t="str">
        <f aca="false">IFERROR(INDEX(Holidays!$C$5:$C$60,MATCH(A14,Holidays!$A$5:$A$60,0)),"")</f>
        <v/>
      </c>
      <c r="E14" s="31"/>
      <c r="F14" s="32"/>
      <c r="G14" s="32"/>
      <c r="H14" s="32"/>
      <c r="I14" s="32"/>
      <c r="J14" s="31"/>
      <c r="K14" s="33" t="str">
        <f aca="false">IF(E14&lt;&gt;"",E14,IF(U14,"Present",IF(C14="Holiday","Holiday","Weekend")))</f>
        <v>Present</v>
      </c>
      <c r="L14" s="34" t="n">
        <f aca="false">IF(OR(K14="Present",K14="Manual Work",K14="Partial Vacation",K14="Partial Sick Leave"),IF(ISNUMBER(F14),F14,IF(AND(K14="Present",U14),Settings!$B$6,"")),"")</f>
        <v>0.333333333333333</v>
      </c>
      <c r="M14" s="34" t="n">
        <f aca="false">IF(OR(K14="Present",K14="Manual Work",K14="Partial Vacation",K14="Partial Sick Leave"),IF(ISNUMBER(G14),G14,IF(AND(K14="Present",U14),V14,"")),"")</f>
        <v>0.6875</v>
      </c>
      <c r="N14" s="14" t="n">
        <f aca="false">IF(AND(ISNUMBER(L14),ISNUMBER(M14)),MAX(0,(M14-L14)*24),0)</f>
        <v>8.5</v>
      </c>
      <c r="O14" s="14" t="n">
        <f aca="false">IF(NOT(U14),0,IF(K14="Vacation",IF(C14="Eve",Settings!$B$9*Settings!$B$11,W14),IF(K14="Partial Vacation",IF(AND(ISNUMBER(H14),ISNUMBER(I14)),MAX(0,(I14-H14)*24),0),0)))</f>
        <v>0</v>
      </c>
      <c r="P14" s="14" t="n">
        <f aca="false">IF(NOT(U14),0,IF(K14="Sick Leave",W14,IF(K14="Partial Sick Leave",IF(AND(ISNUMBER(H14),ISNUMBER(I14)),MAX(0,(I14-H14)*24),0),0)))</f>
        <v>0</v>
      </c>
      <c r="Q14" s="14" t="n">
        <f aca="false">IF(NOT(U14),0,IF(K14="Vacation",IF(C14="Eve",Settings!$B$11,1),IF(K14="Partial Vacation",O14/Settings!$B$9,0)))</f>
        <v>0</v>
      </c>
      <c r="R14" s="14" t="n">
        <f aca="false">IF(NOT(U14),0,IF(K14="Sick Leave",1,IF(K14="Partial Sick Leave",P14/Settings!$B$9,0)))</f>
        <v>0</v>
      </c>
      <c r="S14" s="35" t="str">
        <f aca="false">IF(AND(OR(E14="Vacation",E14="Sick Leave",E14="Partial Vacation",E14="Partial Sick Leave"),NOT(U14)),"Leave not allowed on this day",IF(AND(E14="Manual Work",OR(NOT(ISNUMBER(F14)),NOT(ISNUMBER(G14)))),"Enter start and end",IF(AND(OR(E14="Partial Vacation",E14="Partial Sick Leave"),OR(NOT(ISNUMBER(H14)),NOT(ISNUMBER(I14)))),"Enter leave from and to",IF(AND(ISNUMBER(F14),ISNUMBER(G14),G14&lt;=F14),"End is before start",IF(AND(ISNUMBER(H14),ISNUMBER(I14),I14&lt;=H14),"Leave end is before start",IF(AND(ISNUMBER(F14),ISNUMBER(G14),ISNUMBER(H14),ISNUMBER(I14),F14&lt;I14,H14&lt;G14),"Work and leave hours overlap",IF(AND(E14&lt;&gt;"",WEEKDAY(A14)=7),"Saturday - administrator only","")))))))</f>
        <v/>
      </c>
      <c r="T14" s="36" t="n">
        <f aca="false">MONTH(A14)</f>
        <v>1</v>
      </c>
      <c r="U14" s="37" t="b">
        <f aca="false">OR(C14="Workday",C14="Eve")</f>
        <v>1</v>
      </c>
      <c r="V14" s="34" t="n">
        <f aca="false">IF(C14="Eve",Settings!$B$8,Settings!$B$7)</f>
        <v>0.6875</v>
      </c>
      <c r="W14" s="14" t="n">
        <f aca="false">IF(U14,(V14-Settings!$B$6)*24,0)</f>
        <v>8.5</v>
      </c>
    </row>
    <row r="15" customFormat="false" ht="15" hidden="false" customHeight="false" outlineLevel="0" collapsed="false">
      <c r="A15" s="29" t="n">
        <v>46031</v>
      </c>
      <c r="B15" s="30" t="str">
        <f aca="false">CHOOSE(WEEKDAY(A15),"Sun","Mon","Tue","Wed","Thu","Fri","Sat")</f>
        <v>Fri</v>
      </c>
      <c r="C15" s="30" t="str">
        <f aca="false">IF(IFERROR(INDEX(Holidays!$D$5:$D$60,MATCH(A15,Holidays!$A$5:$A$60,0)),"")="Holiday","Holiday",IF(WEEKDAY(A15)&gt;=6,"Weekend",IF(IFERROR(INDEX(Holidays!$D$5:$D$60,MATCH(A15,Holidays!$A$5:$A$60,0)),"")="Eve","Eve","Workday")))</f>
        <v>Weekend</v>
      </c>
      <c r="D15" s="18" t="str">
        <f aca="false">IFERROR(INDEX(Holidays!$C$5:$C$60,MATCH(A15,Holidays!$A$5:$A$60,0)),"")</f>
        <v/>
      </c>
      <c r="E15" s="31"/>
      <c r="F15" s="32"/>
      <c r="G15" s="32"/>
      <c r="H15" s="32"/>
      <c r="I15" s="32"/>
      <c r="J15" s="31"/>
      <c r="K15" s="33" t="str">
        <f aca="false">IF(E15&lt;&gt;"",E15,IF(U15,"Present",IF(C15="Holiday","Holiday","Weekend")))</f>
        <v>Weekend</v>
      </c>
      <c r="L15" s="34" t="str">
        <f aca="false">IF(OR(K15="Present",K15="Manual Work",K15="Partial Vacation",K15="Partial Sick Leave"),IF(ISNUMBER(F15),F15,IF(AND(K15="Present",U15),Settings!$B$6,"")),"")</f>
        <v/>
      </c>
      <c r="M15" s="34" t="str">
        <f aca="false">IF(OR(K15="Present",K15="Manual Work",K15="Partial Vacation",K15="Partial Sick Leave"),IF(ISNUMBER(G15),G15,IF(AND(K15="Present",U15),V15,"")),"")</f>
        <v/>
      </c>
      <c r="N15" s="14" t="n">
        <f aca="false">IF(AND(ISNUMBER(L15),ISNUMBER(M15)),MAX(0,(M15-L15)*24),0)</f>
        <v>0</v>
      </c>
      <c r="O15" s="14" t="n">
        <f aca="false">IF(NOT(U15),0,IF(K15="Vacation",IF(C15="Eve",Settings!$B$9*Settings!$B$11,W15),IF(K15="Partial Vacation",IF(AND(ISNUMBER(H15),ISNUMBER(I15)),MAX(0,(I15-H15)*24),0),0)))</f>
        <v>0</v>
      </c>
      <c r="P15" s="14" t="n">
        <f aca="false">IF(NOT(U15),0,IF(K15="Sick Leave",W15,IF(K15="Partial Sick Leave",IF(AND(ISNUMBER(H15),ISNUMBER(I15)),MAX(0,(I15-H15)*24),0),0)))</f>
        <v>0</v>
      </c>
      <c r="Q15" s="14" t="n">
        <f aca="false">IF(NOT(U15),0,IF(K15="Vacation",IF(C15="Eve",Settings!$B$11,1),IF(K15="Partial Vacation",O15/Settings!$B$9,0)))</f>
        <v>0</v>
      </c>
      <c r="R15" s="14" t="n">
        <f aca="false">IF(NOT(U15),0,IF(K15="Sick Leave",1,IF(K15="Partial Sick Leave",P15/Settings!$B$9,0)))</f>
        <v>0</v>
      </c>
      <c r="S15" s="35" t="str">
        <f aca="false">IF(AND(OR(E15="Vacation",E15="Sick Leave",E15="Partial Vacation",E15="Partial Sick Leave"),NOT(U15)),"Leave not allowed on this day",IF(AND(E15="Manual Work",OR(NOT(ISNUMBER(F15)),NOT(ISNUMBER(G15)))),"Enter start and end",IF(AND(OR(E15="Partial Vacation",E15="Partial Sick Leave"),OR(NOT(ISNUMBER(H15)),NOT(ISNUMBER(I15)))),"Enter leave from and to",IF(AND(ISNUMBER(F15),ISNUMBER(G15),G15&lt;=F15),"End is before start",IF(AND(ISNUMBER(H15),ISNUMBER(I15),I15&lt;=H15),"Leave end is before start",IF(AND(ISNUMBER(F15),ISNUMBER(G15),ISNUMBER(H15),ISNUMBER(I15),F15&lt;I15,H15&lt;G15),"Work and leave hours overlap",IF(AND(E15&lt;&gt;"",WEEKDAY(A15)=7),"Saturday - administrator only","")))))))</f>
        <v/>
      </c>
      <c r="T15" s="36" t="n">
        <f aca="false">MONTH(A15)</f>
        <v>1</v>
      </c>
      <c r="U15" s="37" t="b">
        <f aca="false">OR(C15="Workday",C15="Eve")</f>
        <v>0</v>
      </c>
      <c r="V15" s="34" t="n">
        <f aca="false">IF(C15="Eve",Settings!$B$8,Settings!$B$7)</f>
        <v>0.6875</v>
      </c>
      <c r="W15" s="14" t="n">
        <f aca="false">IF(U15,(V15-Settings!$B$6)*24,0)</f>
        <v>0</v>
      </c>
    </row>
    <row r="16" customFormat="false" ht="15" hidden="false" customHeight="false" outlineLevel="0" collapsed="false">
      <c r="A16" s="29" t="n">
        <v>46032</v>
      </c>
      <c r="B16" s="30" t="str">
        <f aca="false">CHOOSE(WEEKDAY(A16),"Sun","Mon","Tue","Wed","Thu","Fri","Sat")</f>
        <v>Sat</v>
      </c>
      <c r="C16" s="30" t="str">
        <f aca="false">IF(IFERROR(INDEX(Holidays!$D$5:$D$60,MATCH(A16,Holidays!$A$5:$A$60,0)),"")="Holiday","Holiday",IF(WEEKDAY(A16)&gt;=6,"Weekend",IF(IFERROR(INDEX(Holidays!$D$5:$D$60,MATCH(A16,Holidays!$A$5:$A$60,0)),"")="Eve","Eve","Workday")))</f>
        <v>Weekend</v>
      </c>
      <c r="D16" s="18" t="str">
        <f aca="false">IFERROR(INDEX(Holidays!$C$5:$C$60,MATCH(A16,Holidays!$A$5:$A$60,0)),"")</f>
        <v/>
      </c>
      <c r="E16" s="31"/>
      <c r="F16" s="32"/>
      <c r="G16" s="32"/>
      <c r="H16" s="32"/>
      <c r="I16" s="32"/>
      <c r="J16" s="31"/>
      <c r="K16" s="33" t="str">
        <f aca="false">IF(E16&lt;&gt;"",E16,IF(U16,"Present",IF(C16="Holiday","Holiday","Weekend")))</f>
        <v>Weekend</v>
      </c>
      <c r="L16" s="34" t="str">
        <f aca="false">IF(OR(K16="Present",K16="Manual Work",K16="Partial Vacation",K16="Partial Sick Leave"),IF(ISNUMBER(F16),F16,IF(AND(K16="Present",U16),Settings!$B$6,"")),"")</f>
        <v/>
      </c>
      <c r="M16" s="34" t="str">
        <f aca="false">IF(OR(K16="Present",K16="Manual Work",K16="Partial Vacation",K16="Partial Sick Leave"),IF(ISNUMBER(G16),G16,IF(AND(K16="Present",U16),V16,"")),"")</f>
        <v/>
      </c>
      <c r="N16" s="14" t="n">
        <f aca="false">IF(AND(ISNUMBER(L16),ISNUMBER(M16)),MAX(0,(M16-L16)*24),0)</f>
        <v>0</v>
      </c>
      <c r="O16" s="14" t="n">
        <f aca="false">IF(NOT(U16),0,IF(K16="Vacation",IF(C16="Eve",Settings!$B$9*Settings!$B$11,W16),IF(K16="Partial Vacation",IF(AND(ISNUMBER(H16),ISNUMBER(I16)),MAX(0,(I16-H16)*24),0),0)))</f>
        <v>0</v>
      </c>
      <c r="P16" s="14" t="n">
        <f aca="false">IF(NOT(U16),0,IF(K16="Sick Leave",W16,IF(K16="Partial Sick Leave",IF(AND(ISNUMBER(H16),ISNUMBER(I16)),MAX(0,(I16-H16)*24),0),0)))</f>
        <v>0</v>
      </c>
      <c r="Q16" s="14" t="n">
        <f aca="false">IF(NOT(U16),0,IF(K16="Vacation",IF(C16="Eve",Settings!$B$11,1),IF(K16="Partial Vacation",O16/Settings!$B$9,0)))</f>
        <v>0</v>
      </c>
      <c r="R16" s="14" t="n">
        <f aca="false">IF(NOT(U16),0,IF(K16="Sick Leave",1,IF(K16="Partial Sick Leave",P16/Settings!$B$9,0)))</f>
        <v>0</v>
      </c>
      <c r="S16" s="35" t="str">
        <f aca="false">IF(AND(OR(E16="Vacation",E16="Sick Leave",E16="Partial Vacation",E16="Partial Sick Leave"),NOT(U16)),"Leave not allowed on this day",IF(AND(E16="Manual Work",OR(NOT(ISNUMBER(F16)),NOT(ISNUMBER(G16)))),"Enter start and end",IF(AND(OR(E16="Partial Vacation",E16="Partial Sick Leave"),OR(NOT(ISNUMBER(H16)),NOT(ISNUMBER(I16)))),"Enter leave from and to",IF(AND(ISNUMBER(F16),ISNUMBER(G16),G16&lt;=F16),"End is before start",IF(AND(ISNUMBER(H16),ISNUMBER(I16),I16&lt;=H16),"Leave end is before start",IF(AND(ISNUMBER(F16),ISNUMBER(G16),ISNUMBER(H16),ISNUMBER(I16),F16&lt;I16,H16&lt;G16),"Work and leave hours overlap",IF(AND(E16&lt;&gt;"",WEEKDAY(A16)=7),"Saturday - administrator only","")))))))</f>
        <v/>
      </c>
      <c r="T16" s="36" t="n">
        <f aca="false">MONTH(A16)</f>
        <v>1</v>
      </c>
      <c r="U16" s="37" t="b">
        <f aca="false">OR(C16="Workday",C16="Eve")</f>
        <v>0</v>
      </c>
      <c r="V16" s="34" t="n">
        <f aca="false">IF(C16="Eve",Settings!$B$8,Settings!$B$7)</f>
        <v>0.6875</v>
      </c>
      <c r="W16" s="14" t="n">
        <f aca="false">IF(U16,(V16-Settings!$B$6)*24,0)</f>
        <v>0</v>
      </c>
    </row>
    <row r="17" customFormat="false" ht="15" hidden="false" customHeight="false" outlineLevel="0" collapsed="false">
      <c r="A17" s="29" t="n">
        <v>46033</v>
      </c>
      <c r="B17" s="30" t="str">
        <f aca="false">CHOOSE(WEEKDAY(A17),"Sun","Mon","Tue","Wed","Thu","Fri","Sat")</f>
        <v>Sun</v>
      </c>
      <c r="C17" s="30" t="str">
        <f aca="false">IF(IFERROR(INDEX(Holidays!$D$5:$D$60,MATCH(A17,Holidays!$A$5:$A$60,0)),"")="Holiday","Holiday",IF(WEEKDAY(A17)&gt;=6,"Weekend",IF(IFERROR(INDEX(Holidays!$D$5:$D$60,MATCH(A17,Holidays!$A$5:$A$60,0)),"")="Eve","Eve","Workday")))</f>
        <v>Workday</v>
      </c>
      <c r="D17" s="18" t="str">
        <f aca="false">IFERROR(INDEX(Holidays!$C$5:$C$60,MATCH(A17,Holidays!$A$5:$A$60,0)),"")</f>
        <v/>
      </c>
      <c r="E17" s="31"/>
      <c r="F17" s="32"/>
      <c r="G17" s="32"/>
      <c r="H17" s="32"/>
      <c r="I17" s="32"/>
      <c r="J17" s="31"/>
      <c r="K17" s="33" t="str">
        <f aca="false">IF(E17&lt;&gt;"",E17,IF(U17,"Present",IF(C17="Holiday","Holiday","Weekend")))</f>
        <v>Present</v>
      </c>
      <c r="L17" s="34" t="n">
        <f aca="false">IF(OR(K17="Present",K17="Manual Work",K17="Partial Vacation",K17="Partial Sick Leave"),IF(ISNUMBER(F17),F17,IF(AND(K17="Present",U17),Settings!$B$6,"")),"")</f>
        <v>0.333333333333333</v>
      </c>
      <c r="M17" s="34" t="n">
        <f aca="false">IF(OR(K17="Present",K17="Manual Work",K17="Partial Vacation",K17="Partial Sick Leave"),IF(ISNUMBER(G17),G17,IF(AND(K17="Present",U17),V17,"")),"")</f>
        <v>0.6875</v>
      </c>
      <c r="N17" s="14" t="n">
        <f aca="false">IF(AND(ISNUMBER(L17),ISNUMBER(M17)),MAX(0,(M17-L17)*24),0)</f>
        <v>8.5</v>
      </c>
      <c r="O17" s="14" t="n">
        <f aca="false">IF(NOT(U17),0,IF(K17="Vacation",IF(C17="Eve",Settings!$B$9*Settings!$B$11,W17),IF(K17="Partial Vacation",IF(AND(ISNUMBER(H17),ISNUMBER(I17)),MAX(0,(I17-H17)*24),0),0)))</f>
        <v>0</v>
      </c>
      <c r="P17" s="14" t="n">
        <f aca="false">IF(NOT(U17),0,IF(K17="Sick Leave",W17,IF(K17="Partial Sick Leave",IF(AND(ISNUMBER(H17),ISNUMBER(I17)),MAX(0,(I17-H17)*24),0),0)))</f>
        <v>0</v>
      </c>
      <c r="Q17" s="14" t="n">
        <f aca="false">IF(NOT(U17),0,IF(K17="Vacation",IF(C17="Eve",Settings!$B$11,1),IF(K17="Partial Vacation",O17/Settings!$B$9,0)))</f>
        <v>0</v>
      </c>
      <c r="R17" s="14" t="n">
        <f aca="false">IF(NOT(U17),0,IF(K17="Sick Leave",1,IF(K17="Partial Sick Leave",P17/Settings!$B$9,0)))</f>
        <v>0</v>
      </c>
      <c r="S17" s="35" t="str">
        <f aca="false">IF(AND(OR(E17="Vacation",E17="Sick Leave",E17="Partial Vacation",E17="Partial Sick Leave"),NOT(U17)),"Leave not allowed on this day",IF(AND(E17="Manual Work",OR(NOT(ISNUMBER(F17)),NOT(ISNUMBER(G17)))),"Enter start and end",IF(AND(OR(E17="Partial Vacation",E17="Partial Sick Leave"),OR(NOT(ISNUMBER(H17)),NOT(ISNUMBER(I17)))),"Enter leave from and to",IF(AND(ISNUMBER(F17),ISNUMBER(G17),G17&lt;=F17),"End is before start",IF(AND(ISNUMBER(H17),ISNUMBER(I17),I17&lt;=H17),"Leave end is before start",IF(AND(ISNUMBER(F17),ISNUMBER(G17),ISNUMBER(H17),ISNUMBER(I17),F17&lt;I17,H17&lt;G17),"Work and leave hours overlap",IF(AND(E17&lt;&gt;"",WEEKDAY(A17)=7),"Saturday - administrator only","")))))))</f>
        <v/>
      </c>
      <c r="T17" s="36" t="n">
        <f aca="false">MONTH(A17)</f>
        <v>1</v>
      </c>
      <c r="U17" s="37" t="b">
        <f aca="false">OR(C17="Workday",C17="Eve")</f>
        <v>1</v>
      </c>
      <c r="V17" s="34" t="n">
        <f aca="false">IF(C17="Eve",Settings!$B$8,Settings!$B$7)</f>
        <v>0.6875</v>
      </c>
      <c r="W17" s="14" t="n">
        <f aca="false">IF(U17,(V17-Settings!$B$6)*24,0)</f>
        <v>8.5</v>
      </c>
    </row>
    <row r="18" customFormat="false" ht="15" hidden="false" customHeight="false" outlineLevel="0" collapsed="false">
      <c r="A18" s="29" t="n">
        <v>46034</v>
      </c>
      <c r="B18" s="30" t="str">
        <f aca="false">CHOOSE(WEEKDAY(A18),"Sun","Mon","Tue","Wed","Thu","Fri","Sat")</f>
        <v>Mon</v>
      </c>
      <c r="C18" s="30" t="str">
        <f aca="false">IF(IFERROR(INDEX(Holidays!$D$5:$D$60,MATCH(A18,Holidays!$A$5:$A$60,0)),"")="Holiday","Holiday",IF(WEEKDAY(A18)&gt;=6,"Weekend",IF(IFERROR(INDEX(Holidays!$D$5:$D$60,MATCH(A18,Holidays!$A$5:$A$60,0)),"")="Eve","Eve","Workday")))</f>
        <v>Workday</v>
      </c>
      <c r="D18" s="18" t="str">
        <f aca="false">IFERROR(INDEX(Holidays!$C$5:$C$60,MATCH(A18,Holidays!$A$5:$A$60,0)),"")</f>
        <v/>
      </c>
      <c r="E18" s="31"/>
      <c r="F18" s="32"/>
      <c r="G18" s="32"/>
      <c r="H18" s="32"/>
      <c r="I18" s="32"/>
      <c r="J18" s="31"/>
      <c r="K18" s="33" t="str">
        <f aca="false">IF(E18&lt;&gt;"",E18,IF(U18,"Present",IF(C18="Holiday","Holiday","Weekend")))</f>
        <v>Present</v>
      </c>
      <c r="L18" s="34" t="n">
        <f aca="false">IF(OR(K18="Present",K18="Manual Work",K18="Partial Vacation",K18="Partial Sick Leave"),IF(ISNUMBER(F18),F18,IF(AND(K18="Present",U18),Settings!$B$6,"")),"")</f>
        <v>0.333333333333333</v>
      </c>
      <c r="M18" s="34" t="n">
        <f aca="false">IF(OR(K18="Present",K18="Manual Work",K18="Partial Vacation",K18="Partial Sick Leave"),IF(ISNUMBER(G18),G18,IF(AND(K18="Present",U18),V18,"")),"")</f>
        <v>0.6875</v>
      </c>
      <c r="N18" s="14" t="n">
        <f aca="false">IF(AND(ISNUMBER(L18),ISNUMBER(M18)),MAX(0,(M18-L18)*24),0)</f>
        <v>8.5</v>
      </c>
      <c r="O18" s="14" t="n">
        <f aca="false">IF(NOT(U18),0,IF(K18="Vacation",IF(C18="Eve",Settings!$B$9*Settings!$B$11,W18),IF(K18="Partial Vacation",IF(AND(ISNUMBER(H18),ISNUMBER(I18)),MAX(0,(I18-H18)*24),0),0)))</f>
        <v>0</v>
      </c>
      <c r="P18" s="14" t="n">
        <f aca="false">IF(NOT(U18),0,IF(K18="Sick Leave",W18,IF(K18="Partial Sick Leave",IF(AND(ISNUMBER(H18),ISNUMBER(I18)),MAX(0,(I18-H18)*24),0),0)))</f>
        <v>0</v>
      </c>
      <c r="Q18" s="14" t="n">
        <f aca="false">IF(NOT(U18),0,IF(K18="Vacation",IF(C18="Eve",Settings!$B$11,1),IF(K18="Partial Vacation",O18/Settings!$B$9,0)))</f>
        <v>0</v>
      </c>
      <c r="R18" s="14" t="n">
        <f aca="false">IF(NOT(U18),0,IF(K18="Sick Leave",1,IF(K18="Partial Sick Leave",P18/Settings!$B$9,0)))</f>
        <v>0</v>
      </c>
      <c r="S18" s="35" t="str">
        <f aca="false">IF(AND(OR(E18="Vacation",E18="Sick Leave",E18="Partial Vacation",E18="Partial Sick Leave"),NOT(U18)),"Leave not allowed on this day",IF(AND(E18="Manual Work",OR(NOT(ISNUMBER(F18)),NOT(ISNUMBER(G18)))),"Enter start and end",IF(AND(OR(E18="Partial Vacation",E18="Partial Sick Leave"),OR(NOT(ISNUMBER(H18)),NOT(ISNUMBER(I18)))),"Enter leave from and to",IF(AND(ISNUMBER(F18),ISNUMBER(G18),G18&lt;=F18),"End is before start",IF(AND(ISNUMBER(H18),ISNUMBER(I18),I18&lt;=H18),"Leave end is before start",IF(AND(ISNUMBER(F18),ISNUMBER(G18),ISNUMBER(H18),ISNUMBER(I18),F18&lt;I18,H18&lt;G18),"Work and leave hours overlap",IF(AND(E18&lt;&gt;"",WEEKDAY(A18)=7),"Saturday - administrator only","")))))))</f>
        <v/>
      </c>
      <c r="T18" s="36" t="n">
        <f aca="false">MONTH(A18)</f>
        <v>1</v>
      </c>
      <c r="U18" s="37" t="b">
        <f aca="false">OR(C18="Workday",C18="Eve")</f>
        <v>1</v>
      </c>
      <c r="V18" s="34" t="n">
        <f aca="false">IF(C18="Eve",Settings!$B$8,Settings!$B$7)</f>
        <v>0.6875</v>
      </c>
      <c r="W18" s="14" t="n">
        <f aca="false">IF(U18,(V18-Settings!$B$6)*24,0)</f>
        <v>8.5</v>
      </c>
    </row>
    <row r="19" customFormat="false" ht="15" hidden="false" customHeight="false" outlineLevel="0" collapsed="false">
      <c r="A19" s="29" t="n">
        <v>46035</v>
      </c>
      <c r="B19" s="30" t="str">
        <f aca="false">CHOOSE(WEEKDAY(A19),"Sun","Mon","Tue","Wed","Thu","Fri","Sat")</f>
        <v>Tue</v>
      </c>
      <c r="C19" s="30" t="str">
        <f aca="false">IF(IFERROR(INDEX(Holidays!$D$5:$D$60,MATCH(A19,Holidays!$A$5:$A$60,0)),"")="Holiday","Holiday",IF(WEEKDAY(A19)&gt;=6,"Weekend",IF(IFERROR(INDEX(Holidays!$D$5:$D$60,MATCH(A19,Holidays!$A$5:$A$60,0)),"")="Eve","Eve","Workday")))</f>
        <v>Workday</v>
      </c>
      <c r="D19" s="18" t="str">
        <f aca="false">IFERROR(INDEX(Holidays!$C$5:$C$60,MATCH(A19,Holidays!$A$5:$A$60,0)),"")</f>
        <v/>
      </c>
      <c r="E19" s="31"/>
      <c r="F19" s="32"/>
      <c r="G19" s="32"/>
      <c r="H19" s="32"/>
      <c r="I19" s="32"/>
      <c r="J19" s="31"/>
      <c r="K19" s="33" t="str">
        <f aca="false">IF(E19&lt;&gt;"",E19,IF(U19,"Present",IF(C19="Holiday","Holiday","Weekend")))</f>
        <v>Present</v>
      </c>
      <c r="L19" s="34" t="n">
        <f aca="false">IF(OR(K19="Present",K19="Manual Work",K19="Partial Vacation",K19="Partial Sick Leave"),IF(ISNUMBER(F19),F19,IF(AND(K19="Present",U19),Settings!$B$6,"")),"")</f>
        <v>0.333333333333333</v>
      </c>
      <c r="M19" s="34" t="n">
        <f aca="false">IF(OR(K19="Present",K19="Manual Work",K19="Partial Vacation",K19="Partial Sick Leave"),IF(ISNUMBER(G19),G19,IF(AND(K19="Present",U19),V19,"")),"")</f>
        <v>0.6875</v>
      </c>
      <c r="N19" s="14" t="n">
        <f aca="false">IF(AND(ISNUMBER(L19),ISNUMBER(M19)),MAX(0,(M19-L19)*24),0)</f>
        <v>8.5</v>
      </c>
      <c r="O19" s="14" t="n">
        <f aca="false">IF(NOT(U19),0,IF(K19="Vacation",IF(C19="Eve",Settings!$B$9*Settings!$B$11,W19),IF(K19="Partial Vacation",IF(AND(ISNUMBER(H19),ISNUMBER(I19)),MAX(0,(I19-H19)*24),0),0)))</f>
        <v>0</v>
      </c>
      <c r="P19" s="14" t="n">
        <f aca="false">IF(NOT(U19),0,IF(K19="Sick Leave",W19,IF(K19="Partial Sick Leave",IF(AND(ISNUMBER(H19),ISNUMBER(I19)),MAX(0,(I19-H19)*24),0),0)))</f>
        <v>0</v>
      </c>
      <c r="Q19" s="14" t="n">
        <f aca="false">IF(NOT(U19),0,IF(K19="Vacation",IF(C19="Eve",Settings!$B$11,1),IF(K19="Partial Vacation",O19/Settings!$B$9,0)))</f>
        <v>0</v>
      </c>
      <c r="R19" s="14" t="n">
        <f aca="false">IF(NOT(U19),0,IF(K19="Sick Leave",1,IF(K19="Partial Sick Leave",P19/Settings!$B$9,0)))</f>
        <v>0</v>
      </c>
      <c r="S19" s="35" t="str">
        <f aca="false">IF(AND(OR(E19="Vacation",E19="Sick Leave",E19="Partial Vacation",E19="Partial Sick Leave"),NOT(U19)),"Leave not allowed on this day",IF(AND(E19="Manual Work",OR(NOT(ISNUMBER(F19)),NOT(ISNUMBER(G19)))),"Enter start and end",IF(AND(OR(E19="Partial Vacation",E19="Partial Sick Leave"),OR(NOT(ISNUMBER(H19)),NOT(ISNUMBER(I19)))),"Enter leave from and to",IF(AND(ISNUMBER(F19),ISNUMBER(G19),G19&lt;=F19),"End is before start",IF(AND(ISNUMBER(H19),ISNUMBER(I19),I19&lt;=H19),"Leave end is before start",IF(AND(ISNUMBER(F19),ISNUMBER(G19),ISNUMBER(H19),ISNUMBER(I19),F19&lt;I19,H19&lt;G19),"Work and leave hours overlap",IF(AND(E19&lt;&gt;"",WEEKDAY(A19)=7),"Saturday - administrator only","")))))))</f>
        <v/>
      </c>
      <c r="T19" s="36" t="n">
        <f aca="false">MONTH(A19)</f>
        <v>1</v>
      </c>
      <c r="U19" s="37" t="b">
        <f aca="false">OR(C19="Workday",C19="Eve")</f>
        <v>1</v>
      </c>
      <c r="V19" s="34" t="n">
        <f aca="false">IF(C19="Eve",Settings!$B$8,Settings!$B$7)</f>
        <v>0.6875</v>
      </c>
      <c r="W19" s="14" t="n">
        <f aca="false">IF(U19,(V19-Settings!$B$6)*24,0)</f>
        <v>8.5</v>
      </c>
    </row>
    <row r="20" customFormat="false" ht="15" hidden="false" customHeight="false" outlineLevel="0" collapsed="false">
      <c r="A20" s="29" t="n">
        <v>46036</v>
      </c>
      <c r="B20" s="30" t="str">
        <f aca="false">CHOOSE(WEEKDAY(A20),"Sun","Mon","Tue","Wed","Thu","Fri","Sat")</f>
        <v>Wed</v>
      </c>
      <c r="C20" s="30" t="str">
        <f aca="false">IF(IFERROR(INDEX(Holidays!$D$5:$D$60,MATCH(A20,Holidays!$A$5:$A$60,0)),"")="Holiday","Holiday",IF(WEEKDAY(A20)&gt;=6,"Weekend",IF(IFERROR(INDEX(Holidays!$D$5:$D$60,MATCH(A20,Holidays!$A$5:$A$60,0)),"")="Eve","Eve","Workday")))</f>
        <v>Workday</v>
      </c>
      <c r="D20" s="18" t="str">
        <f aca="false">IFERROR(INDEX(Holidays!$C$5:$C$60,MATCH(A20,Holidays!$A$5:$A$60,0)),"")</f>
        <v/>
      </c>
      <c r="E20" s="31"/>
      <c r="F20" s="32"/>
      <c r="G20" s="32"/>
      <c r="H20" s="32"/>
      <c r="I20" s="32"/>
      <c r="J20" s="31"/>
      <c r="K20" s="33" t="str">
        <f aca="false">IF(E20&lt;&gt;"",E20,IF(U20,"Present",IF(C20="Holiday","Holiday","Weekend")))</f>
        <v>Present</v>
      </c>
      <c r="L20" s="34" t="n">
        <f aca="false">IF(OR(K20="Present",K20="Manual Work",K20="Partial Vacation",K20="Partial Sick Leave"),IF(ISNUMBER(F20),F20,IF(AND(K20="Present",U20),Settings!$B$6,"")),"")</f>
        <v>0.333333333333333</v>
      </c>
      <c r="M20" s="34" t="n">
        <f aca="false">IF(OR(K20="Present",K20="Manual Work",K20="Partial Vacation",K20="Partial Sick Leave"),IF(ISNUMBER(G20),G20,IF(AND(K20="Present",U20),V20,"")),"")</f>
        <v>0.6875</v>
      </c>
      <c r="N20" s="14" t="n">
        <f aca="false">IF(AND(ISNUMBER(L20),ISNUMBER(M20)),MAX(0,(M20-L20)*24),0)</f>
        <v>8.5</v>
      </c>
      <c r="O20" s="14" t="n">
        <f aca="false">IF(NOT(U20),0,IF(K20="Vacation",IF(C20="Eve",Settings!$B$9*Settings!$B$11,W20),IF(K20="Partial Vacation",IF(AND(ISNUMBER(H20),ISNUMBER(I20)),MAX(0,(I20-H20)*24),0),0)))</f>
        <v>0</v>
      </c>
      <c r="P20" s="14" t="n">
        <f aca="false">IF(NOT(U20),0,IF(K20="Sick Leave",W20,IF(K20="Partial Sick Leave",IF(AND(ISNUMBER(H20),ISNUMBER(I20)),MAX(0,(I20-H20)*24),0),0)))</f>
        <v>0</v>
      </c>
      <c r="Q20" s="14" t="n">
        <f aca="false">IF(NOT(U20),0,IF(K20="Vacation",IF(C20="Eve",Settings!$B$11,1),IF(K20="Partial Vacation",O20/Settings!$B$9,0)))</f>
        <v>0</v>
      </c>
      <c r="R20" s="14" t="n">
        <f aca="false">IF(NOT(U20),0,IF(K20="Sick Leave",1,IF(K20="Partial Sick Leave",P20/Settings!$B$9,0)))</f>
        <v>0</v>
      </c>
      <c r="S20" s="35" t="str">
        <f aca="false">IF(AND(OR(E20="Vacation",E20="Sick Leave",E20="Partial Vacation",E20="Partial Sick Leave"),NOT(U20)),"Leave not allowed on this day",IF(AND(E20="Manual Work",OR(NOT(ISNUMBER(F20)),NOT(ISNUMBER(G20)))),"Enter start and end",IF(AND(OR(E20="Partial Vacation",E20="Partial Sick Leave"),OR(NOT(ISNUMBER(H20)),NOT(ISNUMBER(I20)))),"Enter leave from and to",IF(AND(ISNUMBER(F20),ISNUMBER(G20),G20&lt;=F20),"End is before start",IF(AND(ISNUMBER(H20),ISNUMBER(I20),I20&lt;=H20),"Leave end is before start",IF(AND(ISNUMBER(F20),ISNUMBER(G20),ISNUMBER(H20),ISNUMBER(I20),F20&lt;I20,H20&lt;G20),"Work and leave hours overlap",IF(AND(E20&lt;&gt;"",WEEKDAY(A20)=7),"Saturday - administrator only","")))))))</f>
        <v/>
      </c>
      <c r="T20" s="36" t="n">
        <f aca="false">MONTH(A20)</f>
        <v>1</v>
      </c>
      <c r="U20" s="37" t="b">
        <f aca="false">OR(C20="Workday",C20="Eve")</f>
        <v>1</v>
      </c>
      <c r="V20" s="34" t="n">
        <f aca="false">IF(C20="Eve",Settings!$B$8,Settings!$B$7)</f>
        <v>0.6875</v>
      </c>
      <c r="W20" s="14" t="n">
        <f aca="false">IF(U20,(V20-Settings!$B$6)*24,0)</f>
        <v>8.5</v>
      </c>
    </row>
    <row r="21" customFormat="false" ht="15" hidden="false" customHeight="false" outlineLevel="0" collapsed="false">
      <c r="A21" s="29" t="n">
        <v>46037</v>
      </c>
      <c r="B21" s="30" t="str">
        <f aca="false">CHOOSE(WEEKDAY(A21),"Sun","Mon","Tue","Wed","Thu","Fri","Sat")</f>
        <v>Thu</v>
      </c>
      <c r="C21" s="30" t="str">
        <f aca="false">IF(IFERROR(INDEX(Holidays!$D$5:$D$60,MATCH(A21,Holidays!$A$5:$A$60,0)),"")="Holiday","Holiday",IF(WEEKDAY(A21)&gt;=6,"Weekend",IF(IFERROR(INDEX(Holidays!$D$5:$D$60,MATCH(A21,Holidays!$A$5:$A$60,0)),"")="Eve","Eve","Workday")))</f>
        <v>Workday</v>
      </c>
      <c r="D21" s="18" t="str">
        <f aca="false">IFERROR(INDEX(Holidays!$C$5:$C$60,MATCH(A21,Holidays!$A$5:$A$60,0)),"")</f>
        <v/>
      </c>
      <c r="E21" s="31"/>
      <c r="F21" s="32"/>
      <c r="G21" s="32"/>
      <c r="H21" s="32"/>
      <c r="I21" s="32"/>
      <c r="J21" s="31"/>
      <c r="K21" s="33" t="str">
        <f aca="false">IF(E21&lt;&gt;"",E21,IF(U21,"Present",IF(C21="Holiday","Holiday","Weekend")))</f>
        <v>Present</v>
      </c>
      <c r="L21" s="34" t="n">
        <f aca="false">IF(OR(K21="Present",K21="Manual Work",K21="Partial Vacation",K21="Partial Sick Leave"),IF(ISNUMBER(F21),F21,IF(AND(K21="Present",U21),Settings!$B$6,"")),"")</f>
        <v>0.333333333333333</v>
      </c>
      <c r="M21" s="34" t="n">
        <f aca="false">IF(OR(K21="Present",K21="Manual Work",K21="Partial Vacation",K21="Partial Sick Leave"),IF(ISNUMBER(G21),G21,IF(AND(K21="Present",U21),V21,"")),"")</f>
        <v>0.6875</v>
      </c>
      <c r="N21" s="14" t="n">
        <f aca="false">IF(AND(ISNUMBER(L21),ISNUMBER(M21)),MAX(0,(M21-L21)*24),0)</f>
        <v>8.5</v>
      </c>
      <c r="O21" s="14" t="n">
        <f aca="false">IF(NOT(U21),0,IF(K21="Vacation",IF(C21="Eve",Settings!$B$9*Settings!$B$11,W21),IF(K21="Partial Vacation",IF(AND(ISNUMBER(H21),ISNUMBER(I21)),MAX(0,(I21-H21)*24),0),0)))</f>
        <v>0</v>
      </c>
      <c r="P21" s="14" t="n">
        <f aca="false">IF(NOT(U21),0,IF(K21="Sick Leave",W21,IF(K21="Partial Sick Leave",IF(AND(ISNUMBER(H21),ISNUMBER(I21)),MAX(0,(I21-H21)*24),0),0)))</f>
        <v>0</v>
      </c>
      <c r="Q21" s="14" t="n">
        <f aca="false">IF(NOT(U21),0,IF(K21="Vacation",IF(C21="Eve",Settings!$B$11,1),IF(K21="Partial Vacation",O21/Settings!$B$9,0)))</f>
        <v>0</v>
      </c>
      <c r="R21" s="14" t="n">
        <f aca="false">IF(NOT(U21),0,IF(K21="Sick Leave",1,IF(K21="Partial Sick Leave",P21/Settings!$B$9,0)))</f>
        <v>0</v>
      </c>
      <c r="S21" s="35" t="str">
        <f aca="false">IF(AND(OR(E21="Vacation",E21="Sick Leave",E21="Partial Vacation",E21="Partial Sick Leave"),NOT(U21)),"Leave not allowed on this day",IF(AND(E21="Manual Work",OR(NOT(ISNUMBER(F21)),NOT(ISNUMBER(G21)))),"Enter start and end",IF(AND(OR(E21="Partial Vacation",E21="Partial Sick Leave"),OR(NOT(ISNUMBER(H21)),NOT(ISNUMBER(I21)))),"Enter leave from and to",IF(AND(ISNUMBER(F21),ISNUMBER(G21),G21&lt;=F21),"End is before start",IF(AND(ISNUMBER(H21),ISNUMBER(I21),I21&lt;=H21),"Leave end is before start",IF(AND(ISNUMBER(F21),ISNUMBER(G21),ISNUMBER(H21),ISNUMBER(I21),F21&lt;I21,H21&lt;G21),"Work and leave hours overlap",IF(AND(E21&lt;&gt;"",WEEKDAY(A21)=7),"Saturday - administrator only","")))))))</f>
        <v/>
      </c>
      <c r="T21" s="36" t="n">
        <f aca="false">MONTH(A21)</f>
        <v>1</v>
      </c>
      <c r="U21" s="37" t="b">
        <f aca="false">OR(C21="Workday",C21="Eve")</f>
        <v>1</v>
      </c>
      <c r="V21" s="34" t="n">
        <f aca="false">IF(C21="Eve",Settings!$B$8,Settings!$B$7)</f>
        <v>0.6875</v>
      </c>
      <c r="W21" s="14" t="n">
        <f aca="false">IF(U21,(V21-Settings!$B$6)*24,0)</f>
        <v>8.5</v>
      </c>
    </row>
    <row r="22" customFormat="false" ht="15" hidden="false" customHeight="false" outlineLevel="0" collapsed="false">
      <c r="A22" s="29" t="n">
        <v>46038</v>
      </c>
      <c r="B22" s="30" t="str">
        <f aca="false">CHOOSE(WEEKDAY(A22),"Sun","Mon","Tue","Wed","Thu","Fri","Sat")</f>
        <v>Fri</v>
      </c>
      <c r="C22" s="30" t="str">
        <f aca="false">IF(IFERROR(INDEX(Holidays!$D$5:$D$60,MATCH(A22,Holidays!$A$5:$A$60,0)),"")="Holiday","Holiday",IF(WEEKDAY(A22)&gt;=6,"Weekend",IF(IFERROR(INDEX(Holidays!$D$5:$D$60,MATCH(A22,Holidays!$A$5:$A$60,0)),"")="Eve","Eve","Workday")))</f>
        <v>Weekend</v>
      </c>
      <c r="D22" s="18" t="str">
        <f aca="false">IFERROR(INDEX(Holidays!$C$5:$C$60,MATCH(A22,Holidays!$A$5:$A$60,0)),"")</f>
        <v/>
      </c>
      <c r="E22" s="31"/>
      <c r="F22" s="32"/>
      <c r="G22" s="32"/>
      <c r="H22" s="32"/>
      <c r="I22" s="32"/>
      <c r="J22" s="31"/>
      <c r="K22" s="33" t="str">
        <f aca="false">IF(E22&lt;&gt;"",E22,IF(U22,"Present",IF(C22="Holiday","Holiday","Weekend")))</f>
        <v>Weekend</v>
      </c>
      <c r="L22" s="34" t="str">
        <f aca="false">IF(OR(K22="Present",K22="Manual Work",K22="Partial Vacation",K22="Partial Sick Leave"),IF(ISNUMBER(F22),F22,IF(AND(K22="Present",U22),Settings!$B$6,"")),"")</f>
        <v/>
      </c>
      <c r="M22" s="34" t="str">
        <f aca="false">IF(OR(K22="Present",K22="Manual Work",K22="Partial Vacation",K22="Partial Sick Leave"),IF(ISNUMBER(G22),G22,IF(AND(K22="Present",U22),V22,"")),"")</f>
        <v/>
      </c>
      <c r="N22" s="14" t="n">
        <f aca="false">IF(AND(ISNUMBER(L22),ISNUMBER(M22)),MAX(0,(M22-L22)*24),0)</f>
        <v>0</v>
      </c>
      <c r="O22" s="14" t="n">
        <f aca="false">IF(NOT(U22),0,IF(K22="Vacation",IF(C22="Eve",Settings!$B$9*Settings!$B$11,W22),IF(K22="Partial Vacation",IF(AND(ISNUMBER(H22),ISNUMBER(I22)),MAX(0,(I22-H22)*24),0),0)))</f>
        <v>0</v>
      </c>
      <c r="P22" s="14" t="n">
        <f aca="false">IF(NOT(U22),0,IF(K22="Sick Leave",W22,IF(K22="Partial Sick Leave",IF(AND(ISNUMBER(H22),ISNUMBER(I22)),MAX(0,(I22-H22)*24),0),0)))</f>
        <v>0</v>
      </c>
      <c r="Q22" s="14" t="n">
        <f aca="false">IF(NOT(U22),0,IF(K22="Vacation",IF(C22="Eve",Settings!$B$11,1),IF(K22="Partial Vacation",O22/Settings!$B$9,0)))</f>
        <v>0</v>
      </c>
      <c r="R22" s="14" t="n">
        <f aca="false">IF(NOT(U22),0,IF(K22="Sick Leave",1,IF(K22="Partial Sick Leave",P22/Settings!$B$9,0)))</f>
        <v>0</v>
      </c>
      <c r="S22" s="35" t="str">
        <f aca="false">IF(AND(OR(E22="Vacation",E22="Sick Leave",E22="Partial Vacation",E22="Partial Sick Leave"),NOT(U22)),"Leave not allowed on this day",IF(AND(E22="Manual Work",OR(NOT(ISNUMBER(F22)),NOT(ISNUMBER(G22)))),"Enter start and end",IF(AND(OR(E22="Partial Vacation",E22="Partial Sick Leave"),OR(NOT(ISNUMBER(H22)),NOT(ISNUMBER(I22)))),"Enter leave from and to",IF(AND(ISNUMBER(F22),ISNUMBER(G22),G22&lt;=F22),"End is before start",IF(AND(ISNUMBER(H22),ISNUMBER(I22),I22&lt;=H22),"Leave end is before start",IF(AND(ISNUMBER(F22),ISNUMBER(G22),ISNUMBER(H22),ISNUMBER(I22),F22&lt;I22,H22&lt;G22),"Work and leave hours overlap",IF(AND(E22&lt;&gt;"",WEEKDAY(A22)=7),"Saturday - administrator only","")))))))</f>
        <v/>
      </c>
      <c r="T22" s="36" t="n">
        <f aca="false">MONTH(A22)</f>
        <v>1</v>
      </c>
      <c r="U22" s="37" t="b">
        <f aca="false">OR(C22="Workday",C22="Eve")</f>
        <v>0</v>
      </c>
      <c r="V22" s="34" t="n">
        <f aca="false">IF(C22="Eve",Settings!$B$8,Settings!$B$7)</f>
        <v>0.6875</v>
      </c>
      <c r="W22" s="14" t="n">
        <f aca="false">IF(U22,(V22-Settings!$B$6)*24,0)</f>
        <v>0</v>
      </c>
    </row>
    <row r="23" customFormat="false" ht="15" hidden="false" customHeight="false" outlineLevel="0" collapsed="false">
      <c r="A23" s="29" t="n">
        <v>46039</v>
      </c>
      <c r="B23" s="30" t="str">
        <f aca="false">CHOOSE(WEEKDAY(A23),"Sun","Mon","Tue","Wed","Thu","Fri","Sat")</f>
        <v>Sat</v>
      </c>
      <c r="C23" s="30" t="str">
        <f aca="false">IF(IFERROR(INDEX(Holidays!$D$5:$D$60,MATCH(A23,Holidays!$A$5:$A$60,0)),"")="Holiday","Holiday",IF(WEEKDAY(A23)&gt;=6,"Weekend",IF(IFERROR(INDEX(Holidays!$D$5:$D$60,MATCH(A23,Holidays!$A$5:$A$60,0)),"")="Eve","Eve","Workday")))</f>
        <v>Weekend</v>
      </c>
      <c r="D23" s="18" t="str">
        <f aca="false">IFERROR(INDEX(Holidays!$C$5:$C$60,MATCH(A23,Holidays!$A$5:$A$60,0)),"")</f>
        <v/>
      </c>
      <c r="E23" s="31"/>
      <c r="F23" s="32"/>
      <c r="G23" s="32"/>
      <c r="H23" s="32"/>
      <c r="I23" s="32"/>
      <c r="J23" s="31"/>
      <c r="K23" s="33" t="str">
        <f aca="false">IF(E23&lt;&gt;"",E23,IF(U23,"Present",IF(C23="Holiday","Holiday","Weekend")))</f>
        <v>Weekend</v>
      </c>
      <c r="L23" s="34" t="str">
        <f aca="false">IF(OR(K23="Present",K23="Manual Work",K23="Partial Vacation",K23="Partial Sick Leave"),IF(ISNUMBER(F23),F23,IF(AND(K23="Present",U23),Settings!$B$6,"")),"")</f>
        <v/>
      </c>
      <c r="M23" s="34" t="str">
        <f aca="false">IF(OR(K23="Present",K23="Manual Work",K23="Partial Vacation",K23="Partial Sick Leave"),IF(ISNUMBER(G23),G23,IF(AND(K23="Present",U23),V23,"")),"")</f>
        <v/>
      </c>
      <c r="N23" s="14" t="n">
        <f aca="false">IF(AND(ISNUMBER(L23),ISNUMBER(M23)),MAX(0,(M23-L23)*24),0)</f>
        <v>0</v>
      </c>
      <c r="O23" s="14" t="n">
        <f aca="false">IF(NOT(U23),0,IF(K23="Vacation",IF(C23="Eve",Settings!$B$9*Settings!$B$11,W23),IF(K23="Partial Vacation",IF(AND(ISNUMBER(H23),ISNUMBER(I23)),MAX(0,(I23-H23)*24),0),0)))</f>
        <v>0</v>
      </c>
      <c r="P23" s="14" t="n">
        <f aca="false">IF(NOT(U23),0,IF(K23="Sick Leave",W23,IF(K23="Partial Sick Leave",IF(AND(ISNUMBER(H23),ISNUMBER(I23)),MAX(0,(I23-H23)*24),0),0)))</f>
        <v>0</v>
      </c>
      <c r="Q23" s="14" t="n">
        <f aca="false">IF(NOT(U23),0,IF(K23="Vacation",IF(C23="Eve",Settings!$B$11,1),IF(K23="Partial Vacation",O23/Settings!$B$9,0)))</f>
        <v>0</v>
      </c>
      <c r="R23" s="14" t="n">
        <f aca="false">IF(NOT(U23),0,IF(K23="Sick Leave",1,IF(K23="Partial Sick Leave",P23/Settings!$B$9,0)))</f>
        <v>0</v>
      </c>
      <c r="S23" s="35" t="str">
        <f aca="false">IF(AND(OR(E23="Vacation",E23="Sick Leave",E23="Partial Vacation",E23="Partial Sick Leave"),NOT(U23)),"Leave not allowed on this day",IF(AND(E23="Manual Work",OR(NOT(ISNUMBER(F23)),NOT(ISNUMBER(G23)))),"Enter start and end",IF(AND(OR(E23="Partial Vacation",E23="Partial Sick Leave"),OR(NOT(ISNUMBER(H23)),NOT(ISNUMBER(I23)))),"Enter leave from and to",IF(AND(ISNUMBER(F23),ISNUMBER(G23),G23&lt;=F23),"End is before start",IF(AND(ISNUMBER(H23),ISNUMBER(I23),I23&lt;=H23),"Leave end is before start",IF(AND(ISNUMBER(F23),ISNUMBER(G23),ISNUMBER(H23),ISNUMBER(I23),F23&lt;I23,H23&lt;G23),"Work and leave hours overlap",IF(AND(E23&lt;&gt;"",WEEKDAY(A23)=7),"Saturday - administrator only","")))))))</f>
        <v/>
      </c>
      <c r="T23" s="36" t="n">
        <f aca="false">MONTH(A23)</f>
        <v>1</v>
      </c>
      <c r="U23" s="37" t="b">
        <f aca="false">OR(C23="Workday",C23="Eve")</f>
        <v>0</v>
      </c>
      <c r="V23" s="34" t="n">
        <f aca="false">IF(C23="Eve",Settings!$B$8,Settings!$B$7)</f>
        <v>0.6875</v>
      </c>
      <c r="W23" s="14" t="n">
        <f aca="false">IF(U23,(V23-Settings!$B$6)*24,0)</f>
        <v>0</v>
      </c>
    </row>
    <row r="24" customFormat="false" ht="15" hidden="false" customHeight="false" outlineLevel="0" collapsed="false">
      <c r="A24" s="29" t="n">
        <v>46040</v>
      </c>
      <c r="B24" s="30" t="str">
        <f aca="false">CHOOSE(WEEKDAY(A24),"Sun","Mon","Tue","Wed","Thu","Fri","Sat")</f>
        <v>Sun</v>
      </c>
      <c r="C24" s="30" t="str">
        <f aca="false">IF(IFERROR(INDEX(Holidays!$D$5:$D$60,MATCH(A24,Holidays!$A$5:$A$60,0)),"")="Holiday","Holiday",IF(WEEKDAY(A24)&gt;=6,"Weekend",IF(IFERROR(INDEX(Holidays!$D$5:$D$60,MATCH(A24,Holidays!$A$5:$A$60,0)),"")="Eve","Eve","Workday")))</f>
        <v>Workday</v>
      </c>
      <c r="D24" s="18" t="str">
        <f aca="false">IFERROR(INDEX(Holidays!$C$5:$C$60,MATCH(A24,Holidays!$A$5:$A$60,0)),"")</f>
        <v/>
      </c>
      <c r="E24" s="31"/>
      <c r="F24" s="32"/>
      <c r="G24" s="32"/>
      <c r="H24" s="32"/>
      <c r="I24" s="32"/>
      <c r="J24" s="31"/>
      <c r="K24" s="33" t="str">
        <f aca="false">IF(E24&lt;&gt;"",E24,IF(U24,"Present",IF(C24="Holiday","Holiday","Weekend")))</f>
        <v>Present</v>
      </c>
      <c r="L24" s="34" t="n">
        <f aca="false">IF(OR(K24="Present",K24="Manual Work",K24="Partial Vacation",K24="Partial Sick Leave"),IF(ISNUMBER(F24),F24,IF(AND(K24="Present",U24),Settings!$B$6,"")),"")</f>
        <v>0.333333333333333</v>
      </c>
      <c r="M24" s="34" t="n">
        <f aca="false">IF(OR(K24="Present",K24="Manual Work",K24="Partial Vacation",K24="Partial Sick Leave"),IF(ISNUMBER(G24),G24,IF(AND(K24="Present",U24),V24,"")),"")</f>
        <v>0.6875</v>
      </c>
      <c r="N24" s="14" t="n">
        <f aca="false">IF(AND(ISNUMBER(L24),ISNUMBER(M24)),MAX(0,(M24-L24)*24),0)</f>
        <v>8.5</v>
      </c>
      <c r="O24" s="14" t="n">
        <f aca="false">IF(NOT(U24),0,IF(K24="Vacation",IF(C24="Eve",Settings!$B$9*Settings!$B$11,W24),IF(K24="Partial Vacation",IF(AND(ISNUMBER(H24),ISNUMBER(I24)),MAX(0,(I24-H24)*24),0),0)))</f>
        <v>0</v>
      </c>
      <c r="P24" s="14" t="n">
        <f aca="false">IF(NOT(U24),0,IF(K24="Sick Leave",W24,IF(K24="Partial Sick Leave",IF(AND(ISNUMBER(H24),ISNUMBER(I24)),MAX(0,(I24-H24)*24),0),0)))</f>
        <v>0</v>
      </c>
      <c r="Q24" s="14" t="n">
        <f aca="false">IF(NOT(U24),0,IF(K24="Vacation",IF(C24="Eve",Settings!$B$11,1),IF(K24="Partial Vacation",O24/Settings!$B$9,0)))</f>
        <v>0</v>
      </c>
      <c r="R24" s="14" t="n">
        <f aca="false">IF(NOT(U24),0,IF(K24="Sick Leave",1,IF(K24="Partial Sick Leave",P24/Settings!$B$9,0)))</f>
        <v>0</v>
      </c>
      <c r="S24" s="35" t="str">
        <f aca="false">IF(AND(OR(E24="Vacation",E24="Sick Leave",E24="Partial Vacation",E24="Partial Sick Leave"),NOT(U24)),"Leave not allowed on this day",IF(AND(E24="Manual Work",OR(NOT(ISNUMBER(F24)),NOT(ISNUMBER(G24)))),"Enter start and end",IF(AND(OR(E24="Partial Vacation",E24="Partial Sick Leave"),OR(NOT(ISNUMBER(H24)),NOT(ISNUMBER(I24)))),"Enter leave from and to",IF(AND(ISNUMBER(F24),ISNUMBER(G24),G24&lt;=F24),"End is before start",IF(AND(ISNUMBER(H24),ISNUMBER(I24),I24&lt;=H24),"Leave end is before start",IF(AND(ISNUMBER(F24),ISNUMBER(G24),ISNUMBER(H24),ISNUMBER(I24),F24&lt;I24,H24&lt;G24),"Work and leave hours overlap",IF(AND(E24&lt;&gt;"",WEEKDAY(A24)=7),"Saturday - administrator only","")))))))</f>
        <v/>
      </c>
      <c r="T24" s="36" t="n">
        <f aca="false">MONTH(A24)</f>
        <v>1</v>
      </c>
      <c r="U24" s="37" t="b">
        <f aca="false">OR(C24="Workday",C24="Eve")</f>
        <v>1</v>
      </c>
      <c r="V24" s="34" t="n">
        <f aca="false">IF(C24="Eve",Settings!$B$8,Settings!$B$7)</f>
        <v>0.6875</v>
      </c>
      <c r="W24" s="14" t="n">
        <f aca="false">IF(U24,(V24-Settings!$B$6)*24,0)</f>
        <v>8.5</v>
      </c>
    </row>
    <row r="25" customFormat="false" ht="15" hidden="false" customHeight="false" outlineLevel="0" collapsed="false">
      <c r="A25" s="29" t="n">
        <v>46041</v>
      </c>
      <c r="B25" s="30" t="str">
        <f aca="false">CHOOSE(WEEKDAY(A25),"Sun","Mon","Tue","Wed","Thu","Fri","Sat")</f>
        <v>Mon</v>
      </c>
      <c r="C25" s="30" t="str">
        <f aca="false">IF(IFERROR(INDEX(Holidays!$D$5:$D$60,MATCH(A25,Holidays!$A$5:$A$60,0)),"")="Holiday","Holiday",IF(WEEKDAY(A25)&gt;=6,"Weekend",IF(IFERROR(INDEX(Holidays!$D$5:$D$60,MATCH(A25,Holidays!$A$5:$A$60,0)),"")="Eve","Eve","Workday")))</f>
        <v>Workday</v>
      </c>
      <c r="D25" s="18" t="str">
        <f aca="false">IFERROR(INDEX(Holidays!$C$5:$C$60,MATCH(A25,Holidays!$A$5:$A$60,0)),"")</f>
        <v/>
      </c>
      <c r="E25" s="31"/>
      <c r="F25" s="32"/>
      <c r="G25" s="32"/>
      <c r="H25" s="32"/>
      <c r="I25" s="32"/>
      <c r="J25" s="31"/>
      <c r="K25" s="33" t="str">
        <f aca="false">IF(E25&lt;&gt;"",E25,IF(U25,"Present",IF(C25="Holiday","Holiday","Weekend")))</f>
        <v>Present</v>
      </c>
      <c r="L25" s="34" t="n">
        <f aca="false">IF(OR(K25="Present",K25="Manual Work",K25="Partial Vacation",K25="Partial Sick Leave"),IF(ISNUMBER(F25),F25,IF(AND(K25="Present",U25),Settings!$B$6,"")),"")</f>
        <v>0.333333333333333</v>
      </c>
      <c r="M25" s="34" t="n">
        <f aca="false">IF(OR(K25="Present",K25="Manual Work",K25="Partial Vacation",K25="Partial Sick Leave"),IF(ISNUMBER(G25),G25,IF(AND(K25="Present",U25),V25,"")),"")</f>
        <v>0.6875</v>
      </c>
      <c r="N25" s="14" t="n">
        <f aca="false">IF(AND(ISNUMBER(L25),ISNUMBER(M25)),MAX(0,(M25-L25)*24),0)</f>
        <v>8.5</v>
      </c>
      <c r="O25" s="14" t="n">
        <f aca="false">IF(NOT(U25),0,IF(K25="Vacation",IF(C25="Eve",Settings!$B$9*Settings!$B$11,W25),IF(K25="Partial Vacation",IF(AND(ISNUMBER(H25),ISNUMBER(I25)),MAX(0,(I25-H25)*24),0),0)))</f>
        <v>0</v>
      </c>
      <c r="P25" s="14" t="n">
        <f aca="false">IF(NOT(U25),0,IF(K25="Sick Leave",W25,IF(K25="Partial Sick Leave",IF(AND(ISNUMBER(H25),ISNUMBER(I25)),MAX(0,(I25-H25)*24),0),0)))</f>
        <v>0</v>
      </c>
      <c r="Q25" s="14" t="n">
        <f aca="false">IF(NOT(U25),0,IF(K25="Vacation",IF(C25="Eve",Settings!$B$11,1),IF(K25="Partial Vacation",O25/Settings!$B$9,0)))</f>
        <v>0</v>
      </c>
      <c r="R25" s="14" t="n">
        <f aca="false">IF(NOT(U25),0,IF(K25="Sick Leave",1,IF(K25="Partial Sick Leave",P25/Settings!$B$9,0)))</f>
        <v>0</v>
      </c>
      <c r="S25" s="35" t="str">
        <f aca="false">IF(AND(OR(E25="Vacation",E25="Sick Leave",E25="Partial Vacation",E25="Partial Sick Leave"),NOT(U25)),"Leave not allowed on this day",IF(AND(E25="Manual Work",OR(NOT(ISNUMBER(F25)),NOT(ISNUMBER(G25)))),"Enter start and end",IF(AND(OR(E25="Partial Vacation",E25="Partial Sick Leave"),OR(NOT(ISNUMBER(H25)),NOT(ISNUMBER(I25)))),"Enter leave from and to",IF(AND(ISNUMBER(F25),ISNUMBER(G25),G25&lt;=F25),"End is before start",IF(AND(ISNUMBER(H25),ISNUMBER(I25),I25&lt;=H25),"Leave end is before start",IF(AND(ISNUMBER(F25),ISNUMBER(G25),ISNUMBER(H25),ISNUMBER(I25),F25&lt;I25,H25&lt;G25),"Work and leave hours overlap",IF(AND(E25&lt;&gt;"",WEEKDAY(A25)=7),"Saturday - administrator only","")))))))</f>
        <v/>
      </c>
      <c r="T25" s="36" t="n">
        <f aca="false">MONTH(A25)</f>
        <v>1</v>
      </c>
      <c r="U25" s="37" t="b">
        <f aca="false">OR(C25="Workday",C25="Eve")</f>
        <v>1</v>
      </c>
      <c r="V25" s="34" t="n">
        <f aca="false">IF(C25="Eve",Settings!$B$8,Settings!$B$7)</f>
        <v>0.6875</v>
      </c>
      <c r="W25" s="14" t="n">
        <f aca="false">IF(U25,(V25-Settings!$B$6)*24,0)</f>
        <v>8.5</v>
      </c>
    </row>
    <row r="26" customFormat="false" ht="15" hidden="false" customHeight="false" outlineLevel="0" collapsed="false">
      <c r="A26" s="29" t="n">
        <v>46042</v>
      </c>
      <c r="B26" s="30" t="str">
        <f aca="false">CHOOSE(WEEKDAY(A26),"Sun","Mon","Tue","Wed","Thu","Fri","Sat")</f>
        <v>Tue</v>
      </c>
      <c r="C26" s="30" t="str">
        <f aca="false">IF(IFERROR(INDEX(Holidays!$D$5:$D$60,MATCH(A26,Holidays!$A$5:$A$60,0)),"")="Holiday","Holiday",IF(WEEKDAY(A26)&gt;=6,"Weekend",IF(IFERROR(INDEX(Holidays!$D$5:$D$60,MATCH(A26,Holidays!$A$5:$A$60,0)),"")="Eve","Eve","Workday")))</f>
        <v>Workday</v>
      </c>
      <c r="D26" s="18" t="str">
        <f aca="false">IFERROR(INDEX(Holidays!$C$5:$C$60,MATCH(A26,Holidays!$A$5:$A$60,0)),"")</f>
        <v/>
      </c>
      <c r="E26" s="31"/>
      <c r="F26" s="32"/>
      <c r="G26" s="32"/>
      <c r="H26" s="32"/>
      <c r="I26" s="32"/>
      <c r="J26" s="31"/>
      <c r="K26" s="33" t="str">
        <f aca="false">IF(E26&lt;&gt;"",E26,IF(U26,"Present",IF(C26="Holiday","Holiday","Weekend")))</f>
        <v>Present</v>
      </c>
      <c r="L26" s="34" t="n">
        <f aca="false">IF(OR(K26="Present",K26="Manual Work",K26="Partial Vacation",K26="Partial Sick Leave"),IF(ISNUMBER(F26),F26,IF(AND(K26="Present",U26),Settings!$B$6,"")),"")</f>
        <v>0.333333333333333</v>
      </c>
      <c r="M26" s="34" t="n">
        <f aca="false">IF(OR(K26="Present",K26="Manual Work",K26="Partial Vacation",K26="Partial Sick Leave"),IF(ISNUMBER(G26),G26,IF(AND(K26="Present",U26),V26,"")),"")</f>
        <v>0.6875</v>
      </c>
      <c r="N26" s="14" t="n">
        <f aca="false">IF(AND(ISNUMBER(L26),ISNUMBER(M26)),MAX(0,(M26-L26)*24),0)</f>
        <v>8.5</v>
      </c>
      <c r="O26" s="14" t="n">
        <f aca="false">IF(NOT(U26),0,IF(K26="Vacation",IF(C26="Eve",Settings!$B$9*Settings!$B$11,W26),IF(K26="Partial Vacation",IF(AND(ISNUMBER(H26),ISNUMBER(I26)),MAX(0,(I26-H26)*24),0),0)))</f>
        <v>0</v>
      </c>
      <c r="P26" s="14" t="n">
        <f aca="false">IF(NOT(U26),0,IF(K26="Sick Leave",W26,IF(K26="Partial Sick Leave",IF(AND(ISNUMBER(H26),ISNUMBER(I26)),MAX(0,(I26-H26)*24),0),0)))</f>
        <v>0</v>
      </c>
      <c r="Q26" s="14" t="n">
        <f aca="false">IF(NOT(U26),0,IF(K26="Vacation",IF(C26="Eve",Settings!$B$11,1),IF(K26="Partial Vacation",O26/Settings!$B$9,0)))</f>
        <v>0</v>
      </c>
      <c r="R26" s="14" t="n">
        <f aca="false">IF(NOT(U26),0,IF(K26="Sick Leave",1,IF(K26="Partial Sick Leave",P26/Settings!$B$9,0)))</f>
        <v>0</v>
      </c>
      <c r="S26" s="35" t="str">
        <f aca="false">IF(AND(OR(E26="Vacation",E26="Sick Leave",E26="Partial Vacation",E26="Partial Sick Leave"),NOT(U26)),"Leave not allowed on this day",IF(AND(E26="Manual Work",OR(NOT(ISNUMBER(F26)),NOT(ISNUMBER(G26)))),"Enter start and end",IF(AND(OR(E26="Partial Vacation",E26="Partial Sick Leave"),OR(NOT(ISNUMBER(H26)),NOT(ISNUMBER(I26)))),"Enter leave from and to",IF(AND(ISNUMBER(F26),ISNUMBER(G26),G26&lt;=F26),"End is before start",IF(AND(ISNUMBER(H26),ISNUMBER(I26),I26&lt;=H26),"Leave end is before start",IF(AND(ISNUMBER(F26),ISNUMBER(G26),ISNUMBER(H26),ISNUMBER(I26),F26&lt;I26,H26&lt;G26),"Work and leave hours overlap",IF(AND(E26&lt;&gt;"",WEEKDAY(A26)=7),"Saturday - administrator only","")))))))</f>
        <v/>
      </c>
      <c r="T26" s="36" t="n">
        <f aca="false">MONTH(A26)</f>
        <v>1</v>
      </c>
      <c r="U26" s="37" t="b">
        <f aca="false">OR(C26="Workday",C26="Eve")</f>
        <v>1</v>
      </c>
      <c r="V26" s="34" t="n">
        <f aca="false">IF(C26="Eve",Settings!$B$8,Settings!$B$7)</f>
        <v>0.6875</v>
      </c>
      <c r="W26" s="14" t="n">
        <f aca="false">IF(U26,(V26-Settings!$B$6)*24,0)</f>
        <v>8.5</v>
      </c>
    </row>
    <row r="27" customFormat="false" ht="15" hidden="false" customHeight="false" outlineLevel="0" collapsed="false">
      <c r="A27" s="29" t="n">
        <v>46043</v>
      </c>
      <c r="B27" s="30" t="str">
        <f aca="false">CHOOSE(WEEKDAY(A27),"Sun","Mon","Tue","Wed","Thu","Fri","Sat")</f>
        <v>Wed</v>
      </c>
      <c r="C27" s="30" t="str">
        <f aca="false">IF(IFERROR(INDEX(Holidays!$D$5:$D$60,MATCH(A27,Holidays!$A$5:$A$60,0)),"")="Holiday","Holiday",IF(WEEKDAY(A27)&gt;=6,"Weekend",IF(IFERROR(INDEX(Holidays!$D$5:$D$60,MATCH(A27,Holidays!$A$5:$A$60,0)),"")="Eve","Eve","Workday")))</f>
        <v>Workday</v>
      </c>
      <c r="D27" s="18" t="str">
        <f aca="false">IFERROR(INDEX(Holidays!$C$5:$C$60,MATCH(A27,Holidays!$A$5:$A$60,0)),"")</f>
        <v/>
      </c>
      <c r="E27" s="31"/>
      <c r="F27" s="32"/>
      <c r="G27" s="32"/>
      <c r="H27" s="32"/>
      <c r="I27" s="32"/>
      <c r="J27" s="31"/>
      <c r="K27" s="33" t="str">
        <f aca="false">IF(E27&lt;&gt;"",E27,IF(U27,"Present",IF(C27="Holiday","Holiday","Weekend")))</f>
        <v>Present</v>
      </c>
      <c r="L27" s="34" t="n">
        <f aca="false">IF(OR(K27="Present",K27="Manual Work",K27="Partial Vacation",K27="Partial Sick Leave"),IF(ISNUMBER(F27),F27,IF(AND(K27="Present",U27),Settings!$B$6,"")),"")</f>
        <v>0.333333333333333</v>
      </c>
      <c r="M27" s="34" t="n">
        <f aca="false">IF(OR(K27="Present",K27="Manual Work",K27="Partial Vacation",K27="Partial Sick Leave"),IF(ISNUMBER(G27),G27,IF(AND(K27="Present",U27),V27,"")),"")</f>
        <v>0.6875</v>
      </c>
      <c r="N27" s="14" t="n">
        <f aca="false">IF(AND(ISNUMBER(L27),ISNUMBER(M27)),MAX(0,(M27-L27)*24),0)</f>
        <v>8.5</v>
      </c>
      <c r="O27" s="14" t="n">
        <f aca="false">IF(NOT(U27),0,IF(K27="Vacation",IF(C27="Eve",Settings!$B$9*Settings!$B$11,W27),IF(K27="Partial Vacation",IF(AND(ISNUMBER(H27),ISNUMBER(I27)),MAX(0,(I27-H27)*24),0),0)))</f>
        <v>0</v>
      </c>
      <c r="P27" s="14" t="n">
        <f aca="false">IF(NOT(U27),0,IF(K27="Sick Leave",W27,IF(K27="Partial Sick Leave",IF(AND(ISNUMBER(H27),ISNUMBER(I27)),MAX(0,(I27-H27)*24),0),0)))</f>
        <v>0</v>
      </c>
      <c r="Q27" s="14" t="n">
        <f aca="false">IF(NOT(U27),0,IF(K27="Vacation",IF(C27="Eve",Settings!$B$11,1),IF(K27="Partial Vacation",O27/Settings!$B$9,0)))</f>
        <v>0</v>
      </c>
      <c r="R27" s="14" t="n">
        <f aca="false">IF(NOT(U27),0,IF(K27="Sick Leave",1,IF(K27="Partial Sick Leave",P27/Settings!$B$9,0)))</f>
        <v>0</v>
      </c>
      <c r="S27" s="35" t="str">
        <f aca="false">IF(AND(OR(E27="Vacation",E27="Sick Leave",E27="Partial Vacation",E27="Partial Sick Leave"),NOT(U27)),"Leave not allowed on this day",IF(AND(E27="Manual Work",OR(NOT(ISNUMBER(F27)),NOT(ISNUMBER(G27)))),"Enter start and end",IF(AND(OR(E27="Partial Vacation",E27="Partial Sick Leave"),OR(NOT(ISNUMBER(H27)),NOT(ISNUMBER(I27)))),"Enter leave from and to",IF(AND(ISNUMBER(F27),ISNUMBER(G27),G27&lt;=F27),"End is before start",IF(AND(ISNUMBER(H27),ISNUMBER(I27),I27&lt;=H27),"Leave end is before start",IF(AND(ISNUMBER(F27),ISNUMBER(G27),ISNUMBER(H27),ISNUMBER(I27),F27&lt;I27,H27&lt;G27),"Work and leave hours overlap",IF(AND(E27&lt;&gt;"",WEEKDAY(A27)=7),"Saturday - administrator only","")))))))</f>
        <v/>
      </c>
      <c r="T27" s="36" t="n">
        <f aca="false">MONTH(A27)</f>
        <v>1</v>
      </c>
      <c r="U27" s="37" t="b">
        <f aca="false">OR(C27="Workday",C27="Eve")</f>
        <v>1</v>
      </c>
      <c r="V27" s="34" t="n">
        <f aca="false">IF(C27="Eve",Settings!$B$8,Settings!$B$7)</f>
        <v>0.6875</v>
      </c>
      <c r="W27" s="14" t="n">
        <f aca="false">IF(U27,(V27-Settings!$B$6)*24,0)</f>
        <v>8.5</v>
      </c>
    </row>
    <row r="28" customFormat="false" ht="15" hidden="false" customHeight="false" outlineLevel="0" collapsed="false">
      <c r="A28" s="29" t="n">
        <v>46044</v>
      </c>
      <c r="B28" s="30" t="str">
        <f aca="false">CHOOSE(WEEKDAY(A28),"Sun","Mon","Tue","Wed","Thu","Fri","Sat")</f>
        <v>Thu</v>
      </c>
      <c r="C28" s="30" t="str">
        <f aca="false">IF(IFERROR(INDEX(Holidays!$D$5:$D$60,MATCH(A28,Holidays!$A$5:$A$60,0)),"")="Holiday","Holiday",IF(WEEKDAY(A28)&gt;=6,"Weekend",IF(IFERROR(INDEX(Holidays!$D$5:$D$60,MATCH(A28,Holidays!$A$5:$A$60,0)),"")="Eve","Eve","Workday")))</f>
        <v>Workday</v>
      </c>
      <c r="D28" s="18" t="str">
        <f aca="false">IFERROR(INDEX(Holidays!$C$5:$C$60,MATCH(A28,Holidays!$A$5:$A$60,0)),"")</f>
        <v/>
      </c>
      <c r="E28" s="31"/>
      <c r="F28" s="32"/>
      <c r="G28" s="32"/>
      <c r="H28" s="32"/>
      <c r="I28" s="32"/>
      <c r="J28" s="31"/>
      <c r="K28" s="33" t="str">
        <f aca="false">IF(E28&lt;&gt;"",E28,IF(U28,"Present",IF(C28="Holiday","Holiday","Weekend")))</f>
        <v>Present</v>
      </c>
      <c r="L28" s="34" t="n">
        <f aca="false">IF(OR(K28="Present",K28="Manual Work",K28="Partial Vacation",K28="Partial Sick Leave"),IF(ISNUMBER(F28),F28,IF(AND(K28="Present",U28),Settings!$B$6,"")),"")</f>
        <v>0.333333333333333</v>
      </c>
      <c r="M28" s="34" t="n">
        <f aca="false">IF(OR(K28="Present",K28="Manual Work",K28="Partial Vacation",K28="Partial Sick Leave"),IF(ISNUMBER(G28),G28,IF(AND(K28="Present",U28),V28,"")),"")</f>
        <v>0.6875</v>
      </c>
      <c r="N28" s="14" t="n">
        <f aca="false">IF(AND(ISNUMBER(L28),ISNUMBER(M28)),MAX(0,(M28-L28)*24),0)</f>
        <v>8.5</v>
      </c>
      <c r="O28" s="14" t="n">
        <f aca="false">IF(NOT(U28),0,IF(K28="Vacation",IF(C28="Eve",Settings!$B$9*Settings!$B$11,W28),IF(K28="Partial Vacation",IF(AND(ISNUMBER(H28),ISNUMBER(I28)),MAX(0,(I28-H28)*24),0),0)))</f>
        <v>0</v>
      </c>
      <c r="P28" s="14" t="n">
        <f aca="false">IF(NOT(U28),0,IF(K28="Sick Leave",W28,IF(K28="Partial Sick Leave",IF(AND(ISNUMBER(H28),ISNUMBER(I28)),MAX(0,(I28-H28)*24),0),0)))</f>
        <v>0</v>
      </c>
      <c r="Q28" s="14" t="n">
        <f aca="false">IF(NOT(U28),0,IF(K28="Vacation",IF(C28="Eve",Settings!$B$11,1),IF(K28="Partial Vacation",O28/Settings!$B$9,0)))</f>
        <v>0</v>
      </c>
      <c r="R28" s="14" t="n">
        <f aca="false">IF(NOT(U28),0,IF(K28="Sick Leave",1,IF(K28="Partial Sick Leave",P28/Settings!$B$9,0)))</f>
        <v>0</v>
      </c>
      <c r="S28" s="35" t="str">
        <f aca="false">IF(AND(OR(E28="Vacation",E28="Sick Leave",E28="Partial Vacation",E28="Partial Sick Leave"),NOT(U28)),"Leave not allowed on this day",IF(AND(E28="Manual Work",OR(NOT(ISNUMBER(F28)),NOT(ISNUMBER(G28)))),"Enter start and end",IF(AND(OR(E28="Partial Vacation",E28="Partial Sick Leave"),OR(NOT(ISNUMBER(H28)),NOT(ISNUMBER(I28)))),"Enter leave from and to",IF(AND(ISNUMBER(F28),ISNUMBER(G28),G28&lt;=F28),"End is before start",IF(AND(ISNUMBER(H28),ISNUMBER(I28),I28&lt;=H28),"Leave end is before start",IF(AND(ISNUMBER(F28),ISNUMBER(G28),ISNUMBER(H28),ISNUMBER(I28),F28&lt;I28,H28&lt;G28),"Work and leave hours overlap",IF(AND(E28&lt;&gt;"",WEEKDAY(A28)=7),"Saturday - administrator only","")))))))</f>
        <v/>
      </c>
      <c r="T28" s="36" t="n">
        <f aca="false">MONTH(A28)</f>
        <v>1</v>
      </c>
      <c r="U28" s="37" t="b">
        <f aca="false">OR(C28="Workday",C28="Eve")</f>
        <v>1</v>
      </c>
      <c r="V28" s="34" t="n">
        <f aca="false">IF(C28="Eve",Settings!$B$8,Settings!$B$7)</f>
        <v>0.6875</v>
      </c>
      <c r="W28" s="14" t="n">
        <f aca="false">IF(U28,(V28-Settings!$B$6)*24,0)</f>
        <v>8.5</v>
      </c>
    </row>
    <row r="29" customFormat="false" ht="15" hidden="false" customHeight="false" outlineLevel="0" collapsed="false">
      <c r="A29" s="29" t="n">
        <v>46045</v>
      </c>
      <c r="B29" s="30" t="str">
        <f aca="false">CHOOSE(WEEKDAY(A29),"Sun","Mon","Tue","Wed","Thu","Fri","Sat")</f>
        <v>Fri</v>
      </c>
      <c r="C29" s="30" t="str">
        <f aca="false">IF(IFERROR(INDEX(Holidays!$D$5:$D$60,MATCH(A29,Holidays!$A$5:$A$60,0)),"")="Holiday","Holiday",IF(WEEKDAY(A29)&gt;=6,"Weekend",IF(IFERROR(INDEX(Holidays!$D$5:$D$60,MATCH(A29,Holidays!$A$5:$A$60,0)),"")="Eve","Eve","Workday")))</f>
        <v>Weekend</v>
      </c>
      <c r="D29" s="18" t="str">
        <f aca="false">IFERROR(INDEX(Holidays!$C$5:$C$60,MATCH(A29,Holidays!$A$5:$A$60,0)),"")</f>
        <v/>
      </c>
      <c r="E29" s="31"/>
      <c r="F29" s="32"/>
      <c r="G29" s="32"/>
      <c r="H29" s="32"/>
      <c r="I29" s="32"/>
      <c r="J29" s="31"/>
      <c r="K29" s="33" t="str">
        <f aca="false">IF(E29&lt;&gt;"",E29,IF(U29,"Present",IF(C29="Holiday","Holiday","Weekend")))</f>
        <v>Weekend</v>
      </c>
      <c r="L29" s="34" t="str">
        <f aca="false">IF(OR(K29="Present",K29="Manual Work",K29="Partial Vacation",K29="Partial Sick Leave"),IF(ISNUMBER(F29),F29,IF(AND(K29="Present",U29),Settings!$B$6,"")),"")</f>
        <v/>
      </c>
      <c r="M29" s="34" t="str">
        <f aca="false">IF(OR(K29="Present",K29="Manual Work",K29="Partial Vacation",K29="Partial Sick Leave"),IF(ISNUMBER(G29),G29,IF(AND(K29="Present",U29),V29,"")),"")</f>
        <v/>
      </c>
      <c r="N29" s="14" t="n">
        <f aca="false">IF(AND(ISNUMBER(L29),ISNUMBER(M29)),MAX(0,(M29-L29)*24),0)</f>
        <v>0</v>
      </c>
      <c r="O29" s="14" t="n">
        <f aca="false">IF(NOT(U29),0,IF(K29="Vacation",IF(C29="Eve",Settings!$B$9*Settings!$B$11,W29),IF(K29="Partial Vacation",IF(AND(ISNUMBER(H29),ISNUMBER(I29)),MAX(0,(I29-H29)*24),0),0)))</f>
        <v>0</v>
      </c>
      <c r="P29" s="14" t="n">
        <f aca="false">IF(NOT(U29),0,IF(K29="Sick Leave",W29,IF(K29="Partial Sick Leave",IF(AND(ISNUMBER(H29),ISNUMBER(I29)),MAX(0,(I29-H29)*24),0),0)))</f>
        <v>0</v>
      </c>
      <c r="Q29" s="14" t="n">
        <f aca="false">IF(NOT(U29),0,IF(K29="Vacation",IF(C29="Eve",Settings!$B$11,1),IF(K29="Partial Vacation",O29/Settings!$B$9,0)))</f>
        <v>0</v>
      </c>
      <c r="R29" s="14" t="n">
        <f aca="false">IF(NOT(U29),0,IF(K29="Sick Leave",1,IF(K29="Partial Sick Leave",P29/Settings!$B$9,0)))</f>
        <v>0</v>
      </c>
      <c r="S29" s="35" t="str">
        <f aca="false">IF(AND(OR(E29="Vacation",E29="Sick Leave",E29="Partial Vacation",E29="Partial Sick Leave"),NOT(U29)),"Leave not allowed on this day",IF(AND(E29="Manual Work",OR(NOT(ISNUMBER(F29)),NOT(ISNUMBER(G29)))),"Enter start and end",IF(AND(OR(E29="Partial Vacation",E29="Partial Sick Leave"),OR(NOT(ISNUMBER(H29)),NOT(ISNUMBER(I29)))),"Enter leave from and to",IF(AND(ISNUMBER(F29),ISNUMBER(G29),G29&lt;=F29),"End is before start",IF(AND(ISNUMBER(H29),ISNUMBER(I29),I29&lt;=H29),"Leave end is before start",IF(AND(ISNUMBER(F29),ISNUMBER(G29),ISNUMBER(H29),ISNUMBER(I29),F29&lt;I29,H29&lt;G29),"Work and leave hours overlap",IF(AND(E29&lt;&gt;"",WEEKDAY(A29)=7),"Saturday - administrator only","")))))))</f>
        <v/>
      </c>
      <c r="T29" s="36" t="n">
        <f aca="false">MONTH(A29)</f>
        <v>1</v>
      </c>
      <c r="U29" s="37" t="b">
        <f aca="false">OR(C29="Workday",C29="Eve")</f>
        <v>0</v>
      </c>
      <c r="V29" s="34" t="n">
        <f aca="false">IF(C29="Eve",Settings!$B$8,Settings!$B$7)</f>
        <v>0.6875</v>
      </c>
      <c r="W29" s="14" t="n">
        <f aca="false">IF(U29,(V29-Settings!$B$6)*24,0)</f>
        <v>0</v>
      </c>
    </row>
    <row r="30" customFormat="false" ht="15" hidden="false" customHeight="false" outlineLevel="0" collapsed="false">
      <c r="A30" s="29" t="n">
        <v>46046</v>
      </c>
      <c r="B30" s="30" t="str">
        <f aca="false">CHOOSE(WEEKDAY(A30),"Sun","Mon","Tue","Wed","Thu","Fri","Sat")</f>
        <v>Sat</v>
      </c>
      <c r="C30" s="30" t="str">
        <f aca="false">IF(IFERROR(INDEX(Holidays!$D$5:$D$60,MATCH(A30,Holidays!$A$5:$A$60,0)),"")="Holiday","Holiday",IF(WEEKDAY(A30)&gt;=6,"Weekend",IF(IFERROR(INDEX(Holidays!$D$5:$D$60,MATCH(A30,Holidays!$A$5:$A$60,0)),"")="Eve","Eve","Workday")))</f>
        <v>Weekend</v>
      </c>
      <c r="D30" s="18" t="str">
        <f aca="false">IFERROR(INDEX(Holidays!$C$5:$C$60,MATCH(A30,Holidays!$A$5:$A$60,0)),"")</f>
        <v/>
      </c>
      <c r="E30" s="31"/>
      <c r="F30" s="32"/>
      <c r="G30" s="32"/>
      <c r="H30" s="32"/>
      <c r="I30" s="32"/>
      <c r="J30" s="31"/>
      <c r="K30" s="33" t="str">
        <f aca="false">IF(E30&lt;&gt;"",E30,IF(U30,"Present",IF(C30="Holiday","Holiday","Weekend")))</f>
        <v>Weekend</v>
      </c>
      <c r="L30" s="34" t="str">
        <f aca="false">IF(OR(K30="Present",K30="Manual Work",K30="Partial Vacation",K30="Partial Sick Leave"),IF(ISNUMBER(F30),F30,IF(AND(K30="Present",U30),Settings!$B$6,"")),"")</f>
        <v/>
      </c>
      <c r="M30" s="34" t="str">
        <f aca="false">IF(OR(K30="Present",K30="Manual Work",K30="Partial Vacation",K30="Partial Sick Leave"),IF(ISNUMBER(G30),G30,IF(AND(K30="Present",U30),V30,"")),"")</f>
        <v/>
      </c>
      <c r="N30" s="14" t="n">
        <f aca="false">IF(AND(ISNUMBER(L30),ISNUMBER(M30)),MAX(0,(M30-L30)*24),0)</f>
        <v>0</v>
      </c>
      <c r="O30" s="14" t="n">
        <f aca="false">IF(NOT(U30),0,IF(K30="Vacation",IF(C30="Eve",Settings!$B$9*Settings!$B$11,W30),IF(K30="Partial Vacation",IF(AND(ISNUMBER(H30),ISNUMBER(I30)),MAX(0,(I30-H30)*24),0),0)))</f>
        <v>0</v>
      </c>
      <c r="P30" s="14" t="n">
        <f aca="false">IF(NOT(U30),0,IF(K30="Sick Leave",W30,IF(K30="Partial Sick Leave",IF(AND(ISNUMBER(H30),ISNUMBER(I30)),MAX(0,(I30-H30)*24),0),0)))</f>
        <v>0</v>
      </c>
      <c r="Q30" s="14" t="n">
        <f aca="false">IF(NOT(U30),0,IF(K30="Vacation",IF(C30="Eve",Settings!$B$11,1),IF(K30="Partial Vacation",O30/Settings!$B$9,0)))</f>
        <v>0</v>
      </c>
      <c r="R30" s="14" t="n">
        <f aca="false">IF(NOT(U30),0,IF(K30="Sick Leave",1,IF(K30="Partial Sick Leave",P30/Settings!$B$9,0)))</f>
        <v>0</v>
      </c>
      <c r="S30" s="35" t="str">
        <f aca="false">IF(AND(OR(E30="Vacation",E30="Sick Leave",E30="Partial Vacation",E30="Partial Sick Leave"),NOT(U30)),"Leave not allowed on this day",IF(AND(E30="Manual Work",OR(NOT(ISNUMBER(F30)),NOT(ISNUMBER(G30)))),"Enter start and end",IF(AND(OR(E30="Partial Vacation",E30="Partial Sick Leave"),OR(NOT(ISNUMBER(H30)),NOT(ISNUMBER(I30)))),"Enter leave from and to",IF(AND(ISNUMBER(F30),ISNUMBER(G30),G30&lt;=F30),"End is before start",IF(AND(ISNUMBER(H30),ISNUMBER(I30),I30&lt;=H30),"Leave end is before start",IF(AND(ISNUMBER(F30),ISNUMBER(G30),ISNUMBER(H30),ISNUMBER(I30),F30&lt;I30,H30&lt;G30),"Work and leave hours overlap",IF(AND(E30&lt;&gt;"",WEEKDAY(A30)=7),"Saturday - administrator only","")))))))</f>
        <v/>
      </c>
      <c r="T30" s="36" t="n">
        <f aca="false">MONTH(A30)</f>
        <v>1</v>
      </c>
      <c r="U30" s="37" t="b">
        <f aca="false">OR(C30="Workday",C30="Eve")</f>
        <v>0</v>
      </c>
      <c r="V30" s="34" t="n">
        <f aca="false">IF(C30="Eve",Settings!$B$8,Settings!$B$7)</f>
        <v>0.6875</v>
      </c>
      <c r="W30" s="14" t="n">
        <f aca="false">IF(U30,(V30-Settings!$B$6)*24,0)</f>
        <v>0</v>
      </c>
    </row>
    <row r="31" customFormat="false" ht="15" hidden="false" customHeight="false" outlineLevel="0" collapsed="false">
      <c r="A31" s="29" t="n">
        <v>46047</v>
      </c>
      <c r="B31" s="30" t="str">
        <f aca="false">CHOOSE(WEEKDAY(A31),"Sun","Mon","Tue","Wed","Thu","Fri","Sat")</f>
        <v>Sun</v>
      </c>
      <c r="C31" s="30" t="str">
        <f aca="false">IF(IFERROR(INDEX(Holidays!$D$5:$D$60,MATCH(A31,Holidays!$A$5:$A$60,0)),"")="Holiday","Holiday",IF(WEEKDAY(A31)&gt;=6,"Weekend",IF(IFERROR(INDEX(Holidays!$D$5:$D$60,MATCH(A31,Holidays!$A$5:$A$60,0)),"")="Eve","Eve","Workday")))</f>
        <v>Workday</v>
      </c>
      <c r="D31" s="18" t="str">
        <f aca="false">IFERROR(INDEX(Holidays!$C$5:$C$60,MATCH(A31,Holidays!$A$5:$A$60,0)),"")</f>
        <v/>
      </c>
      <c r="E31" s="31"/>
      <c r="F31" s="32"/>
      <c r="G31" s="32"/>
      <c r="H31" s="32"/>
      <c r="I31" s="32"/>
      <c r="J31" s="31"/>
      <c r="K31" s="33" t="str">
        <f aca="false">IF(E31&lt;&gt;"",E31,IF(U31,"Present",IF(C31="Holiday","Holiday","Weekend")))</f>
        <v>Present</v>
      </c>
      <c r="L31" s="34" t="n">
        <f aca="false">IF(OR(K31="Present",K31="Manual Work",K31="Partial Vacation",K31="Partial Sick Leave"),IF(ISNUMBER(F31),F31,IF(AND(K31="Present",U31),Settings!$B$6,"")),"")</f>
        <v>0.333333333333333</v>
      </c>
      <c r="M31" s="34" t="n">
        <f aca="false">IF(OR(K31="Present",K31="Manual Work",K31="Partial Vacation",K31="Partial Sick Leave"),IF(ISNUMBER(G31),G31,IF(AND(K31="Present",U31),V31,"")),"")</f>
        <v>0.6875</v>
      </c>
      <c r="N31" s="14" t="n">
        <f aca="false">IF(AND(ISNUMBER(L31),ISNUMBER(M31)),MAX(0,(M31-L31)*24),0)</f>
        <v>8.5</v>
      </c>
      <c r="O31" s="14" t="n">
        <f aca="false">IF(NOT(U31),0,IF(K31="Vacation",IF(C31="Eve",Settings!$B$9*Settings!$B$11,W31),IF(K31="Partial Vacation",IF(AND(ISNUMBER(H31),ISNUMBER(I31)),MAX(0,(I31-H31)*24),0),0)))</f>
        <v>0</v>
      </c>
      <c r="P31" s="14" t="n">
        <f aca="false">IF(NOT(U31),0,IF(K31="Sick Leave",W31,IF(K31="Partial Sick Leave",IF(AND(ISNUMBER(H31),ISNUMBER(I31)),MAX(0,(I31-H31)*24),0),0)))</f>
        <v>0</v>
      </c>
      <c r="Q31" s="14" t="n">
        <f aca="false">IF(NOT(U31),0,IF(K31="Vacation",IF(C31="Eve",Settings!$B$11,1),IF(K31="Partial Vacation",O31/Settings!$B$9,0)))</f>
        <v>0</v>
      </c>
      <c r="R31" s="14" t="n">
        <f aca="false">IF(NOT(U31),0,IF(K31="Sick Leave",1,IF(K31="Partial Sick Leave",P31/Settings!$B$9,0)))</f>
        <v>0</v>
      </c>
      <c r="S31" s="35" t="str">
        <f aca="false">IF(AND(OR(E31="Vacation",E31="Sick Leave",E31="Partial Vacation",E31="Partial Sick Leave"),NOT(U31)),"Leave not allowed on this day",IF(AND(E31="Manual Work",OR(NOT(ISNUMBER(F31)),NOT(ISNUMBER(G31)))),"Enter start and end",IF(AND(OR(E31="Partial Vacation",E31="Partial Sick Leave"),OR(NOT(ISNUMBER(H31)),NOT(ISNUMBER(I31)))),"Enter leave from and to",IF(AND(ISNUMBER(F31),ISNUMBER(G31),G31&lt;=F31),"End is before start",IF(AND(ISNUMBER(H31),ISNUMBER(I31),I31&lt;=H31),"Leave end is before start",IF(AND(ISNUMBER(F31),ISNUMBER(G31),ISNUMBER(H31),ISNUMBER(I31),F31&lt;I31,H31&lt;G31),"Work and leave hours overlap",IF(AND(E31&lt;&gt;"",WEEKDAY(A31)=7),"Saturday - administrator only","")))))))</f>
        <v/>
      </c>
      <c r="T31" s="36" t="n">
        <f aca="false">MONTH(A31)</f>
        <v>1</v>
      </c>
      <c r="U31" s="37" t="b">
        <f aca="false">OR(C31="Workday",C31="Eve")</f>
        <v>1</v>
      </c>
      <c r="V31" s="34" t="n">
        <f aca="false">IF(C31="Eve",Settings!$B$8,Settings!$B$7)</f>
        <v>0.6875</v>
      </c>
      <c r="W31" s="14" t="n">
        <f aca="false">IF(U31,(V31-Settings!$B$6)*24,0)</f>
        <v>8.5</v>
      </c>
    </row>
    <row r="32" customFormat="false" ht="15" hidden="false" customHeight="false" outlineLevel="0" collapsed="false">
      <c r="A32" s="29" t="n">
        <v>46048</v>
      </c>
      <c r="B32" s="30" t="str">
        <f aca="false">CHOOSE(WEEKDAY(A32),"Sun","Mon","Tue","Wed","Thu","Fri","Sat")</f>
        <v>Mon</v>
      </c>
      <c r="C32" s="30" t="str">
        <f aca="false">IF(IFERROR(INDEX(Holidays!$D$5:$D$60,MATCH(A32,Holidays!$A$5:$A$60,0)),"")="Holiday","Holiday",IF(WEEKDAY(A32)&gt;=6,"Weekend",IF(IFERROR(INDEX(Holidays!$D$5:$D$60,MATCH(A32,Holidays!$A$5:$A$60,0)),"")="Eve","Eve","Workday")))</f>
        <v>Workday</v>
      </c>
      <c r="D32" s="18" t="str">
        <f aca="false">IFERROR(INDEX(Holidays!$C$5:$C$60,MATCH(A32,Holidays!$A$5:$A$60,0)),"")</f>
        <v/>
      </c>
      <c r="E32" s="31"/>
      <c r="F32" s="32"/>
      <c r="G32" s="32"/>
      <c r="H32" s="32"/>
      <c r="I32" s="32"/>
      <c r="J32" s="31"/>
      <c r="K32" s="33" t="str">
        <f aca="false">IF(E32&lt;&gt;"",E32,IF(U32,"Present",IF(C32="Holiday","Holiday","Weekend")))</f>
        <v>Present</v>
      </c>
      <c r="L32" s="34" t="n">
        <f aca="false">IF(OR(K32="Present",K32="Manual Work",K32="Partial Vacation",K32="Partial Sick Leave"),IF(ISNUMBER(F32),F32,IF(AND(K32="Present",U32),Settings!$B$6,"")),"")</f>
        <v>0.333333333333333</v>
      </c>
      <c r="M32" s="34" t="n">
        <f aca="false">IF(OR(K32="Present",K32="Manual Work",K32="Partial Vacation",K32="Partial Sick Leave"),IF(ISNUMBER(G32),G32,IF(AND(K32="Present",U32),V32,"")),"")</f>
        <v>0.6875</v>
      </c>
      <c r="N32" s="14" t="n">
        <f aca="false">IF(AND(ISNUMBER(L32),ISNUMBER(M32)),MAX(0,(M32-L32)*24),0)</f>
        <v>8.5</v>
      </c>
      <c r="O32" s="14" t="n">
        <f aca="false">IF(NOT(U32),0,IF(K32="Vacation",IF(C32="Eve",Settings!$B$9*Settings!$B$11,W32),IF(K32="Partial Vacation",IF(AND(ISNUMBER(H32),ISNUMBER(I32)),MAX(0,(I32-H32)*24),0),0)))</f>
        <v>0</v>
      </c>
      <c r="P32" s="14" t="n">
        <f aca="false">IF(NOT(U32),0,IF(K32="Sick Leave",W32,IF(K32="Partial Sick Leave",IF(AND(ISNUMBER(H32),ISNUMBER(I32)),MAX(0,(I32-H32)*24),0),0)))</f>
        <v>0</v>
      </c>
      <c r="Q32" s="14" t="n">
        <f aca="false">IF(NOT(U32),0,IF(K32="Vacation",IF(C32="Eve",Settings!$B$11,1),IF(K32="Partial Vacation",O32/Settings!$B$9,0)))</f>
        <v>0</v>
      </c>
      <c r="R32" s="14" t="n">
        <f aca="false">IF(NOT(U32),0,IF(K32="Sick Leave",1,IF(K32="Partial Sick Leave",P32/Settings!$B$9,0)))</f>
        <v>0</v>
      </c>
      <c r="S32" s="35" t="str">
        <f aca="false">IF(AND(OR(E32="Vacation",E32="Sick Leave",E32="Partial Vacation",E32="Partial Sick Leave"),NOT(U32)),"Leave not allowed on this day",IF(AND(E32="Manual Work",OR(NOT(ISNUMBER(F32)),NOT(ISNUMBER(G32)))),"Enter start and end",IF(AND(OR(E32="Partial Vacation",E32="Partial Sick Leave"),OR(NOT(ISNUMBER(H32)),NOT(ISNUMBER(I32)))),"Enter leave from and to",IF(AND(ISNUMBER(F32),ISNUMBER(G32),G32&lt;=F32),"End is before start",IF(AND(ISNUMBER(H32),ISNUMBER(I32),I32&lt;=H32),"Leave end is before start",IF(AND(ISNUMBER(F32),ISNUMBER(G32),ISNUMBER(H32),ISNUMBER(I32),F32&lt;I32,H32&lt;G32),"Work and leave hours overlap",IF(AND(E32&lt;&gt;"",WEEKDAY(A32)=7),"Saturday - administrator only","")))))))</f>
        <v/>
      </c>
      <c r="T32" s="36" t="n">
        <f aca="false">MONTH(A32)</f>
        <v>1</v>
      </c>
      <c r="U32" s="37" t="b">
        <f aca="false">OR(C32="Workday",C32="Eve")</f>
        <v>1</v>
      </c>
      <c r="V32" s="34" t="n">
        <f aca="false">IF(C32="Eve",Settings!$B$8,Settings!$B$7)</f>
        <v>0.6875</v>
      </c>
      <c r="W32" s="14" t="n">
        <f aca="false">IF(U32,(V32-Settings!$B$6)*24,0)</f>
        <v>8.5</v>
      </c>
    </row>
    <row r="33" customFormat="false" ht="15" hidden="false" customHeight="false" outlineLevel="0" collapsed="false">
      <c r="A33" s="29" t="n">
        <v>46049</v>
      </c>
      <c r="B33" s="30" t="str">
        <f aca="false">CHOOSE(WEEKDAY(A33),"Sun","Mon","Tue","Wed","Thu","Fri","Sat")</f>
        <v>Tue</v>
      </c>
      <c r="C33" s="30" t="str">
        <f aca="false">IF(IFERROR(INDEX(Holidays!$D$5:$D$60,MATCH(A33,Holidays!$A$5:$A$60,0)),"")="Holiday","Holiday",IF(WEEKDAY(A33)&gt;=6,"Weekend",IF(IFERROR(INDEX(Holidays!$D$5:$D$60,MATCH(A33,Holidays!$A$5:$A$60,0)),"")="Eve","Eve","Workday")))</f>
        <v>Workday</v>
      </c>
      <c r="D33" s="18" t="str">
        <f aca="false">IFERROR(INDEX(Holidays!$C$5:$C$60,MATCH(A33,Holidays!$A$5:$A$60,0)),"")</f>
        <v/>
      </c>
      <c r="E33" s="31"/>
      <c r="F33" s="32"/>
      <c r="G33" s="32"/>
      <c r="H33" s="32"/>
      <c r="I33" s="32"/>
      <c r="J33" s="31"/>
      <c r="K33" s="33" t="str">
        <f aca="false">IF(E33&lt;&gt;"",E33,IF(U33,"Present",IF(C33="Holiday","Holiday","Weekend")))</f>
        <v>Present</v>
      </c>
      <c r="L33" s="34" t="n">
        <f aca="false">IF(OR(K33="Present",K33="Manual Work",K33="Partial Vacation",K33="Partial Sick Leave"),IF(ISNUMBER(F33),F33,IF(AND(K33="Present",U33),Settings!$B$6,"")),"")</f>
        <v>0.333333333333333</v>
      </c>
      <c r="M33" s="34" t="n">
        <f aca="false">IF(OR(K33="Present",K33="Manual Work",K33="Partial Vacation",K33="Partial Sick Leave"),IF(ISNUMBER(G33),G33,IF(AND(K33="Present",U33),V33,"")),"")</f>
        <v>0.6875</v>
      </c>
      <c r="N33" s="14" t="n">
        <f aca="false">IF(AND(ISNUMBER(L33),ISNUMBER(M33)),MAX(0,(M33-L33)*24),0)</f>
        <v>8.5</v>
      </c>
      <c r="O33" s="14" t="n">
        <f aca="false">IF(NOT(U33),0,IF(K33="Vacation",IF(C33="Eve",Settings!$B$9*Settings!$B$11,W33),IF(K33="Partial Vacation",IF(AND(ISNUMBER(H33),ISNUMBER(I33)),MAX(0,(I33-H33)*24),0),0)))</f>
        <v>0</v>
      </c>
      <c r="P33" s="14" t="n">
        <f aca="false">IF(NOT(U33),0,IF(K33="Sick Leave",W33,IF(K33="Partial Sick Leave",IF(AND(ISNUMBER(H33),ISNUMBER(I33)),MAX(0,(I33-H33)*24),0),0)))</f>
        <v>0</v>
      </c>
      <c r="Q33" s="14" t="n">
        <f aca="false">IF(NOT(U33),0,IF(K33="Vacation",IF(C33="Eve",Settings!$B$11,1),IF(K33="Partial Vacation",O33/Settings!$B$9,0)))</f>
        <v>0</v>
      </c>
      <c r="R33" s="14" t="n">
        <f aca="false">IF(NOT(U33),0,IF(K33="Sick Leave",1,IF(K33="Partial Sick Leave",P33/Settings!$B$9,0)))</f>
        <v>0</v>
      </c>
      <c r="S33" s="35" t="str">
        <f aca="false">IF(AND(OR(E33="Vacation",E33="Sick Leave",E33="Partial Vacation",E33="Partial Sick Leave"),NOT(U33)),"Leave not allowed on this day",IF(AND(E33="Manual Work",OR(NOT(ISNUMBER(F33)),NOT(ISNUMBER(G33)))),"Enter start and end",IF(AND(OR(E33="Partial Vacation",E33="Partial Sick Leave"),OR(NOT(ISNUMBER(H33)),NOT(ISNUMBER(I33)))),"Enter leave from and to",IF(AND(ISNUMBER(F33),ISNUMBER(G33),G33&lt;=F33),"End is before start",IF(AND(ISNUMBER(H33),ISNUMBER(I33),I33&lt;=H33),"Leave end is before start",IF(AND(ISNUMBER(F33),ISNUMBER(G33),ISNUMBER(H33),ISNUMBER(I33),F33&lt;I33,H33&lt;G33),"Work and leave hours overlap",IF(AND(E33&lt;&gt;"",WEEKDAY(A33)=7),"Saturday - administrator only","")))))))</f>
        <v/>
      </c>
      <c r="T33" s="36" t="n">
        <f aca="false">MONTH(A33)</f>
        <v>1</v>
      </c>
      <c r="U33" s="37" t="b">
        <f aca="false">OR(C33="Workday",C33="Eve")</f>
        <v>1</v>
      </c>
      <c r="V33" s="34" t="n">
        <f aca="false">IF(C33="Eve",Settings!$B$8,Settings!$B$7)</f>
        <v>0.6875</v>
      </c>
      <c r="W33" s="14" t="n">
        <f aca="false">IF(U33,(V33-Settings!$B$6)*24,0)</f>
        <v>8.5</v>
      </c>
    </row>
    <row r="34" customFormat="false" ht="15" hidden="false" customHeight="false" outlineLevel="0" collapsed="false">
      <c r="A34" s="29" t="n">
        <v>46050</v>
      </c>
      <c r="B34" s="30" t="str">
        <f aca="false">CHOOSE(WEEKDAY(A34),"Sun","Mon","Tue","Wed","Thu","Fri","Sat")</f>
        <v>Wed</v>
      </c>
      <c r="C34" s="30" t="str">
        <f aca="false">IF(IFERROR(INDEX(Holidays!$D$5:$D$60,MATCH(A34,Holidays!$A$5:$A$60,0)),"")="Holiday","Holiday",IF(WEEKDAY(A34)&gt;=6,"Weekend",IF(IFERROR(INDEX(Holidays!$D$5:$D$60,MATCH(A34,Holidays!$A$5:$A$60,0)),"")="Eve","Eve","Workday")))</f>
        <v>Workday</v>
      </c>
      <c r="D34" s="18" t="str">
        <f aca="false">IFERROR(INDEX(Holidays!$C$5:$C$60,MATCH(A34,Holidays!$A$5:$A$60,0)),"")</f>
        <v/>
      </c>
      <c r="E34" s="31"/>
      <c r="F34" s="32"/>
      <c r="G34" s="32"/>
      <c r="H34" s="32"/>
      <c r="I34" s="32"/>
      <c r="J34" s="31"/>
      <c r="K34" s="33" t="str">
        <f aca="false">IF(E34&lt;&gt;"",E34,IF(U34,"Present",IF(C34="Holiday","Holiday","Weekend")))</f>
        <v>Present</v>
      </c>
      <c r="L34" s="34" t="n">
        <f aca="false">IF(OR(K34="Present",K34="Manual Work",K34="Partial Vacation",K34="Partial Sick Leave"),IF(ISNUMBER(F34),F34,IF(AND(K34="Present",U34),Settings!$B$6,"")),"")</f>
        <v>0.333333333333333</v>
      </c>
      <c r="M34" s="34" t="n">
        <f aca="false">IF(OR(K34="Present",K34="Manual Work",K34="Partial Vacation",K34="Partial Sick Leave"),IF(ISNUMBER(G34),G34,IF(AND(K34="Present",U34),V34,"")),"")</f>
        <v>0.6875</v>
      </c>
      <c r="N34" s="14" t="n">
        <f aca="false">IF(AND(ISNUMBER(L34),ISNUMBER(M34)),MAX(0,(M34-L34)*24),0)</f>
        <v>8.5</v>
      </c>
      <c r="O34" s="14" t="n">
        <f aca="false">IF(NOT(U34),0,IF(K34="Vacation",IF(C34="Eve",Settings!$B$9*Settings!$B$11,W34),IF(K34="Partial Vacation",IF(AND(ISNUMBER(H34),ISNUMBER(I34)),MAX(0,(I34-H34)*24),0),0)))</f>
        <v>0</v>
      </c>
      <c r="P34" s="14" t="n">
        <f aca="false">IF(NOT(U34),0,IF(K34="Sick Leave",W34,IF(K34="Partial Sick Leave",IF(AND(ISNUMBER(H34),ISNUMBER(I34)),MAX(0,(I34-H34)*24),0),0)))</f>
        <v>0</v>
      </c>
      <c r="Q34" s="14" t="n">
        <f aca="false">IF(NOT(U34),0,IF(K34="Vacation",IF(C34="Eve",Settings!$B$11,1),IF(K34="Partial Vacation",O34/Settings!$B$9,0)))</f>
        <v>0</v>
      </c>
      <c r="R34" s="14" t="n">
        <f aca="false">IF(NOT(U34),0,IF(K34="Sick Leave",1,IF(K34="Partial Sick Leave",P34/Settings!$B$9,0)))</f>
        <v>0</v>
      </c>
      <c r="S34" s="35" t="str">
        <f aca="false">IF(AND(OR(E34="Vacation",E34="Sick Leave",E34="Partial Vacation",E34="Partial Sick Leave"),NOT(U34)),"Leave not allowed on this day",IF(AND(E34="Manual Work",OR(NOT(ISNUMBER(F34)),NOT(ISNUMBER(G34)))),"Enter start and end",IF(AND(OR(E34="Partial Vacation",E34="Partial Sick Leave"),OR(NOT(ISNUMBER(H34)),NOT(ISNUMBER(I34)))),"Enter leave from and to",IF(AND(ISNUMBER(F34),ISNUMBER(G34),G34&lt;=F34),"End is before start",IF(AND(ISNUMBER(H34),ISNUMBER(I34),I34&lt;=H34),"Leave end is before start",IF(AND(ISNUMBER(F34),ISNUMBER(G34),ISNUMBER(H34),ISNUMBER(I34),F34&lt;I34,H34&lt;G34),"Work and leave hours overlap",IF(AND(E34&lt;&gt;"",WEEKDAY(A34)=7),"Saturday - administrator only","")))))))</f>
        <v/>
      </c>
      <c r="T34" s="36" t="n">
        <f aca="false">MONTH(A34)</f>
        <v>1</v>
      </c>
      <c r="U34" s="37" t="b">
        <f aca="false">OR(C34="Workday",C34="Eve")</f>
        <v>1</v>
      </c>
      <c r="V34" s="34" t="n">
        <f aca="false">IF(C34="Eve",Settings!$B$8,Settings!$B$7)</f>
        <v>0.6875</v>
      </c>
      <c r="W34" s="14" t="n">
        <f aca="false">IF(U34,(V34-Settings!$B$6)*24,0)</f>
        <v>8.5</v>
      </c>
    </row>
    <row r="35" customFormat="false" ht="15" hidden="false" customHeight="false" outlineLevel="0" collapsed="false">
      <c r="A35" s="29" t="n">
        <v>46051</v>
      </c>
      <c r="B35" s="30" t="str">
        <f aca="false">CHOOSE(WEEKDAY(A35),"Sun","Mon","Tue","Wed","Thu","Fri","Sat")</f>
        <v>Thu</v>
      </c>
      <c r="C35" s="30" t="str">
        <f aca="false">IF(IFERROR(INDEX(Holidays!$D$5:$D$60,MATCH(A35,Holidays!$A$5:$A$60,0)),"")="Holiday","Holiday",IF(WEEKDAY(A35)&gt;=6,"Weekend",IF(IFERROR(INDEX(Holidays!$D$5:$D$60,MATCH(A35,Holidays!$A$5:$A$60,0)),"")="Eve","Eve","Workday")))</f>
        <v>Workday</v>
      </c>
      <c r="D35" s="18" t="str">
        <f aca="false">IFERROR(INDEX(Holidays!$C$5:$C$60,MATCH(A35,Holidays!$A$5:$A$60,0)),"")</f>
        <v/>
      </c>
      <c r="E35" s="31"/>
      <c r="F35" s="32"/>
      <c r="G35" s="32"/>
      <c r="H35" s="32"/>
      <c r="I35" s="32"/>
      <c r="J35" s="31"/>
      <c r="K35" s="33" t="str">
        <f aca="false">IF(E35&lt;&gt;"",E35,IF(U35,"Present",IF(C35="Holiday","Holiday","Weekend")))</f>
        <v>Present</v>
      </c>
      <c r="L35" s="34" t="n">
        <f aca="false">IF(OR(K35="Present",K35="Manual Work",K35="Partial Vacation",K35="Partial Sick Leave"),IF(ISNUMBER(F35),F35,IF(AND(K35="Present",U35),Settings!$B$6,"")),"")</f>
        <v>0.333333333333333</v>
      </c>
      <c r="M35" s="34" t="n">
        <f aca="false">IF(OR(K35="Present",K35="Manual Work",K35="Partial Vacation",K35="Partial Sick Leave"),IF(ISNUMBER(G35),G35,IF(AND(K35="Present",U35),V35,"")),"")</f>
        <v>0.6875</v>
      </c>
      <c r="N35" s="14" t="n">
        <f aca="false">IF(AND(ISNUMBER(L35),ISNUMBER(M35)),MAX(0,(M35-L35)*24),0)</f>
        <v>8.5</v>
      </c>
      <c r="O35" s="14" t="n">
        <f aca="false">IF(NOT(U35),0,IF(K35="Vacation",IF(C35="Eve",Settings!$B$9*Settings!$B$11,W35),IF(K35="Partial Vacation",IF(AND(ISNUMBER(H35),ISNUMBER(I35)),MAX(0,(I35-H35)*24),0),0)))</f>
        <v>0</v>
      </c>
      <c r="P35" s="14" t="n">
        <f aca="false">IF(NOT(U35),0,IF(K35="Sick Leave",W35,IF(K35="Partial Sick Leave",IF(AND(ISNUMBER(H35),ISNUMBER(I35)),MAX(0,(I35-H35)*24),0),0)))</f>
        <v>0</v>
      </c>
      <c r="Q35" s="14" t="n">
        <f aca="false">IF(NOT(U35),0,IF(K35="Vacation",IF(C35="Eve",Settings!$B$11,1),IF(K35="Partial Vacation",O35/Settings!$B$9,0)))</f>
        <v>0</v>
      </c>
      <c r="R35" s="14" t="n">
        <f aca="false">IF(NOT(U35),0,IF(K35="Sick Leave",1,IF(K35="Partial Sick Leave",P35/Settings!$B$9,0)))</f>
        <v>0</v>
      </c>
      <c r="S35" s="35" t="str">
        <f aca="false">IF(AND(OR(E35="Vacation",E35="Sick Leave",E35="Partial Vacation",E35="Partial Sick Leave"),NOT(U35)),"Leave not allowed on this day",IF(AND(E35="Manual Work",OR(NOT(ISNUMBER(F35)),NOT(ISNUMBER(G35)))),"Enter start and end",IF(AND(OR(E35="Partial Vacation",E35="Partial Sick Leave"),OR(NOT(ISNUMBER(H35)),NOT(ISNUMBER(I35)))),"Enter leave from and to",IF(AND(ISNUMBER(F35),ISNUMBER(G35),G35&lt;=F35),"End is before start",IF(AND(ISNUMBER(H35),ISNUMBER(I35),I35&lt;=H35),"Leave end is before start",IF(AND(ISNUMBER(F35),ISNUMBER(G35),ISNUMBER(H35),ISNUMBER(I35),F35&lt;I35,H35&lt;G35),"Work and leave hours overlap",IF(AND(E35&lt;&gt;"",WEEKDAY(A35)=7),"Saturday - administrator only","")))))))</f>
        <v/>
      </c>
      <c r="T35" s="36" t="n">
        <f aca="false">MONTH(A35)</f>
        <v>1</v>
      </c>
      <c r="U35" s="37" t="b">
        <f aca="false">OR(C35="Workday",C35="Eve")</f>
        <v>1</v>
      </c>
      <c r="V35" s="34" t="n">
        <f aca="false">IF(C35="Eve",Settings!$B$8,Settings!$B$7)</f>
        <v>0.6875</v>
      </c>
      <c r="W35" s="14" t="n">
        <f aca="false">IF(U35,(V35-Settings!$B$6)*24,0)</f>
        <v>8.5</v>
      </c>
    </row>
    <row r="36" customFormat="false" ht="15" hidden="false" customHeight="false" outlineLevel="0" collapsed="false">
      <c r="A36" s="29" t="n">
        <v>46052</v>
      </c>
      <c r="B36" s="30" t="str">
        <f aca="false">CHOOSE(WEEKDAY(A36),"Sun","Mon","Tue","Wed","Thu","Fri","Sat")</f>
        <v>Fri</v>
      </c>
      <c r="C36" s="30" t="str">
        <f aca="false">IF(IFERROR(INDEX(Holidays!$D$5:$D$60,MATCH(A36,Holidays!$A$5:$A$60,0)),"")="Holiday","Holiday",IF(WEEKDAY(A36)&gt;=6,"Weekend",IF(IFERROR(INDEX(Holidays!$D$5:$D$60,MATCH(A36,Holidays!$A$5:$A$60,0)),"")="Eve","Eve","Workday")))</f>
        <v>Weekend</v>
      </c>
      <c r="D36" s="18" t="str">
        <f aca="false">IFERROR(INDEX(Holidays!$C$5:$C$60,MATCH(A36,Holidays!$A$5:$A$60,0)),"")</f>
        <v/>
      </c>
      <c r="E36" s="31"/>
      <c r="F36" s="32"/>
      <c r="G36" s="32"/>
      <c r="H36" s="32"/>
      <c r="I36" s="32"/>
      <c r="J36" s="31"/>
      <c r="K36" s="33" t="str">
        <f aca="false">IF(E36&lt;&gt;"",E36,IF(U36,"Present",IF(C36="Holiday","Holiday","Weekend")))</f>
        <v>Weekend</v>
      </c>
      <c r="L36" s="34" t="str">
        <f aca="false">IF(OR(K36="Present",K36="Manual Work",K36="Partial Vacation",K36="Partial Sick Leave"),IF(ISNUMBER(F36),F36,IF(AND(K36="Present",U36),Settings!$B$6,"")),"")</f>
        <v/>
      </c>
      <c r="M36" s="34" t="str">
        <f aca="false">IF(OR(K36="Present",K36="Manual Work",K36="Partial Vacation",K36="Partial Sick Leave"),IF(ISNUMBER(G36),G36,IF(AND(K36="Present",U36),V36,"")),"")</f>
        <v/>
      </c>
      <c r="N36" s="14" t="n">
        <f aca="false">IF(AND(ISNUMBER(L36),ISNUMBER(M36)),MAX(0,(M36-L36)*24),0)</f>
        <v>0</v>
      </c>
      <c r="O36" s="14" t="n">
        <f aca="false">IF(NOT(U36),0,IF(K36="Vacation",IF(C36="Eve",Settings!$B$9*Settings!$B$11,W36),IF(K36="Partial Vacation",IF(AND(ISNUMBER(H36),ISNUMBER(I36)),MAX(0,(I36-H36)*24),0),0)))</f>
        <v>0</v>
      </c>
      <c r="P36" s="14" t="n">
        <f aca="false">IF(NOT(U36),0,IF(K36="Sick Leave",W36,IF(K36="Partial Sick Leave",IF(AND(ISNUMBER(H36),ISNUMBER(I36)),MAX(0,(I36-H36)*24),0),0)))</f>
        <v>0</v>
      </c>
      <c r="Q36" s="14" t="n">
        <f aca="false">IF(NOT(U36),0,IF(K36="Vacation",IF(C36="Eve",Settings!$B$11,1),IF(K36="Partial Vacation",O36/Settings!$B$9,0)))</f>
        <v>0</v>
      </c>
      <c r="R36" s="14" t="n">
        <f aca="false">IF(NOT(U36),0,IF(K36="Sick Leave",1,IF(K36="Partial Sick Leave",P36/Settings!$B$9,0)))</f>
        <v>0</v>
      </c>
      <c r="S36" s="35" t="str">
        <f aca="false">IF(AND(OR(E36="Vacation",E36="Sick Leave",E36="Partial Vacation",E36="Partial Sick Leave"),NOT(U36)),"Leave not allowed on this day",IF(AND(E36="Manual Work",OR(NOT(ISNUMBER(F36)),NOT(ISNUMBER(G36)))),"Enter start and end",IF(AND(OR(E36="Partial Vacation",E36="Partial Sick Leave"),OR(NOT(ISNUMBER(H36)),NOT(ISNUMBER(I36)))),"Enter leave from and to",IF(AND(ISNUMBER(F36),ISNUMBER(G36),G36&lt;=F36),"End is before start",IF(AND(ISNUMBER(H36),ISNUMBER(I36),I36&lt;=H36),"Leave end is before start",IF(AND(ISNUMBER(F36),ISNUMBER(G36),ISNUMBER(H36),ISNUMBER(I36),F36&lt;I36,H36&lt;G36),"Work and leave hours overlap",IF(AND(E36&lt;&gt;"",WEEKDAY(A36)=7),"Saturday - administrator only","")))))))</f>
        <v/>
      </c>
      <c r="T36" s="36" t="n">
        <f aca="false">MONTH(A36)</f>
        <v>1</v>
      </c>
      <c r="U36" s="37" t="b">
        <f aca="false">OR(C36="Workday",C36="Eve")</f>
        <v>0</v>
      </c>
      <c r="V36" s="34" t="n">
        <f aca="false">IF(C36="Eve",Settings!$B$8,Settings!$B$7)</f>
        <v>0.6875</v>
      </c>
      <c r="W36" s="14" t="n">
        <f aca="false">IF(U36,(V36-Settings!$B$6)*24,0)</f>
        <v>0</v>
      </c>
    </row>
    <row r="37" customFormat="false" ht="15" hidden="false" customHeight="false" outlineLevel="0" collapsed="false">
      <c r="A37" s="29" t="n">
        <v>46053</v>
      </c>
      <c r="B37" s="30" t="str">
        <f aca="false">CHOOSE(WEEKDAY(A37),"Sun","Mon","Tue","Wed","Thu","Fri","Sat")</f>
        <v>Sat</v>
      </c>
      <c r="C37" s="30" t="str">
        <f aca="false">IF(IFERROR(INDEX(Holidays!$D$5:$D$60,MATCH(A37,Holidays!$A$5:$A$60,0)),"")="Holiday","Holiday",IF(WEEKDAY(A37)&gt;=6,"Weekend",IF(IFERROR(INDEX(Holidays!$D$5:$D$60,MATCH(A37,Holidays!$A$5:$A$60,0)),"")="Eve","Eve","Workday")))</f>
        <v>Weekend</v>
      </c>
      <c r="D37" s="18" t="str">
        <f aca="false">IFERROR(INDEX(Holidays!$C$5:$C$60,MATCH(A37,Holidays!$A$5:$A$60,0)),"")</f>
        <v/>
      </c>
      <c r="E37" s="31"/>
      <c r="F37" s="32"/>
      <c r="G37" s="32"/>
      <c r="H37" s="32"/>
      <c r="I37" s="32"/>
      <c r="J37" s="31"/>
      <c r="K37" s="33" t="str">
        <f aca="false">IF(E37&lt;&gt;"",E37,IF(U37,"Present",IF(C37="Holiday","Holiday","Weekend")))</f>
        <v>Weekend</v>
      </c>
      <c r="L37" s="34" t="str">
        <f aca="false">IF(OR(K37="Present",K37="Manual Work",K37="Partial Vacation",K37="Partial Sick Leave"),IF(ISNUMBER(F37),F37,IF(AND(K37="Present",U37),Settings!$B$6,"")),"")</f>
        <v/>
      </c>
      <c r="M37" s="34" t="str">
        <f aca="false">IF(OR(K37="Present",K37="Manual Work",K37="Partial Vacation",K37="Partial Sick Leave"),IF(ISNUMBER(G37),G37,IF(AND(K37="Present",U37),V37,"")),"")</f>
        <v/>
      </c>
      <c r="N37" s="14" t="n">
        <f aca="false">IF(AND(ISNUMBER(L37),ISNUMBER(M37)),MAX(0,(M37-L37)*24),0)</f>
        <v>0</v>
      </c>
      <c r="O37" s="14" t="n">
        <f aca="false">IF(NOT(U37),0,IF(K37="Vacation",IF(C37="Eve",Settings!$B$9*Settings!$B$11,W37),IF(K37="Partial Vacation",IF(AND(ISNUMBER(H37),ISNUMBER(I37)),MAX(0,(I37-H37)*24),0),0)))</f>
        <v>0</v>
      </c>
      <c r="P37" s="14" t="n">
        <f aca="false">IF(NOT(U37),0,IF(K37="Sick Leave",W37,IF(K37="Partial Sick Leave",IF(AND(ISNUMBER(H37),ISNUMBER(I37)),MAX(0,(I37-H37)*24),0),0)))</f>
        <v>0</v>
      </c>
      <c r="Q37" s="14" t="n">
        <f aca="false">IF(NOT(U37),0,IF(K37="Vacation",IF(C37="Eve",Settings!$B$11,1),IF(K37="Partial Vacation",O37/Settings!$B$9,0)))</f>
        <v>0</v>
      </c>
      <c r="R37" s="14" t="n">
        <f aca="false">IF(NOT(U37),0,IF(K37="Sick Leave",1,IF(K37="Partial Sick Leave",P37/Settings!$B$9,0)))</f>
        <v>0</v>
      </c>
      <c r="S37" s="35" t="str">
        <f aca="false">IF(AND(OR(E37="Vacation",E37="Sick Leave",E37="Partial Vacation",E37="Partial Sick Leave"),NOT(U37)),"Leave not allowed on this day",IF(AND(E37="Manual Work",OR(NOT(ISNUMBER(F37)),NOT(ISNUMBER(G37)))),"Enter start and end",IF(AND(OR(E37="Partial Vacation",E37="Partial Sick Leave"),OR(NOT(ISNUMBER(H37)),NOT(ISNUMBER(I37)))),"Enter leave from and to",IF(AND(ISNUMBER(F37),ISNUMBER(G37),G37&lt;=F37),"End is before start",IF(AND(ISNUMBER(H37),ISNUMBER(I37),I37&lt;=H37),"Leave end is before start",IF(AND(ISNUMBER(F37),ISNUMBER(G37),ISNUMBER(H37),ISNUMBER(I37),F37&lt;I37,H37&lt;G37),"Work and leave hours overlap",IF(AND(E37&lt;&gt;"",WEEKDAY(A37)=7),"Saturday - administrator only","")))))))</f>
        <v/>
      </c>
      <c r="T37" s="36" t="n">
        <f aca="false">MONTH(A37)</f>
        <v>1</v>
      </c>
      <c r="U37" s="37" t="b">
        <f aca="false">OR(C37="Workday",C37="Eve")</f>
        <v>0</v>
      </c>
      <c r="V37" s="34" t="n">
        <f aca="false">IF(C37="Eve",Settings!$B$8,Settings!$B$7)</f>
        <v>0.6875</v>
      </c>
      <c r="W37" s="14" t="n">
        <f aca="false">IF(U37,(V37-Settings!$B$6)*24,0)</f>
        <v>0</v>
      </c>
    </row>
    <row r="38" customFormat="false" ht="15" hidden="false" customHeight="false" outlineLevel="0" collapsed="false">
      <c r="A38" s="29" t="n">
        <v>46054</v>
      </c>
      <c r="B38" s="30" t="str">
        <f aca="false">CHOOSE(WEEKDAY(A38),"Sun","Mon","Tue","Wed","Thu","Fri","Sat")</f>
        <v>Sun</v>
      </c>
      <c r="C38" s="30" t="str">
        <f aca="false">IF(IFERROR(INDEX(Holidays!$D$5:$D$60,MATCH(A38,Holidays!$A$5:$A$60,0)),"")="Holiday","Holiday",IF(WEEKDAY(A38)&gt;=6,"Weekend",IF(IFERROR(INDEX(Holidays!$D$5:$D$60,MATCH(A38,Holidays!$A$5:$A$60,0)),"")="Eve","Eve","Workday")))</f>
        <v>Workday</v>
      </c>
      <c r="D38" s="18" t="str">
        <f aca="false">IFERROR(INDEX(Holidays!$C$5:$C$60,MATCH(A38,Holidays!$A$5:$A$60,0)),"")</f>
        <v/>
      </c>
      <c r="E38" s="31"/>
      <c r="F38" s="32"/>
      <c r="G38" s="32"/>
      <c r="H38" s="32"/>
      <c r="I38" s="32"/>
      <c r="J38" s="31"/>
      <c r="K38" s="33" t="str">
        <f aca="false">IF(E38&lt;&gt;"",E38,IF(U38,"Present",IF(C38="Holiday","Holiday","Weekend")))</f>
        <v>Present</v>
      </c>
      <c r="L38" s="34" t="n">
        <f aca="false">IF(OR(K38="Present",K38="Manual Work",K38="Partial Vacation",K38="Partial Sick Leave"),IF(ISNUMBER(F38),F38,IF(AND(K38="Present",U38),Settings!$B$6,"")),"")</f>
        <v>0.333333333333333</v>
      </c>
      <c r="M38" s="34" t="n">
        <f aca="false">IF(OR(K38="Present",K38="Manual Work",K38="Partial Vacation",K38="Partial Sick Leave"),IF(ISNUMBER(G38),G38,IF(AND(K38="Present",U38),V38,"")),"")</f>
        <v>0.6875</v>
      </c>
      <c r="N38" s="14" t="n">
        <f aca="false">IF(AND(ISNUMBER(L38),ISNUMBER(M38)),MAX(0,(M38-L38)*24),0)</f>
        <v>8.5</v>
      </c>
      <c r="O38" s="14" t="n">
        <f aca="false">IF(NOT(U38),0,IF(K38="Vacation",IF(C38="Eve",Settings!$B$9*Settings!$B$11,W38),IF(K38="Partial Vacation",IF(AND(ISNUMBER(H38),ISNUMBER(I38)),MAX(0,(I38-H38)*24),0),0)))</f>
        <v>0</v>
      </c>
      <c r="P38" s="14" t="n">
        <f aca="false">IF(NOT(U38),0,IF(K38="Sick Leave",W38,IF(K38="Partial Sick Leave",IF(AND(ISNUMBER(H38),ISNUMBER(I38)),MAX(0,(I38-H38)*24),0),0)))</f>
        <v>0</v>
      </c>
      <c r="Q38" s="14" t="n">
        <f aca="false">IF(NOT(U38),0,IF(K38="Vacation",IF(C38="Eve",Settings!$B$11,1),IF(K38="Partial Vacation",O38/Settings!$B$9,0)))</f>
        <v>0</v>
      </c>
      <c r="R38" s="14" t="n">
        <f aca="false">IF(NOT(U38),0,IF(K38="Sick Leave",1,IF(K38="Partial Sick Leave",P38/Settings!$B$9,0)))</f>
        <v>0</v>
      </c>
      <c r="S38" s="35" t="str">
        <f aca="false">IF(AND(OR(E38="Vacation",E38="Sick Leave",E38="Partial Vacation",E38="Partial Sick Leave"),NOT(U38)),"Leave not allowed on this day",IF(AND(E38="Manual Work",OR(NOT(ISNUMBER(F38)),NOT(ISNUMBER(G38)))),"Enter start and end",IF(AND(OR(E38="Partial Vacation",E38="Partial Sick Leave"),OR(NOT(ISNUMBER(H38)),NOT(ISNUMBER(I38)))),"Enter leave from and to",IF(AND(ISNUMBER(F38),ISNUMBER(G38),G38&lt;=F38),"End is before start",IF(AND(ISNUMBER(H38),ISNUMBER(I38),I38&lt;=H38),"Leave end is before start",IF(AND(ISNUMBER(F38),ISNUMBER(G38),ISNUMBER(H38),ISNUMBER(I38),F38&lt;I38,H38&lt;G38),"Work and leave hours overlap",IF(AND(E38&lt;&gt;"",WEEKDAY(A38)=7),"Saturday - administrator only","")))))))</f>
        <v/>
      </c>
      <c r="T38" s="36" t="n">
        <f aca="false">MONTH(A38)</f>
        <v>2</v>
      </c>
      <c r="U38" s="37" t="b">
        <f aca="false">OR(C38="Workday",C38="Eve")</f>
        <v>1</v>
      </c>
      <c r="V38" s="34" t="n">
        <f aca="false">IF(C38="Eve",Settings!$B$8,Settings!$B$7)</f>
        <v>0.6875</v>
      </c>
      <c r="W38" s="14" t="n">
        <f aca="false">IF(U38,(V38-Settings!$B$6)*24,0)</f>
        <v>8.5</v>
      </c>
    </row>
    <row r="39" customFormat="false" ht="15" hidden="false" customHeight="false" outlineLevel="0" collapsed="false">
      <c r="A39" s="29" t="n">
        <v>46055</v>
      </c>
      <c r="B39" s="30" t="str">
        <f aca="false">CHOOSE(WEEKDAY(A39),"Sun","Mon","Tue","Wed","Thu","Fri","Sat")</f>
        <v>Mon</v>
      </c>
      <c r="C39" s="30" t="str">
        <f aca="false">IF(IFERROR(INDEX(Holidays!$D$5:$D$60,MATCH(A39,Holidays!$A$5:$A$60,0)),"")="Holiday","Holiday",IF(WEEKDAY(A39)&gt;=6,"Weekend",IF(IFERROR(INDEX(Holidays!$D$5:$D$60,MATCH(A39,Holidays!$A$5:$A$60,0)),"")="Eve","Eve","Workday")))</f>
        <v>Workday</v>
      </c>
      <c r="D39" s="18" t="str">
        <f aca="false">IFERROR(INDEX(Holidays!$C$5:$C$60,MATCH(A39,Holidays!$A$5:$A$60,0)),"")</f>
        <v/>
      </c>
      <c r="E39" s="31"/>
      <c r="F39" s="32"/>
      <c r="G39" s="32"/>
      <c r="H39" s="32"/>
      <c r="I39" s="32"/>
      <c r="J39" s="31"/>
      <c r="K39" s="33" t="str">
        <f aca="false">IF(E39&lt;&gt;"",E39,IF(U39,"Present",IF(C39="Holiday","Holiday","Weekend")))</f>
        <v>Present</v>
      </c>
      <c r="L39" s="34" t="n">
        <f aca="false">IF(OR(K39="Present",K39="Manual Work",K39="Partial Vacation",K39="Partial Sick Leave"),IF(ISNUMBER(F39),F39,IF(AND(K39="Present",U39),Settings!$B$6,"")),"")</f>
        <v>0.333333333333333</v>
      </c>
      <c r="M39" s="34" t="n">
        <f aca="false">IF(OR(K39="Present",K39="Manual Work",K39="Partial Vacation",K39="Partial Sick Leave"),IF(ISNUMBER(G39),G39,IF(AND(K39="Present",U39),V39,"")),"")</f>
        <v>0.6875</v>
      </c>
      <c r="N39" s="14" t="n">
        <f aca="false">IF(AND(ISNUMBER(L39),ISNUMBER(M39)),MAX(0,(M39-L39)*24),0)</f>
        <v>8.5</v>
      </c>
      <c r="O39" s="14" t="n">
        <f aca="false">IF(NOT(U39),0,IF(K39="Vacation",IF(C39="Eve",Settings!$B$9*Settings!$B$11,W39),IF(K39="Partial Vacation",IF(AND(ISNUMBER(H39),ISNUMBER(I39)),MAX(0,(I39-H39)*24),0),0)))</f>
        <v>0</v>
      </c>
      <c r="P39" s="14" t="n">
        <f aca="false">IF(NOT(U39),0,IF(K39="Sick Leave",W39,IF(K39="Partial Sick Leave",IF(AND(ISNUMBER(H39),ISNUMBER(I39)),MAX(0,(I39-H39)*24),0),0)))</f>
        <v>0</v>
      </c>
      <c r="Q39" s="14" t="n">
        <f aca="false">IF(NOT(U39),0,IF(K39="Vacation",IF(C39="Eve",Settings!$B$11,1),IF(K39="Partial Vacation",O39/Settings!$B$9,0)))</f>
        <v>0</v>
      </c>
      <c r="R39" s="14" t="n">
        <f aca="false">IF(NOT(U39),0,IF(K39="Sick Leave",1,IF(K39="Partial Sick Leave",P39/Settings!$B$9,0)))</f>
        <v>0</v>
      </c>
      <c r="S39" s="35" t="str">
        <f aca="false">IF(AND(OR(E39="Vacation",E39="Sick Leave",E39="Partial Vacation",E39="Partial Sick Leave"),NOT(U39)),"Leave not allowed on this day",IF(AND(E39="Manual Work",OR(NOT(ISNUMBER(F39)),NOT(ISNUMBER(G39)))),"Enter start and end",IF(AND(OR(E39="Partial Vacation",E39="Partial Sick Leave"),OR(NOT(ISNUMBER(H39)),NOT(ISNUMBER(I39)))),"Enter leave from and to",IF(AND(ISNUMBER(F39),ISNUMBER(G39),G39&lt;=F39),"End is before start",IF(AND(ISNUMBER(H39),ISNUMBER(I39),I39&lt;=H39),"Leave end is before start",IF(AND(ISNUMBER(F39),ISNUMBER(G39),ISNUMBER(H39),ISNUMBER(I39),F39&lt;I39,H39&lt;G39),"Work and leave hours overlap",IF(AND(E39&lt;&gt;"",WEEKDAY(A39)=7),"Saturday - administrator only","")))))))</f>
        <v/>
      </c>
      <c r="T39" s="36" t="n">
        <f aca="false">MONTH(A39)</f>
        <v>2</v>
      </c>
      <c r="U39" s="37" t="b">
        <f aca="false">OR(C39="Workday",C39="Eve")</f>
        <v>1</v>
      </c>
      <c r="V39" s="34" t="n">
        <f aca="false">IF(C39="Eve",Settings!$B$8,Settings!$B$7)</f>
        <v>0.6875</v>
      </c>
      <c r="W39" s="14" t="n">
        <f aca="false">IF(U39,(V39-Settings!$B$6)*24,0)</f>
        <v>8.5</v>
      </c>
    </row>
    <row r="40" customFormat="false" ht="15" hidden="false" customHeight="false" outlineLevel="0" collapsed="false">
      <c r="A40" s="29" t="n">
        <v>46056</v>
      </c>
      <c r="B40" s="30" t="str">
        <f aca="false">CHOOSE(WEEKDAY(A40),"Sun","Mon","Tue","Wed","Thu","Fri","Sat")</f>
        <v>Tue</v>
      </c>
      <c r="C40" s="30" t="str">
        <f aca="false">IF(IFERROR(INDEX(Holidays!$D$5:$D$60,MATCH(A40,Holidays!$A$5:$A$60,0)),"")="Holiday","Holiday",IF(WEEKDAY(A40)&gt;=6,"Weekend",IF(IFERROR(INDEX(Holidays!$D$5:$D$60,MATCH(A40,Holidays!$A$5:$A$60,0)),"")="Eve","Eve","Workday")))</f>
        <v>Workday</v>
      </c>
      <c r="D40" s="18" t="str">
        <f aca="false">IFERROR(INDEX(Holidays!$C$5:$C$60,MATCH(A40,Holidays!$A$5:$A$60,0)),"")</f>
        <v/>
      </c>
      <c r="E40" s="31"/>
      <c r="F40" s="32"/>
      <c r="G40" s="32"/>
      <c r="H40" s="32"/>
      <c r="I40" s="32"/>
      <c r="J40" s="31"/>
      <c r="K40" s="33" t="str">
        <f aca="false">IF(E40&lt;&gt;"",E40,IF(U40,"Present",IF(C40="Holiday","Holiday","Weekend")))</f>
        <v>Present</v>
      </c>
      <c r="L40" s="34" t="n">
        <f aca="false">IF(OR(K40="Present",K40="Manual Work",K40="Partial Vacation",K40="Partial Sick Leave"),IF(ISNUMBER(F40),F40,IF(AND(K40="Present",U40),Settings!$B$6,"")),"")</f>
        <v>0.333333333333333</v>
      </c>
      <c r="M40" s="34" t="n">
        <f aca="false">IF(OR(K40="Present",K40="Manual Work",K40="Partial Vacation",K40="Partial Sick Leave"),IF(ISNUMBER(G40),G40,IF(AND(K40="Present",U40),V40,"")),"")</f>
        <v>0.6875</v>
      </c>
      <c r="N40" s="14" t="n">
        <f aca="false">IF(AND(ISNUMBER(L40),ISNUMBER(M40)),MAX(0,(M40-L40)*24),0)</f>
        <v>8.5</v>
      </c>
      <c r="O40" s="14" t="n">
        <f aca="false">IF(NOT(U40),0,IF(K40="Vacation",IF(C40="Eve",Settings!$B$9*Settings!$B$11,W40),IF(K40="Partial Vacation",IF(AND(ISNUMBER(H40),ISNUMBER(I40)),MAX(0,(I40-H40)*24),0),0)))</f>
        <v>0</v>
      </c>
      <c r="P40" s="14" t="n">
        <f aca="false">IF(NOT(U40),0,IF(K40="Sick Leave",W40,IF(K40="Partial Sick Leave",IF(AND(ISNUMBER(H40),ISNUMBER(I40)),MAX(0,(I40-H40)*24),0),0)))</f>
        <v>0</v>
      </c>
      <c r="Q40" s="14" t="n">
        <f aca="false">IF(NOT(U40),0,IF(K40="Vacation",IF(C40="Eve",Settings!$B$11,1),IF(K40="Partial Vacation",O40/Settings!$B$9,0)))</f>
        <v>0</v>
      </c>
      <c r="R40" s="14" t="n">
        <f aca="false">IF(NOT(U40),0,IF(K40="Sick Leave",1,IF(K40="Partial Sick Leave",P40/Settings!$B$9,0)))</f>
        <v>0</v>
      </c>
      <c r="S40" s="35" t="str">
        <f aca="false">IF(AND(OR(E40="Vacation",E40="Sick Leave",E40="Partial Vacation",E40="Partial Sick Leave"),NOT(U40)),"Leave not allowed on this day",IF(AND(E40="Manual Work",OR(NOT(ISNUMBER(F40)),NOT(ISNUMBER(G40)))),"Enter start and end",IF(AND(OR(E40="Partial Vacation",E40="Partial Sick Leave"),OR(NOT(ISNUMBER(H40)),NOT(ISNUMBER(I40)))),"Enter leave from and to",IF(AND(ISNUMBER(F40),ISNUMBER(G40),G40&lt;=F40),"End is before start",IF(AND(ISNUMBER(H40),ISNUMBER(I40),I40&lt;=H40),"Leave end is before start",IF(AND(ISNUMBER(F40),ISNUMBER(G40),ISNUMBER(H40),ISNUMBER(I40),F40&lt;I40,H40&lt;G40),"Work and leave hours overlap",IF(AND(E40&lt;&gt;"",WEEKDAY(A40)=7),"Saturday - administrator only","")))))))</f>
        <v/>
      </c>
      <c r="T40" s="36" t="n">
        <f aca="false">MONTH(A40)</f>
        <v>2</v>
      </c>
      <c r="U40" s="37" t="b">
        <f aca="false">OR(C40="Workday",C40="Eve")</f>
        <v>1</v>
      </c>
      <c r="V40" s="34" t="n">
        <f aca="false">IF(C40="Eve",Settings!$B$8,Settings!$B$7)</f>
        <v>0.6875</v>
      </c>
      <c r="W40" s="14" t="n">
        <f aca="false">IF(U40,(V40-Settings!$B$6)*24,0)</f>
        <v>8.5</v>
      </c>
    </row>
    <row r="41" customFormat="false" ht="15" hidden="false" customHeight="false" outlineLevel="0" collapsed="false">
      <c r="A41" s="29" t="n">
        <v>46057</v>
      </c>
      <c r="B41" s="30" t="str">
        <f aca="false">CHOOSE(WEEKDAY(A41),"Sun","Mon","Tue","Wed","Thu","Fri","Sat")</f>
        <v>Wed</v>
      </c>
      <c r="C41" s="30" t="str">
        <f aca="false">IF(IFERROR(INDEX(Holidays!$D$5:$D$60,MATCH(A41,Holidays!$A$5:$A$60,0)),"")="Holiday","Holiday",IF(WEEKDAY(A41)&gt;=6,"Weekend",IF(IFERROR(INDEX(Holidays!$D$5:$D$60,MATCH(A41,Holidays!$A$5:$A$60,0)),"")="Eve","Eve","Workday")))</f>
        <v>Workday</v>
      </c>
      <c r="D41" s="18" t="str">
        <f aca="false">IFERROR(INDEX(Holidays!$C$5:$C$60,MATCH(A41,Holidays!$A$5:$A$60,0)),"")</f>
        <v/>
      </c>
      <c r="E41" s="31"/>
      <c r="F41" s="32"/>
      <c r="G41" s="32"/>
      <c r="H41" s="32"/>
      <c r="I41" s="32"/>
      <c r="J41" s="31"/>
      <c r="K41" s="33" t="str">
        <f aca="false">IF(E41&lt;&gt;"",E41,IF(U41,"Present",IF(C41="Holiday","Holiday","Weekend")))</f>
        <v>Present</v>
      </c>
      <c r="L41" s="34" t="n">
        <f aca="false">IF(OR(K41="Present",K41="Manual Work",K41="Partial Vacation",K41="Partial Sick Leave"),IF(ISNUMBER(F41),F41,IF(AND(K41="Present",U41),Settings!$B$6,"")),"")</f>
        <v>0.333333333333333</v>
      </c>
      <c r="M41" s="34" t="n">
        <f aca="false">IF(OR(K41="Present",K41="Manual Work",K41="Partial Vacation",K41="Partial Sick Leave"),IF(ISNUMBER(G41),G41,IF(AND(K41="Present",U41),V41,"")),"")</f>
        <v>0.6875</v>
      </c>
      <c r="N41" s="14" t="n">
        <f aca="false">IF(AND(ISNUMBER(L41),ISNUMBER(M41)),MAX(0,(M41-L41)*24),0)</f>
        <v>8.5</v>
      </c>
      <c r="O41" s="14" t="n">
        <f aca="false">IF(NOT(U41),0,IF(K41="Vacation",IF(C41="Eve",Settings!$B$9*Settings!$B$11,W41),IF(K41="Partial Vacation",IF(AND(ISNUMBER(H41),ISNUMBER(I41)),MAX(0,(I41-H41)*24),0),0)))</f>
        <v>0</v>
      </c>
      <c r="P41" s="14" t="n">
        <f aca="false">IF(NOT(U41),0,IF(K41="Sick Leave",W41,IF(K41="Partial Sick Leave",IF(AND(ISNUMBER(H41),ISNUMBER(I41)),MAX(0,(I41-H41)*24),0),0)))</f>
        <v>0</v>
      </c>
      <c r="Q41" s="14" t="n">
        <f aca="false">IF(NOT(U41),0,IF(K41="Vacation",IF(C41="Eve",Settings!$B$11,1),IF(K41="Partial Vacation",O41/Settings!$B$9,0)))</f>
        <v>0</v>
      </c>
      <c r="R41" s="14" t="n">
        <f aca="false">IF(NOT(U41),0,IF(K41="Sick Leave",1,IF(K41="Partial Sick Leave",P41/Settings!$B$9,0)))</f>
        <v>0</v>
      </c>
      <c r="S41" s="35" t="str">
        <f aca="false">IF(AND(OR(E41="Vacation",E41="Sick Leave",E41="Partial Vacation",E41="Partial Sick Leave"),NOT(U41)),"Leave not allowed on this day",IF(AND(E41="Manual Work",OR(NOT(ISNUMBER(F41)),NOT(ISNUMBER(G41)))),"Enter start and end",IF(AND(OR(E41="Partial Vacation",E41="Partial Sick Leave"),OR(NOT(ISNUMBER(H41)),NOT(ISNUMBER(I41)))),"Enter leave from and to",IF(AND(ISNUMBER(F41),ISNUMBER(G41),G41&lt;=F41),"End is before start",IF(AND(ISNUMBER(H41),ISNUMBER(I41),I41&lt;=H41),"Leave end is before start",IF(AND(ISNUMBER(F41),ISNUMBER(G41),ISNUMBER(H41),ISNUMBER(I41),F41&lt;I41,H41&lt;G41),"Work and leave hours overlap",IF(AND(E41&lt;&gt;"",WEEKDAY(A41)=7),"Saturday - administrator only","")))))))</f>
        <v/>
      </c>
      <c r="T41" s="36" t="n">
        <f aca="false">MONTH(A41)</f>
        <v>2</v>
      </c>
      <c r="U41" s="37" t="b">
        <f aca="false">OR(C41="Workday",C41="Eve")</f>
        <v>1</v>
      </c>
      <c r="V41" s="34" t="n">
        <f aca="false">IF(C41="Eve",Settings!$B$8,Settings!$B$7)</f>
        <v>0.6875</v>
      </c>
      <c r="W41" s="14" t="n">
        <f aca="false">IF(U41,(V41-Settings!$B$6)*24,0)</f>
        <v>8.5</v>
      </c>
    </row>
    <row r="42" customFormat="false" ht="15" hidden="false" customHeight="false" outlineLevel="0" collapsed="false">
      <c r="A42" s="29" t="n">
        <v>46058</v>
      </c>
      <c r="B42" s="30" t="str">
        <f aca="false">CHOOSE(WEEKDAY(A42),"Sun","Mon","Tue","Wed","Thu","Fri","Sat")</f>
        <v>Thu</v>
      </c>
      <c r="C42" s="30" t="str">
        <f aca="false">IF(IFERROR(INDEX(Holidays!$D$5:$D$60,MATCH(A42,Holidays!$A$5:$A$60,0)),"")="Holiday","Holiday",IF(WEEKDAY(A42)&gt;=6,"Weekend",IF(IFERROR(INDEX(Holidays!$D$5:$D$60,MATCH(A42,Holidays!$A$5:$A$60,0)),"")="Eve","Eve","Workday")))</f>
        <v>Workday</v>
      </c>
      <c r="D42" s="18" t="str">
        <f aca="false">IFERROR(INDEX(Holidays!$C$5:$C$60,MATCH(A42,Holidays!$A$5:$A$60,0)),"")</f>
        <v/>
      </c>
      <c r="E42" s="31"/>
      <c r="F42" s="32"/>
      <c r="G42" s="32"/>
      <c r="H42" s="32"/>
      <c r="I42" s="32"/>
      <c r="J42" s="31"/>
      <c r="K42" s="33" t="str">
        <f aca="false">IF(E42&lt;&gt;"",E42,IF(U42,"Present",IF(C42="Holiday","Holiday","Weekend")))</f>
        <v>Present</v>
      </c>
      <c r="L42" s="34" t="n">
        <f aca="false">IF(OR(K42="Present",K42="Manual Work",K42="Partial Vacation",K42="Partial Sick Leave"),IF(ISNUMBER(F42),F42,IF(AND(K42="Present",U42),Settings!$B$6,"")),"")</f>
        <v>0.333333333333333</v>
      </c>
      <c r="M42" s="34" t="n">
        <f aca="false">IF(OR(K42="Present",K42="Manual Work",K42="Partial Vacation",K42="Partial Sick Leave"),IF(ISNUMBER(G42),G42,IF(AND(K42="Present",U42),V42,"")),"")</f>
        <v>0.6875</v>
      </c>
      <c r="N42" s="14" t="n">
        <f aca="false">IF(AND(ISNUMBER(L42),ISNUMBER(M42)),MAX(0,(M42-L42)*24),0)</f>
        <v>8.5</v>
      </c>
      <c r="O42" s="14" t="n">
        <f aca="false">IF(NOT(U42),0,IF(K42="Vacation",IF(C42="Eve",Settings!$B$9*Settings!$B$11,W42),IF(K42="Partial Vacation",IF(AND(ISNUMBER(H42),ISNUMBER(I42)),MAX(0,(I42-H42)*24),0),0)))</f>
        <v>0</v>
      </c>
      <c r="P42" s="14" t="n">
        <f aca="false">IF(NOT(U42),0,IF(K42="Sick Leave",W42,IF(K42="Partial Sick Leave",IF(AND(ISNUMBER(H42),ISNUMBER(I42)),MAX(0,(I42-H42)*24),0),0)))</f>
        <v>0</v>
      </c>
      <c r="Q42" s="14" t="n">
        <f aca="false">IF(NOT(U42),0,IF(K42="Vacation",IF(C42="Eve",Settings!$B$11,1),IF(K42="Partial Vacation",O42/Settings!$B$9,0)))</f>
        <v>0</v>
      </c>
      <c r="R42" s="14" t="n">
        <f aca="false">IF(NOT(U42),0,IF(K42="Sick Leave",1,IF(K42="Partial Sick Leave",P42/Settings!$B$9,0)))</f>
        <v>0</v>
      </c>
      <c r="S42" s="35" t="str">
        <f aca="false">IF(AND(OR(E42="Vacation",E42="Sick Leave",E42="Partial Vacation",E42="Partial Sick Leave"),NOT(U42)),"Leave not allowed on this day",IF(AND(E42="Manual Work",OR(NOT(ISNUMBER(F42)),NOT(ISNUMBER(G42)))),"Enter start and end",IF(AND(OR(E42="Partial Vacation",E42="Partial Sick Leave"),OR(NOT(ISNUMBER(H42)),NOT(ISNUMBER(I42)))),"Enter leave from and to",IF(AND(ISNUMBER(F42),ISNUMBER(G42),G42&lt;=F42),"End is before start",IF(AND(ISNUMBER(H42),ISNUMBER(I42),I42&lt;=H42),"Leave end is before start",IF(AND(ISNUMBER(F42),ISNUMBER(G42),ISNUMBER(H42),ISNUMBER(I42),F42&lt;I42,H42&lt;G42),"Work and leave hours overlap",IF(AND(E42&lt;&gt;"",WEEKDAY(A42)=7),"Saturday - administrator only","")))))))</f>
        <v/>
      </c>
      <c r="T42" s="36" t="n">
        <f aca="false">MONTH(A42)</f>
        <v>2</v>
      </c>
      <c r="U42" s="37" t="b">
        <f aca="false">OR(C42="Workday",C42="Eve")</f>
        <v>1</v>
      </c>
      <c r="V42" s="34" t="n">
        <f aca="false">IF(C42="Eve",Settings!$B$8,Settings!$B$7)</f>
        <v>0.6875</v>
      </c>
      <c r="W42" s="14" t="n">
        <f aca="false">IF(U42,(V42-Settings!$B$6)*24,0)</f>
        <v>8.5</v>
      </c>
    </row>
    <row r="43" customFormat="false" ht="15" hidden="false" customHeight="false" outlineLevel="0" collapsed="false">
      <c r="A43" s="29" t="n">
        <v>46059</v>
      </c>
      <c r="B43" s="30" t="str">
        <f aca="false">CHOOSE(WEEKDAY(A43),"Sun","Mon","Tue","Wed","Thu","Fri","Sat")</f>
        <v>Fri</v>
      </c>
      <c r="C43" s="30" t="str">
        <f aca="false">IF(IFERROR(INDEX(Holidays!$D$5:$D$60,MATCH(A43,Holidays!$A$5:$A$60,0)),"")="Holiday","Holiday",IF(WEEKDAY(A43)&gt;=6,"Weekend",IF(IFERROR(INDEX(Holidays!$D$5:$D$60,MATCH(A43,Holidays!$A$5:$A$60,0)),"")="Eve","Eve","Workday")))</f>
        <v>Weekend</v>
      </c>
      <c r="D43" s="18" t="str">
        <f aca="false">IFERROR(INDEX(Holidays!$C$5:$C$60,MATCH(A43,Holidays!$A$5:$A$60,0)),"")</f>
        <v/>
      </c>
      <c r="E43" s="31"/>
      <c r="F43" s="32"/>
      <c r="G43" s="32"/>
      <c r="H43" s="32"/>
      <c r="I43" s="32"/>
      <c r="J43" s="31"/>
      <c r="K43" s="33" t="str">
        <f aca="false">IF(E43&lt;&gt;"",E43,IF(U43,"Present",IF(C43="Holiday","Holiday","Weekend")))</f>
        <v>Weekend</v>
      </c>
      <c r="L43" s="34" t="str">
        <f aca="false">IF(OR(K43="Present",K43="Manual Work",K43="Partial Vacation",K43="Partial Sick Leave"),IF(ISNUMBER(F43),F43,IF(AND(K43="Present",U43),Settings!$B$6,"")),"")</f>
        <v/>
      </c>
      <c r="M43" s="34" t="str">
        <f aca="false">IF(OR(K43="Present",K43="Manual Work",K43="Partial Vacation",K43="Partial Sick Leave"),IF(ISNUMBER(G43),G43,IF(AND(K43="Present",U43),V43,"")),"")</f>
        <v/>
      </c>
      <c r="N43" s="14" t="n">
        <f aca="false">IF(AND(ISNUMBER(L43),ISNUMBER(M43)),MAX(0,(M43-L43)*24),0)</f>
        <v>0</v>
      </c>
      <c r="O43" s="14" t="n">
        <f aca="false">IF(NOT(U43),0,IF(K43="Vacation",IF(C43="Eve",Settings!$B$9*Settings!$B$11,W43),IF(K43="Partial Vacation",IF(AND(ISNUMBER(H43),ISNUMBER(I43)),MAX(0,(I43-H43)*24),0),0)))</f>
        <v>0</v>
      </c>
      <c r="P43" s="14" t="n">
        <f aca="false">IF(NOT(U43),0,IF(K43="Sick Leave",W43,IF(K43="Partial Sick Leave",IF(AND(ISNUMBER(H43),ISNUMBER(I43)),MAX(0,(I43-H43)*24),0),0)))</f>
        <v>0</v>
      </c>
      <c r="Q43" s="14" t="n">
        <f aca="false">IF(NOT(U43),0,IF(K43="Vacation",IF(C43="Eve",Settings!$B$11,1),IF(K43="Partial Vacation",O43/Settings!$B$9,0)))</f>
        <v>0</v>
      </c>
      <c r="R43" s="14" t="n">
        <f aca="false">IF(NOT(U43),0,IF(K43="Sick Leave",1,IF(K43="Partial Sick Leave",P43/Settings!$B$9,0)))</f>
        <v>0</v>
      </c>
      <c r="S43" s="35" t="str">
        <f aca="false">IF(AND(OR(E43="Vacation",E43="Sick Leave",E43="Partial Vacation",E43="Partial Sick Leave"),NOT(U43)),"Leave not allowed on this day",IF(AND(E43="Manual Work",OR(NOT(ISNUMBER(F43)),NOT(ISNUMBER(G43)))),"Enter start and end",IF(AND(OR(E43="Partial Vacation",E43="Partial Sick Leave"),OR(NOT(ISNUMBER(H43)),NOT(ISNUMBER(I43)))),"Enter leave from and to",IF(AND(ISNUMBER(F43),ISNUMBER(G43),G43&lt;=F43),"End is before start",IF(AND(ISNUMBER(H43),ISNUMBER(I43),I43&lt;=H43),"Leave end is before start",IF(AND(ISNUMBER(F43),ISNUMBER(G43),ISNUMBER(H43),ISNUMBER(I43),F43&lt;I43,H43&lt;G43),"Work and leave hours overlap",IF(AND(E43&lt;&gt;"",WEEKDAY(A43)=7),"Saturday - administrator only","")))))))</f>
        <v/>
      </c>
      <c r="T43" s="36" t="n">
        <f aca="false">MONTH(A43)</f>
        <v>2</v>
      </c>
      <c r="U43" s="37" t="b">
        <f aca="false">OR(C43="Workday",C43="Eve")</f>
        <v>0</v>
      </c>
      <c r="V43" s="34" t="n">
        <f aca="false">IF(C43="Eve",Settings!$B$8,Settings!$B$7)</f>
        <v>0.6875</v>
      </c>
      <c r="W43" s="14" t="n">
        <f aca="false">IF(U43,(V43-Settings!$B$6)*24,0)</f>
        <v>0</v>
      </c>
    </row>
    <row r="44" customFormat="false" ht="15" hidden="false" customHeight="false" outlineLevel="0" collapsed="false">
      <c r="A44" s="29" t="n">
        <v>46060</v>
      </c>
      <c r="B44" s="30" t="str">
        <f aca="false">CHOOSE(WEEKDAY(A44),"Sun","Mon","Tue","Wed","Thu","Fri","Sat")</f>
        <v>Sat</v>
      </c>
      <c r="C44" s="30" t="str">
        <f aca="false">IF(IFERROR(INDEX(Holidays!$D$5:$D$60,MATCH(A44,Holidays!$A$5:$A$60,0)),"")="Holiday","Holiday",IF(WEEKDAY(A44)&gt;=6,"Weekend",IF(IFERROR(INDEX(Holidays!$D$5:$D$60,MATCH(A44,Holidays!$A$5:$A$60,0)),"")="Eve","Eve","Workday")))</f>
        <v>Weekend</v>
      </c>
      <c r="D44" s="18" t="str">
        <f aca="false">IFERROR(INDEX(Holidays!$C$5:$C$60,MATCH(A44,Holidays!$A$5:$A$60,0)),"")</f>
        <v/>
      </c>
      <c r="E44" s="31"/>
      <c r="F44" s="32"/>
      <c r="G44" s="32"/>
      <c r="H44" s="32"/>
      <c r="I44" s="32"/>
      <c r="J44" s="31"/>
      <c r="K44" s="33" t="str">
        <f aca="false">IF(E44&lt;&gt;"",E44,IF(U44,"Present",IF(C44="Holiday","Holiday","Weekend")))</f>
        <v>Weekend</v>
      </c>
      <c r="L44" s="34" t="str">
        <f aca="false">IF(OR(K44="Present",K44="Manual Work",K44="Partial Vacation",K44="Partial Sick Leave"),IF(ISNUMBER(F44),F44,IF(AND(K44="Present",U44),Settings!$B$6,"")),"")</f>
        <v/>
      </c>
      <c r="M44" s="34" t="str">
        <f aca="false">IF(OR(K44="Present",K44="Manual Work",K44="Partial Vacation",K44="Partial Sick Leave"),IF(ISNUMBER(G44),G44,IF(AND(K44="Present",U44),V44,"")),"")</f>
        <v/>
      </c>
      <c r="N44" s="14" t="n">
        <f aca="false">IF(AND(ISNUMBER(L44),ISNUMBER(M44)),MAX(0,(M44-L44)*24),0)</f>
        <v>0</v>
      </c>
      <c r="O44" s="14" t="n">
        <f aca="false">IF(NOT(U44),0,IF(K44="Vacation",IF(C44="Eve",Settings!$B$9*Settings!$B$11,W44),IF(K44="Partial Vacation",IF(AND(ISNUMBER(H44),ISNUMBER(I44)),MAX(0,(I44-H44)*24),0),0)))</f>
        <v>0</v>
      </c>
      <c r="P44" s="14" t="n">
        <f aca="false">IF(NOT(U44),0,IF(K44="Sick Leave",W44,IF(K44="Partial Sick Leave",IF(AND(ISNUMBER(H44),ISNUMBER(I44)),MAX(0,(I44-H44)*24),0),0)))</f>
        <v>0</v>
      </c>
      <c r="Q44" s="14" t="n">
        <f aca="false">IF(NOT(U44),0,IF(K44="Vacation",IF(C44="Eve",Settings!$B$11,1),IF(K44="Partial Vacation",O44/Settings!$B$9,0)))</f>
        <v>0</v>
      </c>
      <c r="R44" s="14" t="n">
        <f aca="false">IF(NOT(U44),0,IF(K44="Sick Leave",1,IF(K44="Partial Sick Leave",P44/Settings!$B$9,0)))</f>
        <v>0</v>
      </c>
      <c r="S44" s="35" t="str">
        <f aca="false">IF(AND(OR(E44="Vacation",E44="Sick Leave",E44="Partial Vacation",E44="Partial Sick Leave"),NOT(U44)),"Leave not allowed on this day",IF(AND(E44="Manual Work",OR(NOT(ISNUMBER(F44)),NOT(ISNUMBER(G44)))),"Enter start and end",IF(AND(OR(E44="Partial Vacation",E44="Partial Sick Leave"),OR(NOT(ISNUMBER(H44)),NOT(ISNUMBER(I44)))),"Enter leave from and to",IF(AND(ISNUMBER(F44),ISNUMBER(G44),G44&lt;=F44),"End is before start",IF(AND(ISNUMBER(H44),ISNUMBER(I44),I44&lt;=H44),"Leave end is before start",IF(AND(ISNUMBER(F44),ISNUMBER(G44),ISNUMBER(H44),ISNUMBER(I44),F44&lt;I44,H44&lt;G44),"Work and leave hours overlap",IF(AND(E44&lt;&gt;"",WEEKDAY(A44)=7),"Saturday - administrator only","")))))))</f>
        <v/>
      </c>
      <c r="T44" s="36" t="n">
        <f aca="false">MONTH(A44)</f>
        <v>2</v>
      </c>
      <c r="U44" s="37" t="b">
        <f aca="false">OR(C44="Workday",C44="Eve")</f>
        <v>0</v>
      </c>
      <c r="V44" s="34" t="n">
        <f aca="false">IF(C44="Eve",Settings!$B$8,Settings!$B$7)</f>
        <v>0.6875</v>
      </c>
      <c r="W44" s="14" t="n">
        <f aca="false">IF(U44,(V44-Settings!$B$6)*24,0)</f>
        <v>0</v>
      </c>
    </row>
    <row r="45" customFormat="false" ht="15" hidden="false" customHeight="false" outlineLevel="0" collapsed="false">
      <c r="A45" s="29" t="n">
        <v>46061</v>
      </c>
      <c r="B45" s="30" t="str">
        <f aca="false">CHOOSE(WEEKDAY(A45),"Sun","Mon","Tue","Wed","Thu","Fri","Sat")</f>
        <v>Sun</v>
      </c>
      <c r="C45" s="30" t="str">
        <f aca="false">IF(IFERROR(INDEX(Holidays!$D$5:$D$60,MATCH(A45,Holidays!$A$5:$A$60,0)),"")="Holiday","Holiday",IF(WEEKDAY(A45)&gt;=6,"Weekend",IF(IFERROR(INDEX(Holidays!$D$5:$D$60,MATCH(A45,Holidays!$A$5:$A$60,0)),"")="Eve","Eve","Workday")))</f>
        <v>Workday</v>
      </c>
      <c r="D45" s="18" t="str">
        <f aca="false">IFERROR(INDEX(Holidays!$C$5:$C$60,MATCH(A45,Holidays!$A$5:$A$60,0)),"")</f>
        <v/>
      </c>
      <c r="E45" s="31"/>
      <c r="F45" s="32"/>
      <c r="G45" s="32"/>
      <c r="H45" s="32"/>
      <c r="I45" s="32"/>
      <c r="J45" s="31"/>
      <c r="K45" s="33" t="str">
        <f aca="false">IF(E45&lt;&gt;"",E45,IF(U45,"Present",IF(C45="Holiday","Holiday","Weekend")))</f>
        <v>Present</v>
      </c>
      <c r="L45" s="34" t="n">
        <f aca="false">IF(OR(K45="Present",K45="Manual Work",K45="Partial Vacation",K45="Partial Sick Leave"),IF(ISNUMBER(F45),F45,IF(AND(K45="Present",U45),Settings!$B$6,"")),"")</f>
        <v>0.333333333333333</v>
      </c>
      <c r="M45" s="34" t="n">
        <f aca="false">IF(OR(K45="Present",K45="Manual Work",K45="Partial Vacation",K45="Partial Sick Leave"),IF(ISNUMBER(G45),G45,IF(AND(K45="Present",U45),V45,"")),"")</f>
        <v>0.6875</v>
      </c>
      <c r="N45" s="14" t="n">
        <f aca="false">IF(AND(ISNUMBER(L45),ISNUMBER(M45)),MAX(0,(M45-L45)*24),0)</f>
        <v>8.5</v>
      </c>
      <c r="O45" s="14" t="n">
        <f aca="false">IF(NOT(U45),0,IF(K45="Vacation",IF(C45="Eve",Settings!$B$9*Settings!$B$11,W45),IF(K45="Partial Vacation",IF(AND(ISNUMBER(H45),ISNUMBER(I45)),MAX(0,(I45-H45)*24),0),0)))</f>
        <v>0</v>
      </c>
      <c r="P45" s="14" t="n">
        <f aca="false">IF(NOT(U45),0,IF(K45="Sick Leave",W45,IF(K45="Partial Sick Leave",IF(AND(ISNUMBER(H45),ISNUMBER(I45)),MAX(0,(I45-H45)*24),0),0)))</f>
        <v>0</v>
      </c>
      <c r="Q45" s="14" t="n">
        <f aca="false">IF(NOT(U45),0,IF(K45="Vacation",IF(C45="Eve",Settings!$B$11,1),IF(K45="Partial Vacation",O45/Settings!$B$9,0)))</f>
        <v>0</v>
      </c>
      <c r="R45" s="14" t="n">
        <f aca="false">IF(NOT(U45),0,IF(K45="Sick Leave",1,IF(K45="Partial Sick Leave",P45/Settings!$B$9,0)))</f>
        <v>0</v>
      </c>
      <c r="S45" s="35" t="str">
        <f aca="false">IF(AND(OR(E45="Vacation",E45="Sick Leave",E45="Partial Vacation",E45="Partial Sick Leave"),NOT(U45)),"Leave not allowed on this day",IF(AND(E45="Manual Work",OR(NOT(ISNUMBER(F45)),NOT(ISNUMBER(G45)))),"Enter start and end",IF(AND(OR(E45="Partial Vacation",E45="Partial Sick Leave"),OR(NOT(ISNUMBER(H45)),NOT(ISNUMBER(I45)))),"Enter leave from and to",IF(AND(ISNUMBER(F45),ISNUMBER(G45),G45&lt;=F45),"End is before start",IF(AND(ISNUMBER(H45),ISNUMBER(I45),I45&lt;=H45),"Leave end is before start",IF(AND(ISNUMBER(F45),ISNUMBER(G45),ISNUMBER(H45),ISNUMBER(I45),F45&lt;I45,H45&lt;G45),"Work and leave hours overlap",IF(AND(E45&lt;&gt;"",WEEKDAY(A45)=7),"Saturday - administrator only","")))))))</f>
        <v/>
      </c>
      <c r="T45" s="36" t="n">
        <f aca="false">MONTH(A45)</f>
        <v>2</v>
      </c>
      <c r="U45" s="37" t="b">
        <f aca="false">OR(C45="Workday",C45="Eve")</f>
        <v>1</v>
      </c>
      <c r="V45" s="34" t="n">
        <f aca="false">IF(C45="Eve",Settings!$B$8,Settings!$B$7)</f>
        <v>0.6875</v>
      </c>
      <c r="W45" s="14" t="n">
        <f aca="false">IF(U45,(V45-Settings!$B$6)*24,0)</f>
        <v>8.5</v>
      </c>
    </row>
    <row r="46" customFormat="false" ht="15" hidden="false" customHeight="false" outlineLevel="0" collapsed="false">
      <c r="A46" s="29" t="n">
        <v>46062</v>
      </c>
      <c r="B46" s="30" t="str">
        <f aca="false">CHOOSE(WEEKDAY(A46),"Sun","Mon","Tue","Wed","Thu","Fri","Sat")</f>
        <v>Mon</v>
      </c>
      <c r="C46" s="30" t="str">
        <f aca="false">IF(IFERROR(INDEX(Holidays!$D$5:$D$60,MATCH(A46,Holidays!$A$5:$A$60,0)),"")="Holiday","Holiday",IF(WEEKDAY(A46)&gt;=6,"Weekend",IF(IFERROR(INDEX(Holidays!$D$5:$D$60,MATCH(A46,Holidays!$A$5:$A$60,0)),"")="Eve","Eve","Workday")))</f>
        <v>Workday</v>
      </c>
      <c r="D46" s="18" t="str">
        <f aca="false">IFERROR(INDEX(Holidays!$C$5:$C$60,MATCH(A46,Holidays!$A$5:$A$60,0)),"")</f>
        <v/>
      </c>
      <c r="E46" s="31"/>
      <c r="F46" s="32"/>
      <c r="G46" s="32"/>
      <c r="H46" s="32"/>
      <c r="I46" s="32"/>
      <c r="J46" s="31"/>
      <c r="K46" s="33" t="str">
        <f aca="false">IF(E46&lt;&gt;"",E46,IF(U46,"Present",IF(C46="Holiday","Holiday","Weekend")))</f>
        <v>Present</v>
      </c>
      <c r="L46" s="34" t="n">
        <f aca="false">IF(OR(K46="Present",K46="Manual Work",K46="Partial Vacation",K46="Partial Sick Leave"),IF(ISNUMBER(F46),F46,IF(AND(K46="Present",U46),Settings!$B$6,"")),"")</f>
        <v>0.333333333333333</v>
      </c>
      <c r="M46" s="34" t="n">
        <f aca="false">IF(OR(K46="Present",K46="Manual Work",K46="Partial Vacation",K46="Partial Sick Leave"),IF(ISNUMBER(G46),G46,IF(AND(K46="Present",U46),V46,"")),"")</f>
        <v>0.6875</v>
      </c>
      <c r="N46" s="14" t="n">
        <f aca="false">IF(AND(ISNUMBER(L46),ISNUMBER(M46)),MAX(0,(M46-L46)*24),0)</f>
        <v>8.5</v>
      </c>
      <c r="O46" s="14" t="n">
        <f aca="false">IF(NOT(U46),0,IF(K46="Vacation",IF(C46="Eve",Settings!$B$9*Settings!$B$11,W46),IF(K46="Partial Vacation",IF(AND(ISNUMBER(H46),ISNUMBER(I46)),MAX(0,(I46-H46)*24),0),0)))</f>
        <v>0</v>
      </c>
      <c r="P46" s="14" t="n">
        <f aca="false">IF(NOT(U46),0,IF(K46="Sick Leave",W46,IF(K46="Partial Sick Leave",IF(AND(ISNUMBER(H46),ISNUMBER(I46)),MAX(0,(I46-H46)*24),0),0)))</f>
        <v>0</v>
      </c>
      <c r="Q46" s="14" t="n">
        <f aca="false">IF(NOT(U46),0,IF(K46="Vacation",IF(C46="Eve",Settings!$B$11,1),IF(K46="Partial Vacation",O46/Settings!$B$9,0)))</f>
        <v>0</v>
      </c>
      <c r="R46" s="14" t="n">
        <f aca="false">IF(NOT(U46),0,IF(K46="Sick Leave",1,IF(K46="Partial Sick Leave",P46/Settings!$B$9,0)))</f>
        <v>0</v>
      </c>
      <c r="S46" s="35" t="str">
        <f aca="false">IF(AND(OR(E46="Vacation",E46="Sick Leave",E46="Partial Vacation",E46="Partial Sick Leave"),NOT(U46)),"Leave not allowed on this day",IF(AND(E46="Manual Work",OR(NOT(ISNUMBER(F46)),NOT(ISNUMBER(G46)))),"Enter start and end",IF(AND(OR(E46="Partial Vacation",E46="Partial Sick Leave"),OR(NOT(ISNUMBER(H46)),NOT(ISNUMBER(I46)))),"Enter leave from and to",IF(AND(ISNUMBER(F46),ISNUMBER(G46),G46&lt;=F46),"End is before start",IF(AND(ISNUMBER(H46),ISNUMBER(I46),I46&lt;=H46),"Leave end is before start",IF(AND(ISNUMBER(F46),ISNUMBER(G46),ISNUMBER(H46),ISNUMBER(I46),F46&lt;I46,H46&lt;G46),"Work and leave hours overlap",IF(AND(E46&lt;&gt;"",WEEKDAY(A46)=7),"Saturday - administrator only","")))))))</f>
        <v/>
      </c>
      <c r="T46" s="36" t="n">
        <f aca="false">MONTH(A46)</f>
        <v>2</v>
      </c>
      <c r="U46" s="37" t="b">
        <f aca="false">OR(C46="Workday",C46="Eve")</f>
        <v>1</v>
      </c>
      <c r="V46" s="34" t="n">
        <f aca="false">IF(C46="Eve",Settings!$B$8,Settings!$B$7)</f>
        <v>0.6875</v>
      </c>
      <c r="W46" s="14" t="n">
        <f aca="false">IF(U46,(V46-Settings!$B$6)*24,0)</f>
        <v>8.5</v>
      </c>
    </row>
    <row r="47" customFormat="false" ht="15" hidden="false" customHeight="false" outlineLevel="0" collapsed="false">
      <c r="A47" s="29" t="n">
        <v>46063</v>
      </c>
      <c r="B47" s="30" t="str">
        <f aca="false">CHOOSE(WEEKDAY(A47),"Sun","Mon","Tue","Wed","Thu","Fri","Sat")</f>
        <v>Tue</v>
      </c>
      <c r="C47" s="30" t="str">
        <f aca="false">IF(IFERROR(INDEX(Holidays!$D$5:$D$60,MATCH(A47,Holidays!$A$5:$A$60,0)),"")="Holiday","Holiday",IF(WEEKDAY(A47)&gt;=6,"Weekend",IF(IFERROR(INDEX(Holidays!$D$5:$D$60,MATCH(A47,Holidays!$A$5:$A$60,0)),"")="Eve","Eve","Workday")))</f>
        <v>Workday</v>
      </c>
      <c r="D47" s="18" t="str">
        <f aca="false">IFERROR(INDEX(Holidays!$C$5:$C$60,MATCH(A47,Holidays!$A$5:$A$60,0)),"")</f>
        <v/>
      </c>
      <c r="E47" s="31"/>
      <c r="F47" s="32"/>
      <c r="G47" s="32"/>
      <c r="H47" s="32"/>
      <c r="I47" s="32"/>
      <c r="J47" s="31"/>
      <c r="K47" s="33" t="str">
        <f aca="false">IF(E47&lt;&gt;"",E47,IF(U47,"Present",IF(C47="Holiday","Holiday","Weekend")))</f>
        <v>Present</v>
      </c>
      <c r="L47" s="34" t="n">
        <f aca="false">IF(OR(K47="Present",K47="Manual Work",K47="Partial Vacation",K47="Partial Sick Leave"),IF(ISNUMBER(F47),F47,IF(AND(K47="Present",U47),Settings!$B$6,"")),"")</f>
        <v>0.333333333333333</v>
      </c>
      <c r="M47" s="34" t="n">
        <f aca="false">IF(OR(K47="Present",K47="Manual Work",K47="Partial Vacation",K47="Partial Sick Leave"),IF(ISNUMBER(G47),G47,IF(AND(K47="Present",U47),V47,"")),"")</f>
        <v>0.6875</v>
      </c>
      <c r="N47" s="14" t="n">
        <f aca="false">IF(AND(ISNUMBER(L47),ISNUMBER(M47)),MAX(0,(M47-L47)*24),0)</f>
        <v>8.5</v>
      </c>
      <c r="O47" s="14" t="n">
        <f aca="false">IF(NOT(U47),0,IF(K47="Vacation",IF(C47="Eve",Settings!$B$9*Settings!$B$11,W47),IF(K47="Partial Vacation",IF(AND(ISNUMBER(H47),ISNUMBER(I47)),MAX(0,(I47-H47)*24),0),0)))</f>
        <v>0</v>
      </c>
      <c r="P47" s="14" t="n">
        <f aca="false">IF(NOT(U47),0,IF(K47="Sick Leave",W47,IF(K47="Partial Sick Leave",IF(AND(ISNUMBER(H47),ISNUMBER(I47)),MAX(0,(I47-H47)*24),0),0)))</f>
        <v>0</v>
      </c>
      <c r="Q47" s="14" t="n">
        <f aca="false">IF(NOT(U47),0,IF(K47="Vacation",IF(C47="Eve",Settings!$B$11,1),IF(K47="Partial Vacation",O47/Settings!$B$9,0)))</f>
        <v>0</v>
      </c>
      <c r="R47" s="14" t="n">
        <f aca="false">IF(NOT(U47),0,IF(K47="Sick Leave",1,IF(K47="Partial Sick Leave",P47/Settings!$B$9,0)))</f>
        <v>0</v>
      </c>
      <c r="S47" s="35" t="str">
        <f aca="false">IF(AND(OR(E47="Vacation",E47="Sick Leave",E47="Partial Vacation",E47="Partial Sick Leave"),NOT(U47)),"Leave not allowed on this day",IF(AND(E47="Manual Work",OR(NOT(ISNUMBER(F47)),NOT(ISNUMBER(G47)))),"Enter start and end",IF(AND(OR(E47="Partial Vacation",E47="Partial Sick Leave"),OR(NOT(ISNUMBER(H47)),NOT(ISNUMBER(I47)))),"Enter leave from and to",IF(AND(ISNUMBER(F47),ISNUMBER(G47),G47&lt;=F47),"End is before start",IF(AND(ISNUMBER(H47),ISNUMBER(I47),I47&lt;=H47),"Leave end is before start",IF(AND(ISNUMBER(F47),ISNUMBER(G47),ISNUMBER(H47),ISNUMBER(I47),F47&lt;I47,H47&lt;G47),"Work and leave hours overlap",IF(AND(E47&lt;&gt;"",WEEKDAY(A47)=7),"Saturday - administrator only","")))))))</f>
        <v/>
      </c>
      <c r="T47" s="36" t="n">
        <f aca="false">MONTH(A47)</f>
        <v>2</v>
      </c>
      <c r="U47" s="37" t="b">
        <f aca="false">OR(C47="Workday",C47="Eve")</f>
        <v>1</v>
      </c>
      <c r="V47" s="34" t="n">
        <f aca="false">IF(C47="Eve",Settings!$B$8,Settings!$B$7)</f>
        <v>0.6875</v>
      </c>
      <c r="W47" s="14" t="n">
        <f aca="false">IF(U47,(V47-Settings!$B$6)*24,0)</f>
        <v>8.5</v>
      </c>
    </row>
    <row r="48" customFormat="false" ht="15" hidden="false" customHeight="false" outlineLevel="0" collapsed="false">
      <c r="A48" s="29" t="n">
        <v>46064</v>
      </c>
      <c r="B48" s="30" t="str">
        <f aca="false">CHOOSE(WEEKDAY(A48),"Sun","Mon","Tue","Wed","Thu","Fri","Sat")</f>
        <v>Wed</v>
      </c>
      <c r="C48" s="30" t="str">
        <f aca="false">IF(IFERROR(INDEX(Holidays!$D$5:$D$60,MATCH(A48,Holidays!$A$5:$A$60,0)),"")="Holiday","Holiday",IF(WEEKDAY(A48)&gt;=6,"Weekend",IF(IFERROR(INDEX(Holidays!$D$5:$D$60,MATCH(A48,Holidays!$A$5:$A$60,0)),"")="Eve","Eve","Workday")))</f>
        <v>Workday</v>
      </c>
      <c r="D48" s="18" t="str">
        <f aca="false">IFERROR(INDEX(Holidays!$C$5:$C$60,MATCH(A48,Holidays!$A$5:$A$60,0)),"")</f>
        <v/>
      </c>
      <c r="E48" s="31"/>
      <c r="F48" s="32"/>
      <c r="G48" s="32"/>
      <c r="H48" s="32"/>
      <c r="I48" s="32"/>
      <c r="J48" s="31"/>
      <c r="K48" s="33" t="str">
        <f aca="false">IF(E48&lt;&gt;"",E48,IF(U48,"Present",IF(C48="Holiday","Holiday","Weekend")))</f>
        <v>Present</v>
      </c>
      <c r="L48" s="34" t="n">
        <f aca="false">IF(OR(K48="Present",K48="Manual Work",K48="Partial Vacation",K48="Partial Sick Leave"),IF(ISNUMBER(F48),F48,IF(AND(K48="Present",U48),Settings!$B$6,"")),"")</f>
        <v>0.333333333333333</v>
      </c>
      <c r="M48" s="34" t="n">
        <f aca="false">IF(OR(K48="Present",K48="Manual Work",K48="Partial Vacation",K48="Partial Sick Leave"),IF(ISNUMBER(G48),G48,IF(AND(K48="Present",U48),V48,"")),"")</f>
        <v>0.6875</v>
      </c>
      <c r="N48" s="14" t="n">
        <f aca="false">IF(AND(ISNUMBER(L48),ISNUMBER(M48)),MAX(0,(M48-L48)*24),0)</f>
        <v>8.5</v>
      </c>
      <c r="O48" s="14" t="n">
        <f aca="false">IF(NOT(U48),0,IF(K48="Vacation",IF(C48="Eve",Settings!$B$9*Settings!$B$11,W48),IF(K48="Partial Vacation",IF(AND(ISNUMBER(H48),ISNUMBER(I48)),MAX(0,(I48-H48)*24),0),0)))</f>
        <v>0</v>
      </c>
      <c r="P48" s="14" t="n">
        <f aca="false">IF(NOT(U48),0,IF(K48="Sick Leave",W48,IF(K48="Partial Sick Leave",IF(AND(ISNUMBER(H48),ISNUMBER(I48)),MAX(0,(I48-H48)*24),0),0)))</f>
        <v>0</v>
      </c>
      <c r="Q48" s="14" t="n">
        <f aca="false">IF(NOT(U48),0,IF(K48="Vacation",IF(C48="Eve",Settings!$B$11,1),IF(K48="Partial Vacation",O48/Settings!$B$9,0)))</f>
        <v>0</v>
      </c>
      <c r="R48" s="14" t="n">
        <f aca="false">IF(NOT(U48),0,IF(K48="Sick Leave",1,IF(K48="Partial Sick Leave",P48/Settings!$B$9,0)))</f>
        <v>0</v>
      </c>
      <c r="S48" s="35" t="str">
        <f aca="false">IF(AND(OR(E48="Vacation",E48="Sick Leave",E48="Partial Vacation",E48="Partial Sick Leave"),NOT(U48)),"Leave not allowed on this day",IF(AND(E48="Manual Work",OR(NOT(ISNUMBER(F48)),NOT(ISNUMBER(G48)))),"Enter start and end",IF(AND(OR(E48="Partial Vacation",E48="Partial Sick Leave"),OR(NOT(ISNUMBER(H48)),NOT(ISNUMBER(I48)))),"Enter leave from and to",IF(AND(ISNUMBER(F48),ISNUMBER(G48),G48&lt;=F48),"End is before start",IF(AND(ISNUMBER(H48),ISNUMBER(I48),I48&lt;=H48),"Leave end is before start",IF(AND(ISNUMBER(F48),ISNUMBER(G48),ISNUMBER(H48),ISNUMBER(I48),F48&lt;I48,H48&lt;G48),"Work and leave hours overlap",IF(AND(E48&lt;&gt;"",WEEKDAY(A48)=7),"Saturday - administrator only","")))))))</f>
        <v/>
      </c>
      <c r="T48" s="36" t="n">
        <f aca="false">MONTH(A48)</f>
        <v>2</v>
      </c>
      <c r="U48" s="37" t="b">
        <f aca="false">OR(C48="Workday",C48="Eve")</f>
        <v>1</v>
      </c>
      <c r="V48" s="34" t="n">
        <f aca="false">IF(C48="Eve",Settings!$B$8,Settings!$B$7)</f>
        <v>0.6875</v>
      </c>
      <c r="W48" s="14" t="n">
        <f aca="false">IF(U48,(V48-Settings!$B$6)*24,0)</f>
        <v>8.5</v>
      </c>
    </row>
    <row r="49" customFormat="false" ht="15" hidden="false" customHeight="false" outlineLevel="0" collapsed="false">
      <c r="A49" s="29" t="n">
        <v>46065</v>
      </c>
      <c r="B49" s="30" t="str">
        <f aca="false">CHOOSE(WEEKDAY(A49),"Sun","Mon","Tue","Wed","Thu","Fri","Sat")</f>
        <v>Thu</v>
      </c>
      <c r="C49" s="30" t="str">
        <f aca="false">IF(IFERROR(INDEX(Holidays!$D$5:$D$60,MATCH(A49,Holidays!$A$5:$A$60,0)),"")="Holiday","Holiday",IF(WEEKDAY(A49)&gt;=6,"Weekend",IF(IFERROR(INDEX(Holidays!$D$5:$D$60,MATCH(A49,Holidays!$A$5:$A$60,0)),"")="Eve","Eve","Workday")))</f>
        <v>Workday</v>
      </c>
      <c r="D49" s="18" t="str">
        <f aca="false">IFERROR(INDEX(Holidays!$C$5:$C$60,MATCH(A49,Holidays!$A$5:$A$60,0)),"")</f>
        <v/>
      </c>
      <c r="E49" s="31"/>
      <c r="F49" s="32"/>
      <c r="G49" s="32"/>
      <c r="H49" s="32"/>
      <c r="I49" s="32"/>
      <c r="J49" s="31"/>
      <c r="K49" s="33" t="str">
        <f aca="false">IF(E49&lt;&gt;"",E49,IF(U49,"Present",IF(C49="Holiday","Holiday","Weekend")))</f>
        <v>Present</v>
      </c>
      <c r="L49" s="34" t="n">
        <f aca="false">IF(OR(K49="Present",K49="Manual Work",K49="Partial Vacation",K49="Partial Sick Leave"),IF(ISNUMBER(F49),F49,IF(AND(K49="Present",U49),Settings!$B$6,"")),"")</f>
        <v>0.333333333333333</v>
      </c>
      <c r="M49" s="34" t="n">
        <f aca="false">IF(OR(K49="Present",K49="Manual Work",K49="Partial Vacation",K49="Partial Sick Leave"),IF(ISNUMBER(G49),G49,IF(AND(K49="Present",U49),V49,"")),"")</f>
        <v>0.6875</v>
      </c>
      <c r="N49" s="14" t="n">
        <f aca="false">IF(AND(ISNUMBER(L49),ISNUMBER(M49)),MAX(0,(M49-L49)*24),0)</f>
        <v>8.5</v>
      </c>
      <c r="O49" s="14" t="n">
        <f aca="false">IF(NOT(U49),0,IF(K49="Vacation",IF(C49="Eve",Settings!$B$9*Settings!$B$11,W49),IF(K49="Partial Vacation",IF(AND(ISNUMBER(H49),ISNUMBER(I49)),MAX(0,(I49-H49)*24),0),0)))</f>
        <v>0</v>
      </c>
      <c r="P49" s="14" t="n">
        <f aca="false">IF(NOT(U49),0,IF(K49="Sick Leave",W49,IF(K49="Partial Sick Leave",IF(AND(ISNUMBER(H49),ISNUMBER(I49)),MAX(0,(I49-H49)*24),0),0)))</f>
        <v>0</v>
      </c>
      <c r="Q49" s="14" t="n">
        <f aca="false">IF(NOT(U49),0,IF(K49="Vacation",IF(C49="Eve",Settings!$B$11,1),IF(K49="Partial Vacation",O49/Settings!$B$9,0)))</f>
        <v>0</v>
      </c>
      <c r="R49" s="14" t="n">
        <f aca="false">IF(NOT(U49),0,IF(K49="Sick Leave",1,IF(K49="Partial Sick Leave",P49/Settings!$B$9,0)))</f>
        <v>0</v>
      </c>
      <c r="S49" s="35" t="str">
        <f aca="false">IF(AND(OR(E49="Vacation",E49="Sick Leave",E49="Partial Vacation",E49="Partial Sick Leave"),NOT(U49)),"Leave not allowed on this day",IF(AND(E49="Manual Work",OR(NOT(ISNUMBER(F49)),NOT(ISNUMBER(G49)))),"Enter start and end",IF(AND(OR(E49="Partial Vacation",E49="Partial Sick Leave"),OR(NOT(ISNUMBER(H49)),NOT(ISNUMBER(I49)))),"Enter leave from and to",IF(AND(ISNUMBER(F49),ISNUMBER(G49),G49&lt;=F49),"End is before start",IF(AND(ISNUMBER(H49),ISNUMBER(I49),I49&lt;=H49),"Leave end is before start",IF(AND(ISNUMBER(F49),ISNUMBER(G49),ISNUMBER(H49),ISNUMBER(I49),F49&lt;I49,H49&lt;G49),"Work and leave hours overlap",IF(AND(E49&lt;&gt;"",WEEKDAY(A49)=7),"Saturday - administrator only","")))))))</f>
        <v/>
      </c>
      <c r="T49" s="36" t="n">
        <f aca="false">MONTH(A49)</f>
        <v>2</v>
      </c>
      <c r="U49" s="37" t="b">
        <f aca="false">OR(C49="Workday",C49="Eve")</f>
        <v>1</v>
      </c>
      <c r="V49" s="34" t="n">
        <f aca="false">IF(C49="Eve",Settings!$B$8,Settings!$B$7)</f>
        <v>0.6875</v>
      </c>
      <c r="W49" s="14" t="n">
        <f aca="false">IF(U49,(V49-Settings!$B$6)*24,0)</f>
        <v>8.5</v>
      </c>
    </row>
    <row r="50" customFormat="false" ht="15" hidden="false" customHeight="false" outlineLevel="0" collapsed="false">
      <c r="A50" s="29" t="n">
        <v>46066</v>
      </c>
      <c r="B50" s="30" t="str">
        <f aca="false">CHOOSE(WEEKDAY(A50),"Sun","Mon","Tue","Wed","Thu","Fri","Sat")</f>
        <v>Fri</v>
      </c>
      <c r="C50" s="30" t="str">
        <f aca="false">IF(IFERROR(INDEX(Holidays!$D$5:$D$60,MATCH(A50,Holidays!$A$5:$A$60,0)),"")="Holiday","Holiday",IF(WEEKDAY(A50)&gt;=6,"Weekend",IF(IFERROR(INDEX(Holidays!$D$5:$D$60,MATCH(A50,Holidays!$A$5:$A$60,0)),"")="Eve","Eve","Workday")))</f>
        <v>Weekend</v>
      </c>
      <c r="D50" s="18" t="str">
        <f aca="false">IFERROR(INDEX(Holidays!$C$5:$C$60,MATCH(A50,Holidays!$A$5:$A$60,0)),"")</f>
        <v/>
      </c>
      <c r="E50" s="31"/>
      <c r="F50" s="32"/>
      <c r="G50" s="32"/>
      <c r="H50" s="32"/>
      <c r="I50" s="32"/>
      <c r="J50" s="31"/>
      <c r="K50" s="33" t="str">
        <f aca="false">IF(E50&lt;&gt;"",E50,IF(U50,"Present",IF(C50="Holiday","Holiday","Weekend")))</f>
        <v>Weekend</v>
      </c>
      <c r="L50" s="34" t="str">
        <f aca="false">IF(OR(K50="Present",K50="Manual Work",K50="Partial Vacation",K50="Partial Sick Leave"),IF(ISNUMBER(F50),F50,IF(AND(K50="Present",U50),Settings!$B$6,"")),"")</f>
        <v/>
      </c>
      <c r="M50" s="34" t="str">
        <f aca="false">IF(OR(K50="Present",K50="Manual Work",K50="Partial Vacation",K50="Partial Sick Leave"),IF(ISNUMBER(G50),G50,IF(AND(K50="Present",U50),V50,"")),"")</f>
        <v/>
      </c>
      <c r="N50" s="14" t="n">
        <f aca="false">IF(AND(ISNUMBER(L50),ISNUMBER(M50)),MAX(0,(M50-L50)*24),0)</f>
        <v>0</v>
      </c>
      <c r="O50" s="14" t="n">
        <f aca="false">IF(NOT(U50),0,IF(K50="Vacation",IF(C50="Eve",Settings!$B$9*Settings!$B$11,W50),IF(K50="Partial Vacation",IF(AND(ISNUMBER(H50),ISNUMBER(I50)),MAX(0,(I50-H50)*24),0),0)))</f>
        <v>0</v>
      </c>
      <c r="P50" s="14" t="n">
        <f aca="false">IF(NOT(U50),0,IF(K50="Sick Leave",W50,IF(K50="Partial Sick Leave",IF(AND(ISNUMBER(H50),ISNUMBER(I50)),MAX(0,(I50-H50)*24),0),0)))</f>
        <v>0</v>
      </c>
      <c r="Q50" s="14" t="n">
        <f aca="false">IF(NOT(U50),0,IF(K50="Vacation",IF(C50="Eve",Settings!$B$11,1),IF(K50="Partial Vacation",O50/Settings!$B$9,0)))</f>
        <v>0</v>
      </c>
      <c r="R50" s="14" t="n">
        <f aca="false">IF(NOT(U50),0,IF(K50="Sick Leave",1,IF(K50="Partial Sick Leave",P50/Settings!$B$9,0)))</f>
        <v>0</v>
      </c>
      <c r="S50" s="35" t="str">
        <f aca="false">IF(AND(OR(E50="Vacation",E50="Sick Leave",E50="Partial Vacation",E50="Partial Sick Leave"),NOT(U50)),"Leave not allowed on this day",IF(AND(E50="Manual Work",OR(NOT(ISNUMBER(F50)),NOT(ISNUMBER(G50)))),"Enter start and end",IF(AND(OR(E50="Partial Vacation",E50="Partial Sick Leave"),OR(NOT(ISNUMBER(H50)),NOT(ISNUMBER(I50)))),"Enter leave from and to",IF(AND(ISNUMBER(F50),ISNUMBER(G50),G50&lt;=F50),"End is before start",IF(AND(ISNUMBER(H50),ISNUMBER(I50),I50&lt;=H50),"Leave end is before start",IF(AND(ISNUMBER(F50),ISNUMBER(G50),ISNUMBER(H50),ISNUMBER(I50),F50&lt;I50,H50&lt;G50),"Work and leave hours overlap",IF(AND(E50&lt;&gt;"",WEEKDAY(A50)=7),"Saturday - administrator only","")))))))</f>
        <v/>
      </c>
      <c r="T50" s="36" t="n">
        <f aca="false">MONTH(A50)</f>
        <v>2</v>
      </c>
      <c r="U50" s="37" t="b">
        <f aca="false">OR(C50="Workday",C50="Eve")</f>
        <v>0</v>
      </c>
      <c r="V50" s="34" t="n">
        <f aca="false">IF(C50="Eve",Settings!$B$8,Settings!$B$7)</f>
        <v>0.6875</v>
      </c>
      <c r="W50" s="14" t="n">
        <f aca="false">IF(U50,(V50-Settings!$B$6)*24,0)</f>
        <v>0</v>
      </c>
    </row>
    <row r="51" customFormat="false" ht="15" hidden="false" customHeight="false" outlineLevel="0" collapsed="false">
      <c r="A51" s="29" t="n">
        <v>46067</v>
      </c>
      <c r="B51" s="30" t="str">
        <f aca="false">CHOOSE(WEEKDAY(A51),"Sun","Mon","Tue","Wed","Thu","Fri","Sat")</f>
        <v>Sat</v>
      </c>
      <c r="C51" s="30" t="str">
        <f aca="false">IF(IFERROR(INDEX(Holidays!$D$5:$D$60,MATCH(A51,Holidays!$A$5:$A$60,0)),"")="Holiday","Holiday",IF(WEEKDAY(A51)&gt;=6,"Weekend",IF(IFERROR(INDEX(Holidays!$D$5:$D$60,MATCH(A51,Holidays!$A$5:$A$60,0)),"")="Eve","Eve","Workday")))</f>
        <v>Weekend</v>
      </c>
      <c r="D51" s="18" t="str">
        <f aca="false">IFERROR(INDEX(Holidays!$C$5:$C$60,MATCH(A51,Holidays!$A$5:$A$60,0)),"")</f>
        <v/>
      </c>
      <c r="E51" s="31"/>
      <c r="F51" s="32"/>
      <c r="G51" s="32"/>
      <c r="H51" s="32"/>
      <c r="I51" s="32"/>
      <c r="J51" s="31"/>
      <c r="K51" s="33" t="str">
        <f aca="false">IF(E51&lt;&gt;"",E51,IF(U51,"Present",IF(C51="Holiday","Holiday","Weekend")))</f>
        <v>Weekend</v>
      </c>
      <c r="L51" s="34" t="str">
        <f aca="false">IF(OR(K51="Present",K51="Manual Work",K51="Partial Vacation",K51="Partial Sick Leave"),IF(ISNUMBER(F51),F51,IF(AND(K51="Present",U51),Settings!$B$6,"")),"")</f>
        <v/>
      </c>
      <c r="M51" s="34" t="str">
        <f aca="false">IF(OR(K51="Present",K51="Manual Work",K51="Partial Vacation",K51="Partial Sick Leave"),IF(ISNUMBER(G51),G51,IF(AND(K51="Present",U51),V51,"")),"")</f>
        <v/>
      </c>
      <c r="N51" s="14" t="n">
        <f aca="false">IF(AND(ISNUMBER(L51),ISNUMBER(M51)),MAX(0,(M51-L51)*24),0)</f>
        <v>0</v>
      </c>
      <c r="O51" s="14" t="n">
        <f aca="false">IF(NOT(U51),0,IF(K51="Vacation",IF(C51="Eve",Settings!$B$9*Settings!$B$11,W51),IF(K51="Partial Vacation",IF(AND(ISNUMBER(H51),ISNUMBER(I51)),MAX(0,(I51-H51)*24),0),0)))</f>
        <v>0</v>
      </c>
      <c r="P51" s="14" t="n">
        <f aca="false">IF(NOT(U51),0,IF(K51="Sick Leave",W51,IF(K51="Partial Sick Leave",IF(AND(ISNUMBER(H51),ISNUMBER(I51)),MAX(0,(I51-H51)*24),0),0)))</f>
        <v>0</v>
      </c>
      <c r="Q51" s="14" t="n">
        <f aca="false">IF(NOT(U51),0,IF(K51="Vacation",IF(C51="Eve",Settings!$B$11,1),IF(K51="Partial Vacation",O51/Settings!$B$9,0)))</f>
        <v>0</v>
      </c>
      <c r="R51" s="14" t="n">
        <f aca="false">IF(NOT(U51),0,IF(K51="Sick Leave",1,IF(K51="Partial Sick Leave",P51/Settings!$B$9,0)))</f>
        <v>0</v>
      </c>
      <c r="S51" s="35" t="str">
        <f aca="false">IF(AND(OR(E51="Vacation",E51="Sick Leave",E51="Partial Vacation",E51="Partial Sick Leave"),NOT(U51)),"Leave not allowed on this day",IF(AND(E51="Manual Work",OR(NOT(ISNUMBER(F51)),NOT(ISNUMBER(G51)))),"Enter start and end",IF(AND(OR(E51="Partial Vacation",E51="Partial Sick Leave"),OR(NOT(ISNUMBER(H51)),NOT(ISNUMBER(I51)))),"Enter leave from and to",IF(AND(ISNUMBER(F51),ISNUMBER(G51),G51&lt;=F51),"End is before start",IF(AND(ISNUMBER(H51),ISNUMBER(I51),I51&lt;=H51),"Leave end is before start",IF(AND(ISNUMBER(F51),ISNUMBER(G51),ISNUMBER(H51),ISNUMBER(I51),F51&lt;I51,H51&lt;G51),"Work and leave hours overlap",IF(AND(E51&lt;&gt;"",WEEKDAY(A51)=7),"Saturday - administrator only","")))))))</f>
        <v/>
      </c>
      <c r="T51" s="36" t="n">
        <f aca="false">MONTH(A51)</f>
        <v>2</v>
      </c>
      <c r="U51" s="37" t="b">
        <f aca="false">OR(C51="Workday",C51="Eve")</f>
        <v>0</v>
      </c>
      <c r="V51" s="34" t="n">
        <f aca="false">IF(C51="Eve",Settings!$B$8,Settings!$B$7)</f>
        <v>0.6875</v>
      </c>
      <c r="W51" s="14" t="n">
        <f aca="false">IF(U51,(V51-Settings!$B$6)*24,0)</f>
        <v>0</v>
      </c>
    </row>
    <row r="52" customFormat="false" ht="15" hidden="false" customHeight="false" outlineLevel="0" collapsed="false">
      <c r="A52" s="29" t="n">
        <v>46068</v>
      </c>
      <c r="B52" s="30" t="str">
        <f aca="false">CHOOSE(WEEKDAY(A52),"Sun","Mon","Tue","Wed","Thu","Fri","Sat")</f>
        <v>Sun</v>
      </c>
      <c r="C52" s="30" t="str">
        <f aca="false">IF(IFERROR(INDEX(Holidays!$D$5:$D$60,MATCH(A52,Holidays!$A$5:$A$60,0)),"")="Holiday","Holiday",IF(WEEKDAY(A52)&gt;=6,"Weekend",IF(IFERROR(INDEX(Holidays!$D$5:$D$60,MATCH(A52,Holidays!$A$5:$A$60,0)),"")="Eve","Eve","Workday")))</f>
        <v>Workday</v>
      </c>
      <c r="D52" s="18" t="str">
        <f aca="false">IFERROR(INDEX(Holidays!$C$5:$C$60,MATCH(A52,Holidays!$A$5:$A$60,0)),"")</f>
        <v/>
      </c>
      <c r="E52" s="31"/>
      <c r="F52" s="32"/>
      <c r="G52" s="32"/>
      <c r="H52" s="32"/>
      <c r="I52" s="32"/>
      <c r="J52" s="31"/>
      <c r="K52" s="33" t="str">
        <f aca="false">IF(E52&lt;&gt;"",E52,IF(U52,"Present",IF(C52="Holiday","Holiday","Weekend")))</f>
        <v>Present</v>
      </c>
      <c r="L52" s="34" t="n">
        <f aca="false">IF(OR(K52="Present",K52="Manual Work",K52="Partial Vacation",K52="Partial Sick Leave"),IF(ISNUMBER(F52),F52,IF(AND(K52="Present",U52),Settings!$B$6,"")),"")</f>
        <v>0.333333333333333</v>
      </c>
      <c r="M52" s="34" t="n">
        <f aca="false">IF(OR(K52="Present",K52="Manual Work",K52="Partial Vacation",K52="Partial Sick Leave"),IF(ISNUMBER(G52),G52,IF(AND(K52="Present",U52),V52,"")),"")</f>
        <v>0.6875</v>
      </c>
      <c r="N52" s="14" t="n">
        <f aca="false">IF(AND(ISNUMBER(L52),ISNUMBER(M52)),MAX(0,(M52-L52)*24),0)</f>
        <v>8.5</v>
      </c>
      <c r="O52" s="14" t="n">
        <f aca="false">IF(NOT(U52),0,IF(K52="Vacation",IF(C52="Eve",Settings!$B$9*Settings!$B$11,W52),IF(K52="Partial Vacation",IF(AND(ISNUMBER(H52),ISNUMBER(I52)),MAX(0,(I52-H52)*24),0),0)))</f>
        <v>0</v>
      </c>
      <c r="P52" s="14" t="n">
        <f aca="false">IF(NOT(U52),0,IF(K52="Sick Leave",W52,IF(K52="Partial Sick Leave",IF(AND(ISNUMBER(H52),ISNUMBER(I52)),MAX(0,(I52-H52)*24),0),0)))</f>
        <v>0</v>
      </c>
      <c r="Q52" s="14" t="n">
        <f aca="false">IF(NOT(U52),0,IF(K52="Vacation",IF(C52="Eve",Settings!$B$11,1),IF(K52="Partial Vacation",O52/Settings!$B$9,0)))</f>
        <v>0</v>
      </c>
      <c r="R52" s="14" t="n">
        <f aca="false">IF(NOT(U52),0,IF(K52="Sick Leave",1,IF(K52="Partial Sick Leave",P52/Settings!$B$9,0)))</f>
        <v>0</v>
      </c>
      <c r="S52" s="35" t="str">
        <f aca="false">IF(AND(OR(E52="Vacation",E52="Sick Leave",E52="Partial Vacation",E52="Partial Sick Leave"),NOT(U52)),"Leave not allowed on this day",IF(AND(E52="Manual Work",OR(NOT(ISNUMBER(F52)),NOT(ISNUMBER(G52)))),"Enter start and end",IF(AND(OR(E52="Partial Vacation",E52="Partial Sick Leave"),OR(NOT(ISNUMBER(H52)),NOT(ISNUMBER(I52)))),"Enter leave from and to",IF(AND(ISNUMBER(F52),ISNUMBER(G52),G52&lt;=F52),"End is before start",IF(AND(ISNUMBER(H52),ISNUMBER(I52),I52&lt;=H52),"Leave end is before start",IF(AND(ISNUMBER(F52),ISNUMBER(G52),ISNUMBER(H52),ISNUMBER(I52),F52&lt;I52,H52&lt;G52),"Work and leave hours overlap",IF(AND(E52&lt;&gt;"",WEEKDAY(A52)=7),"Saturday - administrator only","")))))))</f>
        <v/>
      </c>
      <c r="T52" s="36" t="n">
        <f aca="false">MONTH(A52)</f>
        <v>2</v>
      </c>
      <c r="U52" s="37" t="b">
        <f aca="false">OR(C52="Workday",C52="Eve")</f>
        <v>1</v>
      </c>
      <c r="V52" s="34" t="n">
        <f aca="false">IF(C52="Eve",Settings!$B$8,Settings!$B$7)</f>
        <v>0.6875</v>
      </c>
      <c r="W52" s="14" t="n">
        <f aca="false">IF(U52,(V52-Settings!$B$6)*24,0)</f>
        <v>8.5</v>
      </c>
    </row>
    <row r="53" customFormat="false" ht="15" hidden="false" customHeight="false" outlineLevel="0" collapsed="false">
      <c r="A53" s="29" t="n">
        <v>46069</v>
      </c>
      <c r="B53" s="30" t="str">
        <f aca="false">CHOOSE(WEEKDAY(A53),"Sun","Mon","Tue","Wed","Thu","Fri","Sat")</f>
        <v>Mon</v>
      </c>
      <c r="C53" s="30" t="str">
        <f aca="false">IF(IFERROR(INDEX(Holidays!$D$5:$D$60,MATCH(A53,Holidays!$A$5:$A$60,0)),"")="Holiday","Holiday",IF(WEEKDAY(A53)&gt;=6,"Weekend",IF(IFERROR(INDEX(Holidays!$D$5:$D$60,MATCH(A53,Holidays!$A$5:$A$60,0)),"")="Eve","Eve","Workday")))</f>
        <v>Workday</v>
      </c>
      <c r="D53" s="18" t="str">
        <f aca="false">IFERROR(INDEX(Holidays!$C$5:$C$60,MATCH(A53,Holidays!$A$5:$A$60,0)),"")</f>
        <v/>
      </c>
      <c r="E53" s="31"/>
      <c r="F53" s="32"/>
      <c r="G53" s="32"/>
      <c r="H53" s="32"/>
      <c r="I53" s="32"/>
      <c r="J53" s="31"/>
      <c r="K53" s="33" t="str">
        <f aca="false">IF(E53&lt;&gt;"",E53,IF(U53,"Present",IF(C53="Holiday","Holiday","Weekend")))</f>
        <v>Present</v>
      </c>
      <c r="L53" s="34" t="n">
        <f aca="false">IF(OR(K53="Present",K53="Manual Work",K53="Partial Vacation",K53="Partial Sick Leave"),IF(ISNUMBER(F53),F53,IF(AND(K53="Present",U53),Settings!$B$6,"")),"")</f>
        <v>0.333333333333333</v>
      </c>
      <c r="M53" s="34" t="n">
        <f aca="false">IF(OR(K53="Present",K53="Manual Work",K53="Partial Vacation",K53="Partial Sick Leave"),IF(ISNUMBER(G53),G53,IF(AND(K53="Present",U53),V53,"")),"")</f>
        <v>0.6875</v>
      </c>
      <c r="N53" s="14" t="n">
        <f aca="false">IF(AND(ISNUMBER(L53),ISNUMBER(M53)),MAX(0,(M53-L53)*24),0)</f>
        <v>8.5</v>
      </c>
      <c r="O53" s="14" t="n">
        <f aca="false">IF(NOT(U53),0,IF(K53="Vacation",IF(C53="Eve",Settings!$B$9*Settings!$B$11,W53),IF(K53="Partial Vacation",IF(AND(ISNUMBER(H53),ISNUMBER(I53)),MAX(0,(I53-H53)*24),0),0)))</f>
        <v>0</v>
      </c>
      <c r="P53" s="14" t="n">
        <f aca="false">IF(NOT(U53),0,IF(K53="Sick Leave",W53,IF(K53="Partial Sick Leave",IF(AND(ISNUMBER(H53),ISNUMBER(I53)),MAX(0,(I53-H53)*24),0),0)))</f>
        <v>0</v>
      </c>
      <c r="Q53" s="14" t="n">
        <f aca="false">IF(NOT(U53),0,IF(K53="Vacation",IF(C53="Eve",Settings!$B$11,1),IF(K53="Partial Vacation",O53/Settings!$B$9,0)))</f>
        <v>0</v>
      </c>
      <c r="R53" s="14" t="n">
        <f aca="false">IF(NOT(U53),0,IF(K53="Sick Leave",1,IF(K53="Partial Sick Leave",P53/Settings!$B$9,0)))</f>
        <v>0</v>
      </c>
      <c r="S53" s="35" t="str">
        <f aca="false">IF(AND(OR(E53="Vacation",E53="Sick Leave",E53="Partial Vacation",E53="Partial Sick Leave"),NOT(U53)),"Leave not allowed on this day",IF(AND(E53="Manual Work",OR(NOT(ISNUMBER(F53)),NOT(ISNUMBER(G53)))),"Enter start and end",IF(AND(OR(E53="Partial Vacation",E53="Partial Sick Leave"),OR(NOT(ISNUMBER(H53)),NOT(ISNUMBER(I53)))),"Enter leave from and to",IF(AND(ISNUMBER(F53),ISNUMBER(G53),G53&lt;=F53),"End is before start",IF(AND(ISNUMBER(H53),ISNUMBER(I53),I53&lt;=H53),"Leave end is before start",IF(AND(ISNUMBER(F53),ISNUMBER(G53),ISNUMBER(H53),ISNUMBER(I53),F53&lt;I53,H53&lt;G53),"Work and leave hours overlap",IF(AND(E53&lt;&gt;"",WEEKDAY(A53)=7),"Saturday - administrator only","")))))))</f>
        <v/>
      </c>
      <c r="T53" s="36" t="n">
        <f aca="false">MONTH(A53)</f>
        <v>2</v>
      </c>
      <c r="U53" s="37" t="b">
        <f aca="false">OR(C53="Workday",C53="Eve")</f>
        <v>1</v>
      </c>
      <c r="V53" s="34" t="n">
        <f aca="false">IF(C53="Eve",Settings!$B$8,Settings!$B$7)</f>
        <v>0.6875</v>
      </c>
      <c r="W53" s="14" t="n">
        <f aca="false">IF(U53,(V53-Settings!$B$6)*24,0)</f>
        <v>8.5</v>
      </c>
    </row>
    <row r="54" customFormat="false" ht="15" hidden="false" customHeight="false" outlineLevel="0" collapsed="false">
      <c r="A54" s="29" t="n">
        <v>46070</v>
      </c>
      <c r="B54" s="30" t="str">
        <f aca="false">CHOOSE(WEEKDAY(A54),"Sun","Mon","Tue","Wed","Thu","Fri","Sat")</f>
        <v>Tue</v>
      </c>
      <c r="C54" s="30" t="str">
        <f aca="false">IF(IFERROR(INDEX(Holidays!$D$5:$D$60,MATCH(A54,Holidays!$A$5:$A$60,0)),"")="Holiday","Holiday",IF(WEEKDAY(A54)&gt;=6,"Weekend",IF(IFERROR(INDEX(Holidays!$D$5:$D$60,MATCH(A54,Holidays!$A$5:$A$60,0)),"")="Eve","Eve","Workday")))</f>
        <v>Workday</v>
      </c>
      <c r="D54" s="18" t="str">
        <f aca="false">IFERROR(INDEX(Holidays!$C$5:$C$60,MATCH(A54,Holidays!$A$5:$A$60,0)),"")</f>
        <v/>
      </c>
      <c r="E54" s="31"/>
      <c r="F54" s="32"/>
      <c r="G54" s="32"/>
      <c r="H54" s="32"/>
      <c r="I54" s="32"/>
      <c r="J54" s="31"/>
      <c r="K54" s="33" t="str">
        <f aca="false">IF(E54&lt;&gt;"",E54,IF(U54,"Present",IF(C54="Holiday","Holiday","Weekend")))</f>
        <v>Present</v>
      </c>
      <c r="L54" s="34" t="n">
        <f aca="false">IF(OR(K54="Present",K54="Manual Work",K54="Partial Vacation",K54="Partial Sick Leave"),IF(ISNUMBER(F54),F54,IF(AND(K54="Present",U54),Settings!$B$6,"")),"")</f>
        <v>0.333333333333333</v>
      </c>
      <c r="M54" s="34" t="n">
        <f aca="false">IF(OR(K54="Present",K54="Manual Work",K54="Partial Vacation",K54="Partial Sick Leave"),IF(ISNUMBER(G54),G54,IF(AND(K54="Present",U54),V54,"")),"")</f>
        <v>0.6875</v>
      </c>
      <c r="N54" s="14" t="n">
        <f aca="false">IF(AND(ISNUMBER(L54),ISNUMBER(M54)),MAX(0,(M54-L54)*24),0)</f>
        <v>8.5</v>
      </c>
      <c r="O54" s="14" t="n">
        <f aca="false">IF(NOT(U54),0,IF(K54="Vacation",IF(C54="Eve",Settings!$B$9*Settings!$B$11,W54),IF(K54="Partial Vacation",IF(AND(ISNUMBER(H54),ISNUMBER(I54)),MAX(0,(I54-H54)*24),0),0)))</f>
        <v>0</v>
      </c>
      <c r="P54" s="14" t="n">
        <f aca="false">IF(NOT(U54),0,IF(K54="Sick Leave",W54,IF(K54="Partial Sick Leave",IF(AND(ISNUMBER(H54),ISNUMBER(I54)),MAX(0,(I54-H54)*24),0),0)))</f>
        <v>0</v>
      </c>
      <c r="Q54" s="14" t="n">
        <f aca="false">IF(NOT(U54),0,IF(K54="Vacation",IF(C54="Eve",Settings!$B$11,1),IF(K54="Partial Vacation",O54/Settings!$B$9,0)))</f>
        <v>0</v>
      </c>
      <c r="R54" s="14" t="n">
        <f aca="false">IF(NOT(U54),0,IF(K54="Sick Leave",1,IF(K54="Partial Sick Leave",P54/Settings!$B$9,0)))</f>
        <v>0</v>
      </c>
      <c r="S54" s="35" t="str">
        <f aca="false">IF(AND(OR(E54="Vacation",E54="Sick Leave",E54="Partial Vacation",E54="Partial Sick Leave"),NOT(U54)),"Leave not allowed on this day",IF(AND(E54="Manual Work",OR(NOT(ISNUMBER(F54)),NOT(ISNUMBER(G54)))),"Enter start and end",IF(AND(OR(E54="Partial Vacation",E54="Partial Sick Leave"),OR(NOT(ISNUMBER(H54)),NOT(ISNUMBER(I54)))),"Enter leave from and to",IF(AND(ISNUMBER(F54),ISNUMBER(G54),G54&lt;=F54),"End is before start",IF(AND(ISNUMBER(H54),ISNUMBER(I54),I54&lt;=H54),"Leave end is before start",IF(AND(ISNUMBER(F54),ISNUMBER(G54),ISNUMBER(H54),ISNUMBER(I54),F54&lt;I54,H54&lt;G54),"Work and leave hours overlap",IF(AND(E54&lt;&gt;"",WEEKDAY(A54)=7),"Saturday - administrator only","")))))))</f>
        <v/>
      </c>
      <c r="T54" s="36" t="n">
        <f aca="false">MONTH(A54)</f>
        <v>2</v>
      </c>
      <c r="U54" s="37" t="b">
        <f aca="false">OR(C54="Workday",C54="Eve")</f>
        <v>1</v>
      </c>
      <c r="V54" s="34" t="n">
        <f aca="false">IF(C54="Eve",Settings!$B$8,Settings!$B$7)</f>
        <v>0.6875</v>
      </c>
      <c r="W54" s="14" t="n">
        <f aca="false">IF(U54,(V54-Settings!$B$6)*24,0)</f>
        <v>8.5</v>
      </c>
    </row>
    <row r="55" customFormat="false" ht="15" hidden="false" customHeight="false" outlineLevel="0" collapsed="false">
      <c r="A55" s="29" t="n">
        <v>46071</v>
      </c>
      <c r="B55" s="30" t="str">
        <f aca="false">CHOOSE(WEEKDAY(A55),"Sun","Mon","Tue","Wed","Thu","Fri","Sat")</f>
        <v>Wed</v>
      </c>
      <c r="C55" s="30" t="str">
        <f aca="false">IF(IFERROR(INDEX(Holidays!$D$5:$D$60,MATCH(A55,Holidays!$A$5:$A$60,0)),"")="Holiday","Holiday",IF(WEEKDAY(A55)&gt;=6,"Weekend",IF(IFERROR(INDEX(Holidays!$D$5:$D$60,MATCH(A55,Holidays!$A$5:$A$60,0)),"")="Eve","Eve","Workday")))</f>
        <v>Workday</v>
      </c>
      <c r="D55" s="18" t="str">
        <f aca="false">IFERROR(INDEX(Holidays!$C$5:$C$60,MATCH(A55,Holidays!$A$5:$A$60,0)),"")</f>
        <v/>
      </c>
      <c r="E55" s="31"/>
      <c r="F55" s="32"/>
      <c r="G55" s="32"/>
      <c r="H55" s="32"/>
      <c r="I55" s="32"/>
      <c r="J55" s="31"/>
      <c r="K55" s="33" t="str">
        <f aca="false">IF(E55&lt;&gt;"",E55,IF(U55,"Present",IF(C55="Holiday","Holiday","Weekend")))</f>
        <v>Present</v>
      </c>
      <c r="L55" s="34" t="n">
        <f aca="false">IF(OR(K55="Present",K55="Manual Work",K55="Partial Vacation",K55="Partial Sick Leave"),IF(ISNUMBER(F55),F55,IF(AND(K55="Present",U55),Settings!$B$6,"")),"")</f>
        <v>0.333333333333333</v>
      </c>
      <c r="M55" s="34" t="n">
        <f aca="false">IF(OR(K55="Present",K55="Manual Work",K55="Partial Vacation",K55="Partial Sick Leave"),IF(ISNUMBER(G55),G55,IF(AND(K55="Present",U55),V55,"")),"")</f>
        <v>0.6875</v>
      </c>
      <c r="N55" s="14" t="n">
        <f aca="false">IF(AND(ISNUMBER(L55),ISNUMBER(M55)),MAX(0,(M55-L55)*24),0)</f>
        <v>8.5</v>
      </c>
      <c r="O55" s="14" t="n">
        <f aca="false">IF(NOT(U55),0,IF(K55="Vacation",IF(C55="Eve",Settings!$B$9*Settings!$B$11,W55),IF(K55="Partial Vacation",IF(AND(ISNUMBER(H55),ISNUMBER(I55)),MAX(0,(I55-H55)*24),0),0)))</f>
        <v>0</v>
      </c>
      <c r="P55" s="14" t="n">
        <f aca="false">IF(NOT(U55),0,IF(K55="Sick Leave",W55,IF(K55="Partial Sick Leave",IF(AND(ISNUMBER(H55),ISNUMBER(I55)),MAX(0,(I55-H55)*24),0),0)))</f>
        <v>0</v>
      </c>
      <c r="Q55" s="14" t="n">
        <f aca="false">IF(NOT(U55),0,IF(K55="Vacation",IF(C55="Eve",Settings!$B$11,1),IF(K55="Partial Vacation",O55/Settings!$B$9,0)))</f>
        <v>0</v>
      </c>
      <c r="R55" s="14" t="n">
        <f aca="false">IF(NOT(U55),0,IF(K55="Sick Leave",1,IF(K55="Partial Sick Leave",P55/Settings!$B$9,0)))</f>
        <v>0</v>
      </c>
      <c r="S55" s="35" t="str">
        <f aca="false">IF(AND(OR(E55="Vacation",E55="Sick Leave",E55="Partial Vacation",E55="Partial Sick Leave"),NOT(U55)),"Leave not allowed on this day",IF(AND(E55="Manual Work",OR(NOT(ISNUMBER(F55)),NOT(ISNUMBER(G55)))),"Enter start and end",IF(AND(OR(E55="Partial Vacation",E55="Partial Sick Leave"),OR(NOT(ISNUMBER(H55)),NOT(ISNUMBER(I55)))),"Enter leave from and to",IF(AND(ISNUMBER(F55),ISNUMBER(G55),G55&lt;=F55),"End is before start",IF(AND(ISNUMBER(H55),ISNUMBER(I55),I55&lt;=H55),"Leave end is before start",IF(AND(ISNUMBER(F55),ISNUMBER(G55),ISNUMBER(H55),ISNUMBER(I55),F55&lt;I55,H55&lt;G55),"Work and leave hours overlap",IF(AND(E55&lt;&gt;"",WEEKDAY(A55)=7),"Saturday - administrator only","")))))))</f>
        <v/>
      </c>
      <c r="T55" s="36" t="n">
        <f aca="false">MONTH(A55)</f>
        <v>2</v>
      </c>
      <c r="U55" s="37" t="b">
        <f aca="false">OR(C55="Workday",C55="Eve")</f>
        <v>1</v>
      </c>
      <c r="V55" s="34" t="n">
        <f aca="false">IF(C55="Eve",Settings!$B$8,Settings!$B$7)</f>
        <v>0.6875</v>
      </c>
      <c r="W55" s="14" t="n">
        <f aca="false">IF(U55,(V55-Settings!$B$6)*24,0)</f>
        <v>8.5</v>
      </c>
    </row>
    <row r="56" customFormat="false" ht="15" hidden="false" customHeight="false" outlineLevel="0" collapsed="false">
      <c r="A56" s="29" t="n">
        <v>46072</v>
      </c>
      <c r="B56" s="30" t="str">
        <f aca="false">CHOOSE(WEEKDAY(A56),"Sun","Mon","Tue","Wed","Thu","Fri","Sat")</f>
        <v>Thu</v>
      </c>
      <c r="C56" s="30" t="str">
        <f aca="false">IF(IFERROR(INDEX(Holidays!$D$5:$D$60,MATCH(A56,Holidays!$A$5:$A$60,0)),"")="Holiday","Holiday",IF(WEEKDAY(A56)&gt;=6,"Weekend",IF(IFERROR(INDEX(Holidays!$D$5:$D$60,MATCH(A56,Holidays!$A$5:$A$60,0)),"")="Eve","Eve","Workday")))</f>
        <v>Workday</v>
      </c>
      <c r="D56" s="18" t="str">
        <f aca="false">IFERROR(INDEX(Holidays!$C$5:$C$60,MATCH(A56,Holidays!$A$5:$A$60,0)),"")</f>
        <v/>
      </c>
      <c r="E56" s="31"/>
      <c r="F56" s="32"/>
      <c r="G56" s="32"/>
      <c r="H56" s="32"/>
      <c r="I56" s="32"/>
      <c r="J56" s="31"/>
      <c r="K56" s="33" t="str">
        <f aca="false">IF(E56&lt;&gt;"",E56,IF(U56,"Present",IF(C56="Holiday","Holiday","Weekend")))</f>
        <v>Present</v>
      </c>
      <c r="L56" s="34" t="n">
        <f aca="false">IF(OR(K56="Present",K56="Manual Work",K56="Partial Vacation",K56="Partial Sick Leave"),IF(ISNUMBER(F56),F56,IF(AND(K56="Present",U56),Settings!$B$6,"")),"")</f>
        <v>0.333333333333333</v>
      </c>
      <c r="M56" s="34" t="n">
        <f aca="false">IF(OR(K56="Present",K56="Manual Work",K56="Partial Vacation",K56="Partial Sick Leave"),IF(ISNUMBER(G56),G56,IF(AND(K56="Present",U56),V56,"")),"")</f>
        <v>0.6875</v>
      </c>
      <c r="N56" s="14" t="n">
        <f aca="false">IF(AND(ISNUMBER(L56),ISNUMBER(M56)),MAX(0,(M56-L56)*24),0)</f>
        <v>8.5</v>
      </c>
      <c r="O56" s="14" t="n">
        <f aca="false">IF(NOT(U56),0,IF(K56="Vacation",IF(C56="Eve",Settings!$B$9*Settings!$B$11,W56),IF(K56="Partial Vacation",IF(AND(ISNUMBER(H56),ISNUMBER(I56)),MAX(0,(I56-H56)*24),0),0)))</f>
        <v>0</v>
      </c>
      <c r="P56" s="14" t="n">
        <f aca="false">IF(NOT(U56),0,IF(K56="Sick Leave",W56,IF(K56="Partial Sick Leave",IF(AND(ISNUMBER(H56),ISNUMBER(I56)),MAX(0,(I56-H56)*24),0),0)))</f>
        <v>0</v>
      </c>
      <c r="Q56" s="14" t="n">
        <f aca="false">IF(NOT(U56),0,IF(K56="Vacation",IF(C56="Eve",Settings!$B$11,1),IF(K56="Partial Vacation",O56/Settings!$B$9,0)))</f>
        <v>0</v>
      </c>
      <c r="R56" s="14" t="n">
        <f aca="false">IF(NOT(U56),0,IF(K56="Sick Leave",1,IF(K56="Partial Sick Leave",P56/Settings!$B$9,0)))</f>
        <v>0</v>
      </c>
      <c r="S56" s="35" t="str">
        <f aca="false">IF(AND(OR(E56="Vacation",E56="Sick Leave",E56="Partial Vacation",E56="Partial Sick Leave"),NOT(U56)),"Leave not allowed on this day",IF(AND(E56="Manual Work",OR(NOT(ISNUMBER(F56)),NOT(ISNUMBER(G56)))),"Enter start and end",IF(AND(OR(E56="Partial Vacation",E56="Partial Sick Leave"),OR(NOT(ISNUMBER(H56)),NOT(ISNUMBER(I56)))),"Enter leave from and to",IF(AND(ISNUMBER(F56),ISNUMBER(G56),G56&lt;=F56),"End is before start",IF(AND(ISNUMBER(H56),ISNUMBER(I56),I56&lt;=H56),"Leave end is before start",IF(AND(ISNUMBER(F56),ISNUMBER(G56),ISNUMBER(H56),ISNUMBER(I56),F56&lt;I56,H56&lt;G56),"Work and leave hours overlap",IF(AND(E56&lt;&gt;"",WEEKDAY(A56)=7),"Saturday - administrator only","")))))))</f>
        <v/>
      </c>
      <c r="T56" s="36" t="n">
        <f aca="false">MONTH(A56)</f>
        <v>2</v>
      </c>
      <c r="U56" s="37" t="b">
        <f aca="false">OR(C56="Workday",C56="Eve")</f>
        <v>1</v>
      </c>
      <c r="V56" s="34" t="n">
        <f aca="false">IF(C56="Eve",Settings!$B$8,Settings!$B$7)</f>
        <v>0.6875</v>
      </c>
      <c r="W56" s="14" t="n">
        <f aca="false">IF(U56,(V56-Settings!$B$6)*24,0)</f>
        <v>8.5</v>
      </c>
    </row>
    <row r="57" customFormat="false" ht="15" hidden="false" customHeight="false" outlineLevel="0" collapsed="false">
      <c r="A57" s="29" t="n">
        <v>46073</v>
      </c>
      <c r="B57" s="30" t="str">
        <f aca="false">CHOOSE(WEEKDAY(A57),"Sun","Mon","Tue","Wed","Thu","Fri","Sat")</f>
        <v>Fri</v>
      </c>
      <c r="C57" s="30" t="str">
        <f aca="false">IF(IFERROR(INDEX(Holidays!$D$5:$D$60,MATCH(A57,Holidays!$A$5:$A$60,0)),"")="Holiday","Holiday",IF(WEEKDAY(A57)&gt;=6,"Weekend",IF(IFERROR(INDEX(Holidays!$D$5:$D$60,MATCH(A57,Holidays!$A$5:$A$60,0)),"")="Eve","Eve","Workday")))</f>
        <v>Weekend</v>
      </c>
      <c r="D57" s="18" t="str">
        <f aca="false">IFERROR(INDEX(Holidays!$C$5:$C$60,MATCH(A57,Holidays!$A$5:$A$60,0)),"")</f>
        <v/>
      </c>
      <c r="E57" s="31"/>
      <c r="F57" s="32"/>
      <c r="G57" s="32"/>
      <c r="H57" s="32"/>
      <c r="I57" s="32"/>
      <c r="J57" s="31"/>
      <c r="K57" s="33" t="str">
        <f aca="false">IF(E57&lt;&gt;"",E57,IF(U57,"Present",IF(C57="Holiday","Holiday","Weekend")))</f>
        <v>Weekend</v>
      </c>
      <c r="L57" s="34" t="str">
        <f aca="false">IF(OR(K57="Present",K57="Manual Work",K57="Partial Vacation",K57="Partial Sick Leave"),IF(ISNUMBER(F57),F57,IF(AND(K57="Present",U57),Settings!$B$6,"")),"")</f>
        <v/>
      </c>
      <c r="M57" s="34" t="str">
        <f aca="false">IF(OR(K57="Present",K57="Manual Work",K57="Partial Vacation",K57="Partial Sick Leave"),IF(ISNUMBER(G57),G57,IF(AND(K57="Present",U57),V57,"")),"")</f>
        <v/>
      </c>
      <c r="N57" s="14" t="n">
        <f aca="false">IF(AND(ISNUMBER(L57),ISNUMBER(M57)),MAX(0,(M57-L57)*24),0)</f>
        <v>0</v>
      </c>
      <c r="O57" s="14" t="n">
        <f aca="false">IF(NOT(U57),0,IF(K57="Vacation",IF(C57="Eve",Settings!$B$9*Settings!$B$11,W57),IF(K57="Partial Vacation",IF(AND(ISNUMBER(H57),ISNUMBER(I57)),MAX(0,(I57-H57)*24),0),0)))</f>
        <v>0</v>
      </c>
      <c r="P57" s="14" t="n">
        <f aca="false">IF(NOT(U57),0,IF(K57="Sick Leave",W57,IF(K57="Partial Sick Leave",IF(AND(ISNUMBER(H57),ISNUMBER(I57)),MAX(0,(I57-H57)*24),0),0)))</f>
        <v>0</v>
      </c>
      <c r="Q57" s="14" t="n">
        <f aca="false">IF(NOT(U57),0,IF(K57="Vacation",IF(C57="Eve",Settings!$B$11,1),IF(K57="Partial Vacation",O57/Settings!$B$9,0)))</f>
        <v>0</v>
      </c>
      <c r="R57" s="14" t="n">
        <f aca="false">IF(NOT(U57),0,IF(K57="Sick Leave",1,IF(K57="Partial Sick Leave",P57/Settings!$B$9,0)))</f>
        <v>0</v>
      </c>
      <c r="S57" s="35" t="str">
        <f aca="false">IF(AND(OR(E57="Vacation",E57="Sick Leave",E57="Partial Vacation",E57="Partial Sick Leave"),NOT(U57)),"Leave not allowed on this day",IF(AND(E57="Manual Work",OR(NOT(ISNUMBER(F57)),NOT(ISNUMBER(G57)))),"Enter start and end",IF(AND(OR(E57="Partial Vacation",E57="Partial Sick Leave"),OR(NOT(ISNUMBER(H57)),NOT(ISNUMBER(I57)))),"Enter leave from and to",IF(AND(ISNUMBER(F57),ISNUMBER(G57),G57&lt;=F57),"End is before start",IF(AND(ISNUMBER(H57),ISNUMBER(I57),I57&lt;=H57),"Leave end is before start",IF(AND(ISNUMBER(F57),ISNUMBER(G57),ISNUMBER(H57),ISNUMBER(I57),F57&lt;I57,H57&lt;G57),"Work and leave hours overlap",IF(AND(E57&lt;&gt;"",WEEKDAY(A57)=7),"Saturday - administrator only","")))))))</f>
        <v/>
      </c>
      <c r="T57" s="36" t="n">
        <f aca="false">MONTH(A57)</f>
        <v>2</v>
      </c>
      <c r="U57" s="37" t="b">
        <f aca="false">OR(C57="Workday",C57="Eve")</f>
        <v>0</v>
      </c>
      <c r="V57" s="34" t="n">
        <f aca="false">IF(C57="Eve",Settings!$B$8,Settings!$B$7)</f>
        <v>0.6875</v>
      </c>
      <c r="W57" s="14" t="n">
        <f aca="false">IF(U57,(V57-Settings!$B$6)*24,0)</f>
        <v>0</v>
      </c>
    </row>
    <row r="58" customFormat="false" ht="15" hidden="false" customHeight="false" outlineLevel="0" collapsed="false">
      <c r="A58" s="29" t="n">
        <v>46074</v>
      </c>
      <c r="B58" s="30" t="str">
        <f aca="false">CHOOSE(WEEKDAY(A58),"Sun","Mon","Tue","Wed","Thu","Fri","Sat")</f>
        <v>Sat</v>
      </c>
      <c r="C58" s="30" t="str">
        <f aca="false">IF(IFERROR(INDEX(Holidays!$D$5:$D$60,MATCH(A58,Holidays!$A$5:$A$60,0)),"")="Holiday","Holiday",IF(WEEKDAY(A58)&gt;=6,"Weekend",IF(IFERROR(INDEX(Holidays!$D$5:$D$60,MATCH(A58,Holidays!$A$5:$A$60,0)),"")="Eve","Eve","Workday")))</f>
        <v>Weekend</v>
      </c>
      <c r="D58" s="18" t="str">
        <f aca="false">IFERROR(INDEX(Holidays!$C$5:$C$60,MATCH(A58,Holidays!$A$5:$A$60,0)),"")</f>
        <v/>
      </c>
      <c r="E58" s="31"/>
      <c r="F58" s="32"/>
      <c r="G58" s="32"/>
      <c r="H58" s="32"/>
      <c r="I58" s="32"/>
      <c r="J58" s="31"/>
      <c r="K58" s="33" t="str">
        <f aca="false">IF(E58&lt;&gt;"",E58,IF(U58,"Present",IF(C58="Holiday","Holiday","Weekend")))</f>
        <v>Weekend</v>
      </c>
      <c r="L58" s="34" t="str">
        <f aca="false">IF(OR(K58="Present",K58="Manual Work",K58="Partial Vacation",K58="Partial Sick Leave"),IF(ISNUMBER(F58),F58,IF(AND(K58="Present",U58),Settings!$B$6,"")),"")</f>
        <v/>
      </c>
      <c r="M58" s="34" t="str">
        <f aca="false">IF(OR(K58="Present",K58="Manual Work",K58="Partial Vacation",K58="Partial Sick Leave"),IF(ISNUMBER(G58),G58,IF(AND(K58="Present",U58),V58,"")),"")</f>
        <v/>
      </c>
      <c r="N58" s="14" t="n">
        <f aca="false">IF(AND(ISNUMBER(L58),ISNUMBER(M58)),MAX(0,(M58-L58)*24),0)</f>
        <v>0</v>
      </c>
      <c r="O58" s="14" t="n">
        <f aca="false">IF(NOT(U58),0,IF(K58="Vacation",IF(C58="Eve",Settings!$B$9*Settings!$B$11,W58),IF(K58="Partial Vacation",IF(AND(ISNUMBER(H58),ISNUMBER(I58)),MAX(0,(I58-H58)*24),0),0)))</f>
        <v>0</v>
      </c>
      <c r="P58" s="14" t="n">
        <f aca="false">IF(NOT(U58),0,IF(K58="Sick Leave",W58,IF(K58="Partial Sick Leave",IF(AND(ISNUMBER(H58),ISNUMBER(I58)),MAX(0,(I58-H58)*24),0),0)))</f>
        <v>0</v>
      </c>
      <c r="Q58" s="14" t="n">
        <f aca="false">IF(NOT(U58),0,IF(K58="Vacation",IF(C58="Eve",Settings!$B$11,1),IF(K58="Partial Vacation",O58/Settings!$B$9,0)))</f>
        <v>0</v>
      </c>
      <c r="R58" s="14" t="n">
        <f aca="false">IF(NOT(U58),0,IF(K58="Sick Leave",1,IF(K58="Partial Sick Leave",P58/Settings!$B$9,0)))</f>
        <v>0</v>
      </c>
      <c r="S58" s="35" t="str">
        <f aca="false">IF(AND(OR(E58="Vacation",E58="Sick Leave",E58="Partial Vacation",E58="Partial Sick Leave"),NOT(U58)),"Leave not allowed on this day",IF(AND(E58="Manual Work",OR(NOT(ISNUMBER(F58)),NOT(ISNUMBER(G58)))),"Enter start and end",IF(AND(OR(E58="Partial Vacation",E58="Partial Sick Leave"),OR(NOT(ISNUMBER(H58)),NOT(ISNUMBER(I58)))),"Enter leave from and to",IF(AND(ISNUMBER(F58),ISNUMBER(G58),G58&lt;=F58),"End is before start",IF(AND(ISNUMBER(H58),ISNUMBER(I58),I58&lt;=H58),"Leave end is before start",IF(AND(ISNUMBER(F58),ISNUMBER(G58),ISNUMBER(H58),ISNUMBER(I58),F58&lt;I58,H58&lt;G58),"Work and leave hours overlap",IF(AND(E58&lt;&gt;"",WEEKDAY(A58)=7),"Saturday - administrator only","")))))))</f>
        <v/>
      </c>
      <c r="T58" s="36" t="n">
        <f aca="false">MONTH(A58)</f>
        <v>2</v>
      </c>
      <c r="U58" s="37" t="b">
        <f aca="false">OR(C58="Workday",C58="Eve")</f>
        <v>0</v>
      </c>
      <c r="V58" s="34" t="n">
        <f aca="false">IF(C58="Eve",Settings!$B$8,Settings!$B$7)</f>
        <v>0.6875</v>
      </c>
      <c r="W58" s="14" t="n">
        <f aca="false">IF(U58,(V58-Settings!$B$6)*24,0)</f>
        <v>0</v>
      </c>
    </row>
    <row r="59" customFormat="false" ht="15" hidden="false" customHeight="false" outlineLevel="0" collapsed="false">
      <c r="A59" s="29" t="n">
        <v>46075</v>
      </c>
      <c r="B59" s="30" t="str">
        <f aca="false">CHOOSE(WEEKDAY(A59),"Sun","Mon","Tue","Wed","Thu","Fri","Sat")</f>
        <v>Sun</v>
      </c>
      <c r="C59" s="30" t="str">
        <f aca="false">IF(IFERROR(INDEX(Holidays!$D$5:$D$60,MATCH(A59,Holidays!$A$5:$A$60,0)),"")="Holiday","Holiday",IF(WEEKDAY(A59)&gt;=6,"Weekend",IF(IFERROR(INDEX(Holidays!$D$5:$D$60,MATCH(A59,Holidays!$A$5:$A$60,0)),"")="Eve","Eve","Workday")))</f>
        <v>Workday</v>
      </c>
      <c r="D59" s="18" t="str">
        <f aca="false">IFERROR(INDEX(Holidays!$C$5:$C$60,MATCH(A59,Holidays!$A$5:$A$60,0)),"")</f>
        <v/>
      </c>
      <c r="E59" s="31"/>
      <c r="F59" s="32"/>
      <c r="G59" s="32"/>
      <c r="H59" s="32"/>
      <c r="I59" s="32"/>
      <c r="J59" s="31"/>
      <c r="K59" s="33" t="str">
        <f aca="false">IF(E59&lt;&gt;"",E59,IF(U59,"Present",IF(C59="Holiday","Holiday","Weekend")))</f>
        <v>Present</v>
      </c>
      <c r="L59" s="34" t="n">
        <f aca="false">IF(OR(K59="Present",K59="Manual Work",K59="Partial Vacation",K59="Partial Sick Leave"),IF(ISNUMBER(F59),F59,IF(AND(K59="Present",U59),Settings!$B$6,"")),"")</f>
        <v>0.333333333333333</v>
      </c>
      <c r="M59" s="34" t="n">
        <f aca="false">IF(OR(K59="Present",K59="Manual Work",K59="Partial Vacation",K59="Partial Sick Leave"),IF(ISNUMBER(G59),G59,IF(AND(K59="Present",U59),V59,"")),"")</f>
        <v>0.6875</v>
      </c>
      <c r="N59" s="14" t="n">
        <f aca="false">IF(AND(ISNUMBER(L59),ISNUMBER(M59)),MAX(0,(M59-L59)*24),0)</f>
        <v>8.5</v>
      </c>
      <c r="O59" s="14" t="n">
        <f aca="false">IF(NOT(U59),0,IF(K59="Vacation",IF(C59="Eve",Settings!$B$9*Settings!$B$11,W59),IF(K59="Partial Vacation",IF(AND(ISNUMBER(H59),ISNUMBER(I59)),MAX(0,(I59-H59)*24),0),0)))</f>
        <v>0</v>
      </c>
      <c r="P59" s="14" t="n">
        <f aca="false">IF(NOT(U59),0,IF(K59="Sick Leave",W59,IF(K59="Partial Sick Leave",IF(AND(ISNUMBER(H59),ISNUMBER(I59)),MAX(0,(I59-H59)*24),0),0)))</f>
        <v>0</v>
      </c>
      <c r="Q59" s="14" t="n">
        <f aca="false">IF(NOT(U59),0,IF(K59="Vacation",IF(C59="Eve",Settings!$B$11,1),IF(K59="Partial Vacation",O59/Settings!$B$9,0)))</f>
        <v>0</v>
      </c>
      <c r="R59" s="14" t="n">
        <f aca="false">IF(NOT(U59),0,IF(K59="Sick Leave",1,IF(K59="Partial Sick Leave",P59/Settings!$B$9,0)))</f>
        <v>0</v>
      </c>
      <c r="S59" s="35" t="str">
        <f aca="false">IF(AND(OR(E59="Vacation",E59="Sick Leave",E59="Partial Vacation",E59="Partial Sick Leave"),NOT(U59)),"Leave not allowed on this day",IF(AND(E59="Manual Work",OR(NOT(ISNUMBER(F59)),NOT(ISNUMBER(G59)))),"Enter start and end",IF(AND(OR(E59="Partial Vacation",E59="Partial Sick Leave"),OR(NOT(ISNUMBER(H59)),NOT(ISNUMBER(I59)))),"Enter leave from and to",IF(AND(ISNUMBER(F59),ISNUMBER(G59),G59&lt;=F59),"End is before start",IF(AND(ISNUMBER(H59),ISNUMBER(I59),I59&lt;=H59),"Leave end is before start",IF(AND(ISNUMBER(F59),ISNUMBER(G59),ISNUMBER(H59),ISNUMBER(I59),F59&lt;I59,H59&lt;G59),"Work and leave hours overlap",IF(AND(E59&lt;&gt;"",WEEKDAY(A59)=7),"Saturday - administrator only","")))))))</f>
        <v/>
      </c>
      <c r="T59" s="36" t="n">
        <f aca="false">MONTH(A59)</f>
        <v>2</v>
      </c>
      <c r="U59" s="37" t="b">
        <f aca="false">OR(C59="Workday",C59="Eve")</f>
        <v>1</v>
      </c>
      <c r="V59" s="34" t="n">
        <f aca="false">IF(C59="Eve",Settings!$B$8,Settings!$B$7)</f>
        <v>0.6875</v>
      </c>
      <c r="W59" s="14" t="n">
        <f aca="false">IF(U59,(V59-Settings!$B$6)*24,0)</f>
        <v>8.5</v>
      </c>
    </row>
    <row r="60" customFormat="false" ht="15" hidden="false" customHeight="false" outlineLevel="0" collapsed="false">
      <c r="A60" s="29" t="n">
        <v>46076</v>
      </c>
      <c r="B60" s="30" t="str">
        <f aca="false">CHOOSE(WEEKDAY(A60),"Sun","Mon","Tue","Wed","Thu","Fri","Sat")</f>
        <v>Mon</v>
      </c>
      <c r="C60" s="30" t="str">
        <f aca="false">IF(IFERROR(INDEX(Holidays!$D$5:$D$60,MATCH(A60,Holidays!$A$5:$A$60,0)),"")="Holiday","Holiday",IF(WEEKDAY(A60)&gt;=6,"Weekend",IF(IFERROR(INDEX(Holidays!$D$5:$D$60,MATCH(A60,Holidays!$A$5:$A$60,0)),"")="Eve","Eve","Workday")))</f>
        <v>Workday</v>
      </c>
      <c r="D60" s="18" t="str">
        <f aca="false">IFERROR(INDEX(Holidays!$C$5:$C$60,MATCH(A60,Holidays!$A$5:$A$60,0)),"")</f>
        <v/>
      </c>
      <c r="E60" s="31"/>
      <c r="F60" s="32"/>
      <c r="G60" s="32"/>
      <c r="H60" s="32"/>
      <c r="I60" s="32"/>
      <c r="J60" s="31"/>
      <c r="K60" s="33" t="str">
        <f aca="false">IF(E60&lt;&gt;"",E60,IF(U60,"Present",IF(C60="Holiday","Holiday","Weekend")))</f>
        <v>Present</v>
      </c>
      <c r="L60" s="34" t="n">
        <f aca="false">IF(OR(K60="Present",K60="Manual Work",K60="Partial Vacation",K60="Partial Sick Leave"),IF(ISNUMBER(F60),F60,IF(AND(K60="Present",U60),Settings!$B$6,"")),"")</f>
        <v>0.333333333333333</v>
      </c>
      <c r="M60" s="34" t="n">
        <f aca="false">IF(OR(K60="Present",K60="Manual Work",K60="Partial Vacation",K60="Partial Sick Leave"),IF(ISNUMBER(G60),G60,IF(AND(K60="Present",U60),V60,"")),"")</f>
        <v>0.6875</v>
      </c>
      <c r="N60" s="14" t="n">
        <f aca="false">IF(AND(ISNUMBER(L60),ISNUMBER(M60)),MAX(0,(M60-L60)*24),0)</f>
        <v>8.5</v>
      </c>
      <c r="O60" s="14" t="n">
        <f aca="false">IF(NOT(U60),0,IF(K60="Vacation",IF(C60="Eve",Settings!$B$9*Settings!$B$11,W60),IF(K60="Partial Vacation",IF(AND(ISNUMBER(H60),ISNUMBER(I60)),MAX(0,(I60-H60)*24),0),0)))</f>
        <v>0</v>
      </c>
      <c r="P60" s="14" t="n">
        <f aca="false">IF(NOT(U60),0,IF(K60="Sick Leave",W60,IF(K60="Partial Sick Leave",IF(AND(ISNUMBER(H60),ISNUMBER(I60)),MAX(0,(I60-H60)*24),0),0)))</f>
        <v>0</v>
      </c>
      <c r="Q60" s="14" t="n">
        <f aca="false">IF(NOT(U60),0,IF(K60="Vacation",IF(C60="Eve",Settings!$B$11,1),IF(K60="Partial Vacation",O60/Settings!$B$9,0)))</f>
        <v>0</v>
      </c>
      <c r="R60" s="14" t="n">
        <f aca="false">IF(NOT(U60),0,IF(K60="Sick Leave",1,IF(K60="Partial Sick Leave",P60/Settings!$B$9,0)))</f>
        <v>0</v>
      </c>
      <c r="S60" s="35" t="str">
        <f aca="false">IF(AND(OR(E60="Vacation",E60="Sick Leave",E60="Partial Vacation",E60="Partial Sick Leave"),NOT(U60)),"Leave not allowed on this day",IF(AND(E60="Manual Work",OR(NOT(ISNUMBER(F60)),NOT(ISNUMBER(G60)))),"Enter start and end",IF(AND(OR(E60="Partial Vacation",E60="Partial Sick Leave"),OR(NOT(ISNUMBER(H60)),NOT(ISNUMBER(I60)))),"Enter leave from and to",IF(AND(ISNUMBER(F60),ISNUMBER(G60),G60&lt;=F60),"End is before start",IF(AND(ISNUMBER(H60),ISNUMBER(I60),I60&lt;=H60),"Leave end is before start",IF(AND(ISNUMBER(F60),ISNUMBER(G60),ISNUMBER(H60),ISNUMBER(I60),F60&lt;I60,H60&lt;G60),"Work and leave hours overlap",IF(AND(E60&lt;&gt;"",WEEKDAY(A60)=7),"Saturday - administrator only","")))))))</f>
        <v/>
      </c>
      <c r="T60" s="36" t="n">
        <f aca="false">MONTH(A60)</f>
        <v>2</v>
      </c>
      <c r="U60" s="37" t="b">
        <f aca="false">OR(C60="Workday",C60="Eve")</f>
        <v>1</v>
      </c>
      <c r="V60" s="34" t="n">
        <f aca="false">IF(C60="Eve",Settings!$B$8,Settings!$B$7)</f>
        <v>0.6875</v>
      </c>
      <c r="W60" s="14" t="n">
        <f aca="false">IF(U60,(V60-Settings!$B$6)*24,0)</f>
        <v>8.5</v>
      </c>
    </row>
    <row r="61" customFormat="false" ht="15" hidden="false" customHeight="false" outlineLevel="0" collapsed="false">
      <c r="A61" s="29" t="n">
        <v>46077</v>
      </c>
      <c r="B61" s="30" t="str">
        <f aca="false">CHOOSE(WEEKDAY(A61),"Sun","Mon","Tue","Wed","Thu","Fri","Sat")</f>
        <v>Tue</v>
      </c>
      <c r="C61" s="30" t="str">
        <f aca="false">IF(IFERROR(INDEX(Holidays!$D$5:$D$60,MATCH(A61,Holidays!$A$5:$A$60,0)),"")="Holiday","Holiday",IF(WEEKDAY(A61)&gt;=6,"Weekend",IF(IFERROR(INDEX(Holidays!$D$5:$D$60,MATCH(A61,Holidays!$A$5:$A$60,0)),"")="Eve","Eve","Workday")))</f>
        <v>Workday</v>
      </c>
      <c r="D61" s="18" t="str">
        <f aca="false">IFERROR(INDEX(Holidays!$C$5:$C$60,MATCH(A61,Holidays!$A$5:$A$60,0)),"")</f>
        <v/>
      </c>
      <c r="E61" s="31"/>
      <c r="F61" s="32"/>
      <c r="G61" s="32"/>
      <c r="H61" s="32"/>
      <c r="I61" s="32"/>
      <c r="J61" s="31"/>
      <c r="K61" s="33" t="str">
        <f aca="false">IF(E61&lt;&gt;"",E61,IF(U61,"Present",IF(C61="Holiday","Holiday","Weekend")))</f>
        <v>Present</v>
      </c>
      <c r="L61" s="34" t="n">
        <f aca="false">IF(OR(K61="Present",K61="Manual Work",K61="Partial Vacation",K61="Partial Sick Leave"),IF(ISNUMBER(F61),F61,IF(AND(K61="Present",U61),Settings!$B$6,"")),"")</f>
        <v>0.333333333333333</v>
      </c>
      <c r="M61" s="34" t="n">
        <f aca="false">IF(OR(K61="Present",K61="Manual Work",K61="Partial Vacation",K61="Partial Sick Leave"),IF(ISNUMBER(G61),G61,IF(AND(K61="Present",U61),V61,"")),"")</f>
        <v>0.6875</v>
      </c>
      <c r="N61" s="14" t="n">
        <f aca="false">IF(AND(ISNUMBER(L61),ISNUMBER(M61)),MAX(0,(M61-L61)*24),0)</f>
        <v>8.5</v>
      </c>
      <c r="O61" s="14" t="n">
        <f aca="false">IF(NOT(U61),0,IF(K61="Vacation",IF(C61="Eve",Settings!$B$9*Settings!$B$11,W61),IF(K61="Partial Vacation",IF(AND(ISNUMBER(H61),ISNUMBER(I61)),MAX(0,(I61-H61)*24),0),0)))</f>
        <v>0</v>
      </c>
      <c r="P61" s="14" t="n">
        <f aca="false">IF(NOT(U61),0,IF(K61="Sick Leave",W61,IF(K61="Partial Sick Leave",IF(AND(ISNUMBER(H61),ISNUMBER(I61)),MAX(0,(I61-H61)*24),0),0)))</f>
        <v>0</v>
      </c>
      <c r="Q61" s="14" t="n">
        <f aca="false">IF(NOT(U61),0,IF(K61="Vacation",IF(C61="Eve",Settings!$B$11,1),IF(K61="Partial Vacation",O61/Settings!$B$9,0)))</f>
        <v>0</v>
      </c>
      <c r="R61" s="14" t="n">
        <f aca="false">IF(NOT(U61),0,IF(K61="Sick Leave",1,IF(K61="Partial Sick Leave",P61/Settings!$B$9,0)))</f>
        <v>0</v>
      </c>
      <c r="S61" s="35" t="str">
        <f aca="false">IF(AND(OR(E61="Vacation",E61="Sick Leave",E61="Partial Vacation",E61="Partial Sick Leave"),NOT(U61)),"Leave not allowed on this day",IF(AND(E61="Manual Work",OR(NOT(ISNUMBER(F61)),NOT(ISNUMBER(G61)))),"Enter start and end",IF(AND(OR(E61="Partial Vacation",E61="Partial Sick Leave"),OR(NOT(ISNUMBER(H61)),NOT(ISNUMBER(I61)))),"Enter leave from and to",IF(AND(ISNUMBER(F61),ISNUMBER(G61),G61&lt;=F61),"End is before start",IF(AND(ISNUMBER(H61),ISNUMBER(I61),I61&lt;=H61),"Leave end is before start",IF(AND(ISNUMBER(F61),ISNUMBER(G61),ISNUMBER(H61),ISNUMBER(I61),F61&lt;I61,H61&lt;G61),"Work and leave hours overlap",IF(AND(E61&lt;&gt;"",WEEKDAY(A61)=7),"Saturday - administrator only","")))))))</f>
        <v/>
      </c>
      <c r="T61" s="36" t="n">
        <f aca="false">MONTH(A61)</f>
        <v>2</v>
      </c>
      <c r="U61" s="37" t="b">
        <f aca="false">OR(C61="Workday",C61="Eve")</f>
        <v>1</v>
      </c>
      <c r="V61" s="34" t="n">
        <f aca="false">IF(C61="Eve",Settings!$B$8,Settings!$B$7)</f>
        <v>0.6875</v>
      </c>
      <c r="W61" s="14" t="n">
        <f aca="false">IF(U61,(V61-Settings!$B$6)*24,0)</f>
        <v>8.5</v>
      </c>
    </row>
    <row r="62" customFormat="false" ht="15" hidden="false" customHeight="false" outlineLevel="0" collapsed="false">
      <c r="A62" s="29" t="n">
        <v>46078</v>
      </c>
      <c r="B62" s="30" t="str">
        <f aca="false">CHOOSE(WEEKDAY(A62),"Sun","Mon","Tue","Wed","Thu","Fri","Sat")</f>
        <v>Wed</v>
      </c>
      <c r="C62" s="30" t="str">
        <f aca="false">IF(IFERROR(INDEX(Holidays!$D$5:$D$60,MATCH(A62,Holidays!$A$5:$A$60,0)),"")="Holiday","Holiday",IF(WEEKDAY(A62)&gt;=6,"Weekend",IF(IFERROR(INDEX(Holidays!$D$5:$D$60,MATCH(A62,Holidays!$A$5:$A$60,0)),"")="Eve","Eve","Workday")))</f>
        <v>Workday</v>
      </c>
      <c r="D62" s="18" t="str">
        <f aca="false">IFERROR(INDEX(Holidays!$C$5:$C$60,MATCH(A62,Holidays!$A$5:$A$60,0)),"")</f>
        <v/>
      </c>
      <c r="E62" s="31"/>
      <c r="F62" s="32"/>
      <c r="G62" s="32"/>
      <c r="H62" s="32"/>
      <c r="I62" s="32"/>
      <c r="J62" s="31"/>
      <c r="K62" s="33" t="str">
        <f aca="false">IF(E62&lt;&gt;"",E62,IF(U62,"Present",IF(C62="Holiday","Holiday","Weekend")))</f>
        <v>Present</v>
      </c>
      <c r="L62" s="34" t="n">
        <f aca="false">IF(OR(K62="Present",K62="Manual Work",K62="Partial Vacation",K62="Partial Sick Leave"),IF(ISNUMBER(F62),F62,IF(AND(K62="Present",U62),Settings!$B$6,"")),"")</f>
        <v>0.333333333333333</v>
      </c>
      <c r="M62" s="34" t="n">
        <f aca="false">IF(OR(K62="Present",K62="Manual Work",K62="Partial Vacation",K62="Partial Sick Leave"),IF(ISNUMBER(G62),G62,IF(AND(K62="Present",U62),V62,"")),"")</f>
        <v>0.6875</v>
      </c>
      <c r="N62" s="14" t="n">
        <f aca="false">IF(AND(ISNUMBER(L62),ISNUMBER(M62)),MAX(0,(M62-L62)*24),0)</f>
        <v>8.5</v>
      </c>
      <c r="O62" s="14" t="n">
        <f aca="false">IF(NOT(U62),0,IF(K62="Vacation",IF(C62="Eve",Settings!$B$9*Settings!$B$11,W62),IF(K62="Partial Vacation",IF(AND(ISNUMBER(H62),ISNUMBER(I62)),MAX(0,(I62-H62)*24),0),0)))</f>
        <v>0</v>
      </c>
      <c r="P62" s="14" t="n">
        <f aca="false">IF(NOT(U62),0,IF(K62="Sick Leave",W62,IF(K62="Partial Sick Leave",IF(AND(ISNUMBER(H62),ISNUMBER(I62)),MAX(0,(I62-H62)*24),0),0)))</f>
        <v>0</v>
      </c>
      <c r="Q62" s="14" t="n">
        <f aca="false">IF(NOT(U62),0,IF(K62="Vacation",IF(C62="Eve",Settings!$B$11,1),IF(K62="Partial Vacation",O62/Settings!$B$9,0)))</f>
        <v>0</v>
      </c>
      <c r="R62" s="14" t="n">
        <f aca="false">IF(NOT(U62),0,IF(K62="Sick Leave",1,IF(K62="Partial Sick Leave",P62/Settings!$B$9,0)))</f>
        <v>0</v>
      </c>
      <c r="S62" s="35" t="str">
        <f aca="false">IF(AND(OR(E62="Vacation",E62="Sick Leave",E62="Partial Vacation",E62="Partial Sick Leave"),NOT(U62)),"Leave not allowed on this day",IF(AND(E62="Manual Work",OR(NOT(ISNUMBER(F62)),NOT(ISNUMBER(G62)))),"Enter start and end",IF(AND(OR(E62="Partial Vacation",E62="Partial Sick Leave"),OR(NOT(ISNUMBER(H62)),NOT(ISNUMBER(I62)))),"Enter leave from and to",IF(AND(ISNUMBER(F62),ISNUMBER(G62),G62&lt;=F62),"End is before start",IF(AND(ISNUMBER(H62),ISNUMBER(I62),I62&lt;=H62),"Leave end is before start",IF(AND(ISNUMBER(F62),ISNUMBER(G62),ISNUMBER(H62),ISNUMBER(I62),F62&lt;I62,H62&lt;G62),"Work and leave hours overlap",IF(AND(E62&lt;&gt;"",WEEKDAY(A62)=7),"Saturday - administrator only","")))))))</f>
        <v/>
      </c>
      <c r="T62" s="36" t="n">
        <f aca="false">MONTH(A62)</f>
        <v>2</v>
      </c>
      <c r="U62" s="37" t="b">
        <f aca="false">OR(C62="Workday",C62="Eve")</f>
        <v>1</v>
      </c>
      <c r="V62" s="34" t="n">
        <f aca="false">IF(C62="Eve",Settings!$B$8,Settings!$B$7)</f>
        <v>0.6875</v>
      </c>
      <c r="W62" s="14" t="n">
        <f aca="false">IF(U62,(V62-Settings!$B$6)*24,0)</f>
        <v>8.5</v>
      </c>
    </row>
    <row r="63" customFormat="false" ht="15" hidden="false" customHeight="false" outlineLevel="0" collapsed="false">
      <c r="A63" s="29" t="n">
        <v>46079</v>
      </c>
      <c r="B63" s="30" t="str">
        <f aca="false">CHOOSE(WEEKDAY(A63),"Sun","Mon","Tue","Wed","Thu","Fri","Sat")</f>
        <v>Thu</v>
      </c>
      <c r="C63" s="30" t="str">
        <f aca="false">IF(IFERROR(INDEX(Holidays!$D$5:$D$60,MATCH(A63,Holidays!$A$5:$A$60,0)),"")="Holiday","Holiday",IF(WEEKDAY(A63)&gt;=6,"Weekend",IF(IFERROR(INDEX(Holidays!$D$5:$D$60,MATCH(A63,Holidays!$A$5:$A$60,0)),"")="Eve","Eve","Workday")))</f>
        <v>Workday</v>
      </c>
      <c r="D63" s="18" t="str">
        <f aca="false">IFERROR(INDEX(Holidays!$C$5:$C$60,MATCH(A63,Holidays!$A$5:$A$60,0)),"")</f>
        <v/>
      </c>
      <c r="E63" s="31"/>
      <c r="F63" s="32"/>
      <c r="G63" s="32"/>
      <c r="H63" s="32"/>
      <c r="I63" s="32"/>
      <c r="J63" s="31"/>
      <c r="K63" s="33" t="str">
        <f aca="false">IF(E63&lt;&gt;"",E63,IF(U63,"Present",IF(C63="Holiday","Holiday","Weekend")))</f>
        <v>Present</v>
      </c>
      <c r="L63" s="34" t="n">
        <f aca="false">IF(OR(K63="Present",K63="Manual Work",K63="Partial Vacation",K63="Partial Sick Leave"),IF(ISNUMBER(F63),F63,IF(AND(K63="Present",U63),Settings!$B$6,"")),"")</f>
        <v>0.333333333333333</v>
      </c>
      <c r="M63" s="34" t="n">
        <f aca="false">IF(OR(K63="Present",K63="Manual Work",K63="Partial Vacation",K63="Partial Sick Leave"),IF(ISNUMBER(G63),G63,IF(AND(K63="Present",U63),V63,"")),"")</f>
        <v>0.6875</v>
      </c>
      <c r="N63" s="14" t="n">
        <f aca="false">IF(AND(ISNUMBER(L63),ISNUMBER(M63)),MAX(0,(M63-L63)*24),0)</f>
        <v>8.5</v>
      </c>
      <c r="O63" s="14" t="n">
        <f aca="false">IF(NOT(U63),0,IF(K63="Vacation",IF(C63="Eve",Settings!$B$9*Settings!$B$11,W63),IF(K63="Partial Vacation",IF(AND(ISNUMBER(H63),ISNUMBER(I63)),MAX(0,(I63-H63)*24),0),0)))</f>
        <v>0</v>
      </c>
      <c r="P63" s="14" t="n">
        <f aca="false">IF(NOT(U63),0,IF(K63="Sick Leave",W63,IF(K63="Partial Sick Leave",IF(AND(ISNUMBER(H63),ISNUMBER(I63)),MAX(0,(I63-H63)*24),0),0)))</f>
        <v>0</v>
      </c>
      <c r="Q63" s="14" t="n">
        <f aca="false">IF(NOT(U63),0,IF(K63="Vacation",IF(C63="Eve",Settings!$B$11,1),IF(K63="Partial Vacation",O63/Settings!$B$9,0)))</f>
        <v>0</v>
      </c>
      <c r="R63" s="14" t="n">
        <f aca="false">IF(NOT(U63),0,IF(K63="Sick Leave",1,IF(K63="Partial Sick Leave",P63/Settings!$B$9,0)))</f>
        <v>0</v>
      </c>
      <c r="S63" s="35" t="str">
        <f aca="false">IF(AND(OR(E63="Vacation",E63="Sick Leave",E63="Partial Vacation",E63="Partial Sick Leave"),NOT(U63)),"Leave not allowed on this day",IF(AND(E63="Manual Work",OR(NOT(ISNUMBER(F63)),NOT(ISNUMBER(G63)))),"Enter start and end",IF(AND(OR(E63="Partial Vacation",E63="Partial Sick Leave"),OR(NOT(ISNUMBER(H63)),NOT(ISNUMBER(I63)))),"Enter leave from and to",IF(AND(ISNUMBER(F63),ISNUMBER(G63),G63&lt;=F63),"End is before start",IF(AND(ISNUMBER(H63),ISNUMBER(I63),I63&lt;=H63),"Leave end is before start",IF(AND(ISNUMBER(F63),ISNUMBER(G63),ISNUMBER(H63),ISNUMBER(I63),F63&lt;I63,H63&lt;G63),"Work and leave hours overlap",IF(AND(E63&lt;&gt;"",WEEKDAY(A63)=7),"Saturday - administrator only","")))))))</f>
        <v/>
      </c>
      <c r="T63" s="36" t="n">
        <f aca="false">MONTH(A63)</f>
        <v>2</v>
      </c>
      <c r="U63" s="37" t="b">
        <f aca="false">OR(C63="Workday",C63="Eve")</f>
        <v>1</v>
      </c>
      <c r="V63" s="34" t="n">
        <f aca="false">IF(C63="Eve",Settings!$B$8,Settings!$B$7)</f>
        <v>0.6875</v>
      </c>
      <c r="W63" s="14" t="n">
        <f aca="false">IF(U63,(V63-Settings!$B$6)*24,0)</f>
        <v>8.5</v>
      </c>
    </row>
    <row r="64" customFormat="false" ht="15" hidden="false" customHeight="false" outlineLevel="0" collapsed="false">
      <c r="A64" s="29" t="n">
        <v>46080</v>
      </c>
      <c r="B64" s="30" t="str">
        <f aca="false">CHOOSE(WEEKDAY(A64),"Sun","Mon","Tue","Wed","Thu","Fri","Sat")</f>
        <v>Fri</v>
      </c>
      <c r="C64" s="30" t="str">
        <f aca="false">IF(IFERROR(INDEX(Holidays!$D$5:$D$60,MATCH(A64,Holidays!$A$5:$A$60,0)),"")="Holiday","Holiday",IF(WEEKDAY(A64)&gt;=6,"Weekend",IF(IFERROR(INDEX(Holidays!$D$5:$D$60,MATCH(A64,Holidays!$A$5:$A$60,0)),"")="Eve","Eve","Workday")))</f>
        <v>Weekend</v>
      </c>
      <c r="D64" s="18" t="str">
        <f aca="false">IFERROR(INDEX(Holidays!$C$5:$C$60,MATCH(A64,Holidays!$A$5:$A$60,0)),"")</f>
        <v/>
      </c>
      <c r="E64" s="31"/>
      <c r="F64" s="32"/>
      <c r="G64" s="32"/>
      <c r="H64" s="32"/>
      <c r="I64" s="32"/>
      <c r="J64" s="31"/>
      <c r="K64" s="33" t="str">
        <f aca="false">IF(E64&lt;&gt;"",E64,IF(U64,"Present",IF(C64="Holiday","Holiday","Weekend")))</f>
        <v>Weekend</v>
      </c>
      <c r="L64" s="34" t="str">
        <f aca="false">IF(OR(K64="Present",K64="Manual Work",K64="Partial Vacation",K64="Partial Sick Leave"),IF(ISNUMBER(F64),F64,IF(AND(K64="Present",U64),Settings!$B$6,"")),"")</f>
        <v/>
      </c>
      <c r="M64" s="34" t="str">
        <f aca="false">IF(OR(K64="Present",K64="Manual Work",K64="Partial Vacation",K64="Partial Sick Leave"),IF(ISNUMBER(G64),G64,IF(AND(K64="Present",U64),V64,"")),"")</f>
        <v/>
      </c>
      <c r="N64" s="14" t="n">
        <f aca="false">IF(AND(ISNUMBER(L64),ISNUMBER(M64)),MAX(0,(M64-L64)*24),0)</f>
        <v>0</v>
      </c>
      <c r="O64" s="14" t="n">
        <f aca="false">IF(NOT(U64),0,IF(K64="Vacation",IF(C64="Eve",Settings!$B$9*Settings!$B$11,W64),IF(K64="Partial Vacation",IF(AND(ISNUMBER(H64),ISNUMBER(I64)),MAX(0,(I64-H64)*24),0),0)))</f>
        <v>0</v>
      </c>
      <c r="P64" s="14" t="n">
        <f aca="false">IF(NOT(U64),0,IF(K64="Sick Leave",W64,IF(K64="Partial Sick Leave",IF(AND(ISNUMBER(H64),ISNUMBER(I64)),MAX(0,(I64-H64)*24),0),0)))</f>
        <v>0</v>
      </c>
      <c r="Q64" s="14" t="n">
        <f aca="false">IF(NOT(U64),0,IF(K64="Vacation",IF(C64="Eve",Settings!$B$11,1),IF(K64="Partial Vacation",O64/Settings!$B$9,0)))</f>
        <v>0</v>
      </c>
      <c r="R64" s="14" t="n">
        <f aca="false">IF(NOT(U64),0,IF(K64="Sick Leave",1,IF(K64="Partial Sick Leave",P64/Settings!$B$9,0)))</f>
        <v>0</v>
      </c>
      <c r="S64" s="35" t="str">
        <f aca="false">IF(AND(OR(E64="Vacation",E64="Sick Leave",E64="Partial Vacation",E64="Partial Sick Leave"),NOT(U64)),"Leave not allowed on this day",IF(AND(E64="Manual Work",OR(NOT(ISNUMBER(F64)),NOT(ISNUMBER(G64)))),"Enter start and end",IF(AND(OR(E64="Partial Vacation",E64="Partial Sick Leave"),OR(NOT(ISNUMBER(H64)),NOT(ISNUMBER(I64)))),"Enter leave from and to",IF(AND(ISNUMBER(F64),ISNUMBER(G64),G64&lt;=F64),"End is before start",IF(AND(ISNUMBER(H64),ISNUMBER(I64),I64&lt;=H64),"Leave end is before start",IF(AND(ISNUMBER(F64),ISNUMBER(G64),ISNUMBER(H64),ISNUMBER(I64),F64&lt;I64,H64&lt;G64),"Work and leave hours overlap",IF(AND(E64&lt;&gt;"",WEEKDAY(A64)=7),"Saturday - administrator only","")))))))</f>
        <v/>
      </c>
      <c r="T64" s="36" t="n">
        <f aca="false">MONTH(A64)</f>
        <v>2</v>
      </c>
      <c r="U64" s="37" t="b">
        <f aca="false">OR(C64="Workday",C64="Eve")</f>
        <v>0</v>
      </c>
      <c r="V64" s="34" t="n">
        <f aca="false">IF(C64="Eve",Settings!$B$8,Settings!$B$7)</f>
        <v>0.6875</v>
      </c>
      <c r="W64" s="14" t="n">
        <f aca="false">IF(U64,(V64-Settings!$B$6)*24,0)</f>
        <v>0</v>
      </c>
    </row>
    <row r="65" customFormat="false" ht="15" hidden="false" customHeight="false" outlineLevel="0" collapsed="false">
      <c r="A65" s="29" t="n">
        <v>46081</v>
      </c>
      <c r="B65" s="30" t="str">
        <f aca="false">CHOOSE(WEEKDAY(A65),"Sun","Mon","Tue","Wed","Thu","Fri","Sat")</f>
        <v>Sat</v>
      </c>
      <c r="C65" s="30" t="str">
        <f aca="false">IF(IFERROR(INDEX(Holidays!$D$5:$D$60,MATCH(A65,Holidays!$A$5:$A$60,0)),"")="Holiday","Holiday",IF(WEEKDAY(A65)&gt;=6,"Weekend",IF(IFERROR(INDEX(Holidays!$D$5:$D$60,MATCH(A65,Holidays!$A$5:$A$60,0)),"")="Eve","Eve","Workday")))</f>
        <v>Weekend</v>
      </c>
      <c r="D65" s="18" t="str">
        <f aca="false">IFERROR(INDEX(Holidays!$C$5:$C$60,MATCH(A65,Holidays!$A$5:$A$60,0)),"")</f>
        <v/>
      </c>
      <c r="E65" s="31"/>
      <c r="F65" s="32"/>
      <c r="G65" s="32"/>
      <c r="H65" s="32"/>
      <c r="I65" s="32"/>
      <c r="J65" s="31"/>
      <c r="K65" s="33" t="str">
        <f aca="false">IF(E65&lt;&gt;"",E65,IF(U65,"Present",IF(C65="Holiday","Holiday","Weekend")))</f>
        <v>Weekend</v>
      </c>
      <c r="L65" s="34" t="str">
        <f aca="false">IF(OR(K65="Present",K65="Manual Work",K65="Partial Vacation",K65="Partial Sick Leave"),IF(ISNUMBER(F65),F65,IF(AND(K65="Present",U65),Settings!$B$6,"")),"")</f>
        <v/>
      </c>
      <c r="M65" s="34" t="str">
        <f aca="false">IF(OR(K65="Present",K65="Manual Work",K65="Partial Vacation",K65="Partial Sick Leave"),IF(ISNUMBER(G65),G65,IF(AND(K65="Present",U65),V65,"")),"")</f>
        <v/>
      </c>
      <c r="N65" s="14" t="n">
        <f aca="false">IF(AND(ISNUMBER(L65),ISNUMBER(M65)),MAX(0,(M65-L65)*24),0)</f>
        <v>0</v>
      </c>
      <c r="O65" s="14" t="n">
        <f aca="false">IF(NOT(U65),0,IF(K65="Vacation",IF(C65="Eve",Settings!$B$9*Settings!$B$11,W65),IF(K65="Partial Vacation",IF(AND(ISNUMBER(H65),ISNUMBER(I65)),MAX(0,(I65-H65)*24),0),0)))</f>
        <v>0</v>
      </c>
      <c r="P65" s="14" t="n">
        <f aca="false">IF(NOT(U65),0,IF(K65="Sick Leave",W65,IF(K65="Partial Sick Leave",IF(AND(ISNUMBER(H65),ISNUMBER(I65)),MAX(0,(I65-H65)*24),0),0)))</f>
        <v>0</v>
      </c>
      <c r="Q65" s="14" t="n">
        <f aca="false">IF(NOT(U65),0,IF(K65="Vacation",IF(C65="Eve",Settings!$B$11,1),IF(K65="Partial Vacation",O65/Settings!$B$9,0)))</f>
        <v>0</v>
      </c>
      <c r="R65" s="14" t="n">
        <f aca="false">IF(NOT(U65),0,IF(K65="Sick Leave",1,IF(K65="Partial Sick Leave",P65/Settings!$B$9,0)))</f>
        <v>0</v>
      </c>
      <c r="S65" s="35" t="str">
        <f aca="false">IF(AND(OR(E65="Vacation",E65="Sick Leave",E65="Partial Vacation",E65="Partial Sick Leave"),NOT(U65)),"Leave not allowed on this day",IF(AND(E65="Manual Work",OR(NOT(ISNUMBER(F65)),NOT(ISNUMBER(G65)))),"Enter start and end",IF(AND(OR(E65="Partial Vacation",E65="Partial Sick Leave"),OR(NOT(ISNUMBER(H65)),NOT(ISNUMBER(I65)))),"Enter leave from and to",IF(AND(ISNUMBER(F65),ISNUMBER(G65),G65&lt;=F65),"End is before start",IF(AND(ISNUMBER(H65),ISNUMBER(I65),I65&lt;=H65),"Leave end is before start",IF(AND(ISNUMBER(F65),ISNUMBER(G65),ISNUMBER(H65),ISNUMBER(I65),F65&lt;I65,H65&lt;G65),"Work and leave hours overlap",IF(AND(E65&lt;&gt;"",WEEKDAY(A65)=7),"Saturday - administrator only","")))))))</f>
        <v/>
      </c>
      <c r="T65" s="36" t="n">
        <f aca="false">MONTH(A65)</f>
        <v>2</v>
      </c>
      <c r="U65" s="37" t="b">
        <f aca="false">OR(C65="Workday",C65="Eve")</f>
        <v>0</v>
      </c>
      <c r="V65" s="34" t="n">
        <f aca="false">IF(C65="Eve",Settings!$B$8,Settings!$B$7)</f>
        <v>0.6875</v>
      </c>
      <c r="W65" s="14" t="n">
        <f aca="false">IF(U65,(V65-Settings!$B$6)*24,0)</f>
        <v>0</v>
      </c>
    </row>
    <row r="66" customFormat="false" ht="15" hidden="false" customHeight="false" outlineLevel="0" collapsed="false">
      <c r="A66" s="29" t="n">
        <v>46082</v>
      </c>
      <c r="B66" s="30" t="str">
        <f aca="false">CHOOSE(WEEKDAY(A66),"Sun","Mon","Tue","Wed","Thu","Fri","Sat")</f>
        <v>Sun</v>
      </c>
      <c r="C66" s="30" t="str">
        <f aca="false">IF(IFERROR(INDEX(Holidays!$D$5:$D$60,MATCH(A66,Holidays!$A$5:$A$60,0)),"")="Holiday","Holiday",IF(WEEKDAY(A66)&gt;=6,"Weekend",IF(IFERROR(INDEX(Holidays!$D$5:$D$60,MATCH(A66,Holidays!$A$5:$A$60,0)),"")="Eve","Eve","Workday")))</f>
        <v>Workday</v>
      </c>
      <c r="D66" s="18" t="str">
        <f aca="false">IFERROR(INDEX(Holidays!$C$5:$C$60,MATCH(A66,Holidays!$A$5:$A$60,0)),"")</f>
        <v/>
      </c>
      <c r="E66" s="31"/>
      <c r="F66" s="32"/>
      <c r="G66" s="32"/>
      <c r="H66" s="32"/>
      <c r="I66" s="32"/>
      <c r="J66" s="31"/>
      <c r="K66" s="33" t="str">
        <f aca="false">IF(E66&lt;&gt;"",E66,IF(U66,"Present",IF(C66="Holiday","Holiday","Weekend")))</f>
        <v>Present</v>
      </c>
      <c r="L66" s="34" t="n">
        <f aca="false">IF(OR(K66="Present",K66="Manual Work",K66="Partial Vacation",K66="Partial Sick Leave"),IF(ISNUMBER(F66),F66,IF(AND(K66="Present",U66),Settings!$B$6,"")),"")</f>
        <v>0.333333333333333</v>
      </c>
      <c r="M66" s="34" t="n">
        <f aca="false">IF(OR(K66="Present",K66="Manual Work",K66="Partial Vacation",K66="Partial Sick Leave"),IF(ISNUMBER(G66),G66,IF(AND(K66="Present",U66),V66,"")),"")</f>
        <v>0.6875</v>
      </c>
      <c r="N66" s="14" t="n">
        <f aca="false">IF(AND(ISNUMBER(L66),ISNUMBER(M66)),MAX(0,(M66-L66)*24),0)</f>
        <v>8.5</v>
      </c>
      <c r="O66" s="14" t="n">
        <f aca="false">IF(NOT(U66),0,IF(K66="Vacation",IF(C66="Eve",Settings!$B$9*Settings!$B$11,W66),IF(K66="Partial Vacation",IF(AND(ISNUMBER(H66),ISNUMBER(I66)),MAX(0,(I66-H66)*24),0),0)))</f>
        <v>0</v>
      </c>
      <c r="P66" s="14" t="n">
        <f aca="false">IF(NOT(U66),0,IF(K66="Sick Leave",W66,IF(K66="Partial Sick Leave",IF(AND(ISNUMBER(H66),ISNUMBER(I66)),MAX(0,(I66-H66)*24),0),0)))</f>
        <v>0</v>
      </c>
      <c r="Q66" s="14" t="n">
        <f aca="false">IF(NOT(U66),0,IF(K66="Vacation",IF(C66="Eve",Settings!$B$11,1),IF(K66="Partial Vacation",O66/Settings!$B$9,0)))</f>
        <v>0</v>
      </c>
      <c r="R66" s="14" t="n">
        <f aca="false">IF(NOT(U66),0,IF(K66="Sick Leave",1,IF(K66="Partial Sick Leave",P66/Settings!$B$9,0)))</f>
        <v>0</v>
      </c>
      <c r="S66" s="35" t="str">
        <f aca="false">IF(AND(OR(E66="Vacation",E66="Sick Leave",E66="Partial Vacation",E66="Partial Sick Leave"),NOT(U66)),"Leave not allowed on this day",IF(AND(E66="Manual Work",OR(NOT(ISNUMBER(F66)),NOT(ISNUMBER(G66)))),"Enter start and end",IF(AND(OR(E66="Partial Vacation",E66="Partial Sick Leave"),OR(NOT(ISNUMBER(H66)),NOT(ISNUMBER(I66)))),"Enter leave from and to",IF(AND(ISNUMBER(F66),ISNUMBER(G66),G66&lt;=F66),"End is before start",IF(AND(ISNUMBER(H66),ISNUMBER(I66),I66&lt;=H66),"Leave end is before start",IF(AND(ISNUMBER(F66),ISNUMBER(G66),ISNUMBER(H66),ISNUMBER(I66),F66&lt;I66,H66&lt;G66),"Work and leave hours overlap",IF(AND(E66&lt;&gt;"",WEEKDAY(A66)=7),"Saturday - administrator only","")))))))</f>
        <v/>
      </c>
      <c r="T66" s="36" t="n">
        <f aca="false">MONTH(A66)</f>
        <v>3</v>
      </c>
      <c r="U66" s="37" t="b">
        <f aca="false">OR(C66="Workday",C66="Eve")</f>
        <v>1</v>
      </c>
      <c r="V66" s="34" t="n">
        <f aca="false">IF(C66="Eve",Settings!$B$8,Settings!$B$7)</f>
        <v>0.6875</v>
      </c>
      <c r="W66" s="14" t="n">
        <f aca="false">IF(U66,(V66-Settings!$B$6)*24,0)</f>
        <v>8.5</v>
      </c>
    </row>
    <row r="67" customFormat="false" ht="15" hidden="false" customHeight="false" outlineLevel="0" collapsed="false">
      <c r="A67" s="29" t="n">
        <v>46083</v>
      </c>
      <c r="B67" s="30" t="str">
        <f aca="false">CHOOSE(WEEKDAY(A67),"Sun","Mon","Tue","Wed","Thu","Fri","Sat")</f>
        <v>Mon</v>
      </c>
      <c r="C67" s="30" t="str">
        <f aca="false">IF(IFERROR(INDEX(Holidays!$D$5:$D$60,MATCH(A67,Holidays!$A$5:$A$60,0)),"")="Holiday","Holiday",IF(WEEKDAY(A67)&gt;=6,"Weekend",IF(IFERROR(INDEX(Holidays!$D$5:$D$60,MATCH(A67,Holidays!$A$5:$A$60,0)),"")="Eve","Eve","Workday")))</f>
        <v>Workday</v>
      </c>
      <c r="D67" s="18" t="str">
        <f aca="false">IFERROR(INDEX(Holidays!$C$5:$C$60,MATCH(A67,Holidays!$A$5:$A$60,0)),"")</f>
        <v/>
      </c>
      <c r="E67" s="31"/>
      <c r="F67" s="32"/>
      <c r="G67" s="32"/>
      <c r="H67" s="32"/>
      <c r="I67" s="32"/>
      <c r="J67" s="31"/>
      <c r="K67" s="33" t="str">
        <f aca="false">IF(E67&lt;&gt;"",E67,IF(U67,"Present",IF(C67="Holiday","Holiday","Weekend")))</f>
        <v>Present</v>
      </c>
      <c r="L67" s="34" t="n">
        <f aca="false">IF(OR(K67="Present",K67="Manual Work",K67="Partial Vacation",K67="Partial Sick Leave"),IF(ISNUMBER(F67),F67,IF(AND(K67="Present",U67),Settings!$B$6,"")),"")</f>
        <v>0.333333333333333</v>
      </c>
      <c r="M67" s="34" t="n">
        <f aca="false">IF(OR(K67="Present",K67="Manual Work",K67="Partial Vacation",K67="Partial Sick Leave"),IF(ISNUMBER(G67),G67,IF(AND(K67="Present",U67),V67,"")),"")</f>
        <v>0.6875</v>
      </c>
      <c r="N67" s="14" t="n">
        <f aca="false">IF(AND(ISNUMBER(L67),ISNUMBER(M67)),MAX(0,(M67-L67)*24),0)</f>
        <v>8.5</v>
      </c>
      <c r="O67" s="14" t="n">
        <f aca="false">IF(NOT(U67),0,IF(K67="Vacation",IF(C67="Eve",Settings!$B$9*Settings!$B$11,W67),IF(K67="Partial Vacation",IF(AND(ISNUMBER(H67),ISNUMBER(I67)),MAX(0,(I67-H67)*24),0),0)))</f>
        <v>0</v>
      </c>
      <c r="P67" s="14" t="n">
        <f aca="false">IF(NOT(U67),0,IF(K67="Sick Leave",W67,IF(K67="Partial Sick Leave",IF(AND(ISNUMBER(H67),ISNUMBER(I67)),MAX(0,(I67-H67)*24),0),0)))</f>
        <v>0</v>
      </c>
      <c r="Q67" s="14" t="n">
        <f aca="false">IF(NOT(U67),0,IF(K67="Vacation",IF(C67="Eve",Settings!$B$11,1),IF(K67="Partial Vacation",O67/Settings!$B$9,0)))</f>
        <v>0</v>
      </c>
      <c r="R67" s="14" t="n">
        <f aca="false">IF(NOT(U67),0,IF(K67="Sick Leave",1,IF(K67="Partial Sick Leave",P67/Settings!$B$9,0)))</f>
        <v>0</v>
      </c>
      <c r="S67" s="35" t="str">
        <f aca="false">IF(AND(OR(E67="Vacation",E67="Sick Leave",E67="Partial Vacation",E67="Partial Sick Leave"),NOT(U67)),"Leave not allowed on this day",IF(AND(E67="Manual Work",OR(NOT(ISNUMBER(F67)),NOT(ISNUMBER(G67)))),"Enter start and end",IF(AND(OR(E67="Partial Vacation",E67="Partial Sick Leave"),OR(NOT(ISNUMBER(H67)),NOT(ISNUMBER(I67)))),"Enter leave from and to",IF(AND(ISNUMBER(F67),ISNUMBER(G67),G67&lt;=F67),"End is before start",IF(AND(ISNUMBER(H67),ISNUMBER(I67),I67&lt;=H67),"Leave end is before start",IF(AND(ISNUMBER(F67),ISNUMBER(G67),ISNUMBER(H67),ISNUMBER(I67),F67&lt;I67,H67&lt;G67),"Work and leave hours overlap",IF(AND(E67&lt;&gt;"",WEEKDAY(A67)=7),"Saturday - administrator only","")))))))</f>
        <v/>
      </c>
      <c r="T67" s="36" t="n">
        <f aca="false">MONTH(A67)</f>
        <v>3</v>
      </c>
      <c r="U67" s="37" t="b">
        <f aca="false">OR(C67="Workday",C67="Eve")</f>
        <v>1</v>
      </c>
      <c r="V67" s="34" t="n">
        <f aca="false">IF(C67="Eve",Settings!$B$8,Settings!$B$7)</f>
        <v>0.6875</v>
      </c>
      <c r="W67" s="14" t="n">
        <f aca="false">IF(U67,(V67-Settings!$B$6)*24,0)</f>
        <v>8.5</v>
      </c>
    </row>
    <row r="68" customFormat="false" ht="15" hidden="false" customHeight="false" outlineLevel="0" collapsed="false">
      <c r="A68" s="29" t="n">
        <v>46084</v>
      </c>
      <c r="B68" s="30" t="str">
        <f aca="false">CHOOSE(WEEKDAY(A68),"Sun","Mon","Tue","Wed","Thu","Fri","Sat")</f>
        <v>Tue</v>
      </c>
      <c r="C68" s="30" t="str">
        <f aca="false">IF(IFERROR(INDEX(Holidays!$D$5:$D$60,MATCH(A68,Holidays!$A$5:$A$60,0)),"")="Holiday","Holiday",IF(WEEKDAY(A68)&gt;=6,"Weekend",IF(IFERROR(INDEX(Holidays!$D$5:$D$60,MATCH(A68,Holidays!$A$5:$A$60,0)),"")="Eve","Eve","Workday")))</f>
        <v>Workday</v>
      </c>
      <c r="D68" s="18" t="str">
        <f aca="false">IFERROR(INDEX(Holidays!$C$5:$C$60,MATCH(A68,Holidays!$A$5:$A$60,0)),"")</f>
        <v/>
      </c>
      <c r="E68" s="31"/>
      <c r="F68" s="32"/>
      <c r="G68" s="32"/>
      <c r="H68" s="32"/>
      <c r="I68" s="32"/>
      <c r="J68" s="31"/>
      <c r="K68" s="33" t="str">
        <f aca="false">IF(E68&lt;&gt;"",E68,IF(U68,"Present",IF(C68="Holiday","Holiday","Weekend")))</f>
        <v>Present</v>
      </c>
      <c r="L68" s="34" t="n">
        <f aca="false">IF(OR(K68="Present",K68="Manual Work",K68="Partial Vacation",K68="Partial Sick Leave"),IF(ISNUMBER(F68),F68,IF(AND(K68="Present",U68),Settings!$B$6,"")),"")</f>
        <v>0.333333333333333</v>
      </c>
      <c r="M68" s="34" t="n">
        <f aca="false">IF(OR(K68="Present",K68="Manual Work",K68="Partial Vacation",K68="Partial Sick Leave"),IF(ISNUMBER(G68),G68,IF(AND(K68="Present",U68),V68,"")),"")</f>
        <v>0.6875</v>
      </c>
      <c r="N68" s="14" t="n">
        <f aca="false">IF(AND(ISNUMBER(L68),ISNUMBER(M68)),MAX(0,(M68-L68)*24),0)</f>
        <v>8.5</v>
      </c>
      <c r="O68" s="14" t="n">
        <f aca="false">IF(NOT(U68),0,IF(K68="Vacation",IF(C68="Eve",Settings!$B$9*Settings!$B$11,W68),IF(K68="Partial Vacation",IF(AND(ISNUMBER(H68),ISNUMBER(I68)),MAX(0,(I68-H68)*24),0),0)))</f>
        <v>0</v>
      </c>
      <c r="P68" s="14" t="n">
        <f aca="false">IF(NOT(U68),0,IF(K68="Sick Leave",W68,IF(K68="Partial Sick Leave",IF(AND(ISNUMBER(H68),ISNUMBER(I68)),MAX(0,(I68-H68)*24),0),0)))</f>
        <v>0</v>
      </c>
      <c r="Q68" s="14" t="n">
        <f aca="false">IF(NOT(U68),0,IF(K68="Vacation",IF(C68="Eve",Settings!$B$11,1),IF(K68="Partial Vacation",O68/Settings!$B$9,0)))</f>
        <v>0</v>
      </c>
      <c r="R68" s="14" t="n">
        <f aca="false">IF(NOT(U68),0,IF(K68="Sick Leave",1,IF(K68="Partial Sick Leave",P68/Settings!$B$9,0)))</f>
        <v>0</v>
      </c>
      <c r="S68" s="35" t="str">
        <f aca="false">IF(AND(OR(E68="Vacation",E68="Sick Leave",E68="Partial Vacation",E68="Partial Sick Leave"),NOT(U68)),"Leave not allowed on this day",IF(AND(E68="Manual Work",OR(NOT(ISNUMBER(F68)),NOT(ISNUMBER(G68)))),"Enter start and end",IF(AND(OR(E68="Partial Vacation",E68="Partial Sick Leave"),OR(NOT(ISNUMBER(H68)),NOT(ISNUMBER(I68)))),"Enter leave from and to",IF(AND(ISNUMBER(F68),ISNUMBER(G68),G68&lt;=F68),"End is before start",IF(AND(ISNUMBER(H68),ISNUMBER(I68),I68&lt;=H68),"Leave end is before start",IF(AND(ISNUMBER(F68),ISNUMBER(G68),ISNUMBER(H68),ISNUMBER(I68),F68&lt;I68,H68&lt;G68),"Work and leave hours overlap",IF(AND(E68&lt;&gt;"",WEEKDAY(A68)=7),"Saturday - administrator only","")))))))</f>
        <v/>
      </c>
      <c r="T68" s="36" t="n">
        <f aca="false">MONTH(A68)</f>
        <v>3</v>
      </c>
      <c r="U68" s="37" t="b">
        <f aca="false">OR(C68="Workday",C68="Eve")</f>
        <v>1</v>
      </c>
      <c r="V68" s="34" t="n">
        <f aca="false">IF(C68="Eve",Settings!$B$8,Settings!$B$7)</f>
        <v>0.6875</v>
      </c>
      <c r="W68" s="14" t="n">
        <f aca="false">IF(U68,(V68-Settings!$B$6)*24,0)</f>
        <v>8.5</v>
      </c>
    </row>
    <row r="69" customFormat="false" ht="15" hidden="false" customHeight="false" outlineLevel="0" collapsed="false">
      <c r="A69" s="29" t="n">
        <v>46085</v>
      </c>
      <c r="B69" s="30" t="str">
        <f aca="false">CHOOSE(WEEKDAY(A69),"Sun","Mon","Tue","Wed","Thu","Fri","Sat")</f>
        <v>Wed</v>
      </c>
      <c r="C69" s="30" t="str">
        <f aca="false">IF(IFERROR(INDEX(Holidays!$D$5:$D$60,MATCH(A69,Holidays!$A$5:$A$60,0)),"")="Holiday","Holiday",IF(WEEKDAY(A69)&gt;=6,"Weekend",IF(IFERROR(INDEX(Holidays!$D$5:$D$60,MATCH(A69,Holidays!$A$5:$A$60,0)),"")="Eve","Eve","Workday")))</f>
        <v>Workday</v>
      </c>
      <c r="D69" s="18" t="str">
        <f aca="false">IFERROR(INDEX(Holidays!$C$5:$C$60,MATCH(A69,Holidays!$A$5:$A$60,0)),"")</f>
        <v/>
      </c>
      <c r="E69" s="31"/>
      <c r="F69" s="32"/>
      <c r="G69" s="32"/>
      <c r="H69" s="32"/>
      <c r="I69" s="32"/>
      <c r="J69" s="31"/>
      <c r="K69" s="33" t="str">
        <f aca="false">IF(E69&lt;&gt;"",E69,IF(U69,"Present",IF(C69="Holiday","Holiday","Weekend")))</f>
        <v>Present</v>
      </c>
      <c r="L69" s="34" t="n">
        <f aca="false">IF(OR(K69="Present",K69="Manual Work",K69="Partial Vacation",K69="Partial Sick Leave"),IF(ISNUMBER(F69),F69,IF(AND(K69="Present",U69),Settings!$B$6,"")),"")</f>
        <v>0.333333333333333</v>
      </c>
      <c r="M69" s="34" t="n">
        <f aca="false">IF(OR(K69="Present",K69="Manual Work",K69="Partial Vacation",K69="Partial Sick Leave"),IF(ISNUMBER(G69),G69,IF(AND(K69="Present",U69),V69,"")),"")</f>
        <v>0.6875</v>
      </c>
      <c r="N69" s="14" t="n">
        <f aca="false">IF(AND(ISNUMBER(L69),ISNUMBER(M69)),MAX(0,(M69-L69)*24),0)</f>
        <v>8.5</v>
      </c>
      <c r="O69" s="14" t="n">
        <f aca="false">IF(NOT(U69),0,IF(K69="Vacation",IF(C69="Eve",Settings!$B$9*Settings!$B$11,W69),IF(K69="Partial Vacation",IF(AND(ISNUMBER(H69),ISNUMBER(I69)),MAX(0,(I69-H69)*24),0),0)))</f>
        <v>0</v>
      </c>
      <c r="P69" s="14" t="n">
        <f aca="false">IF(NOT(U69),0,IF(K69="Sick Leave",W69,IF(K69="Partial Sick Leave",IF(AND(ISNUMBER(H69),ISNUMBER(I69)),MAX(0,(I69-H69)*24),0),0)))</f>
        <v>0</v>
      </c>
      <c r="Q69" s="14" t="n">
        <f aca="false">IF(NOT(U69),0,IF(K69="Vacation",IF(C69="Eve",Settings!$B$11,1),IF(K69="Partial Vacation",O69/Settings!$B$9,0)))</f>
        <v>0</v>
      </c>
      <c r="R69" s="14" t="n">
        <f aca="false">IF(NOT(U69),0,IF(K69="Sick Leave",1,IF(K69="Partial Sick Leave",P69/Settings!$B$9,0)))</f>
        <v>0</v>
      </c>
      <c r="S69" s="35" t="str">
        <f aca="false">IF(AND(OR(E69="Vacation",E69="Sick Leave",E69="Partial Vacation",E69="Partial Sick Leave"),NOT(U69)),"Leave not allowed on this day",IF(AND(E69="Manual Work",OR(NOT(ISNUMBER(F69)),NOT(ISNUMBER(G69)))),"Enter start and end",IF(AND(OR(E69="Partial Vacation",E69="Partial Sick Leave"),OR(NOT(ISNUMBER(H69)),NOT(ISNUMBER(I69)))),"Enter leave from and to",IF(AND(ISNUMBER(F69),ISNUMBER(G69),G69&lt;=F69),"End is before start",IF(AND(ISNUMBER(H69),ISNUMBER(I69),I69&lt;=H69),"Leave end is before start",IF(AND(ISNUMBER(F69),ISNUMBER(G69),ISNUMBER(H69),ISNUMBER(I69),F69&lt;I69,H69&lt;G69),"Work and leave hours overlap",IF(AND(E69&lt;&gt;"",WEEKDAY(A69)=7),"Saturday - administrator only","")))))))</f>
        <v/>
      </c>
      <c r="T69" s="36" t="n">
        <f aca="false">MONTH(A69)</f>
        <v>3</v>
      </c>
      <c r="U69" s="37" t="b">
        <f aca="false">OR(C69="Workday",C69="Eve")</f>
        <v>1</v>
      </c>
      <c r="V69" s="34" t="n">
        <f aca="false">IF(C69="Eve",Settings!$B$8,Settings!$B$7)</f>
        <v>0.6875</v>
      </c>
      <c r="W69" s="14" t="n">
        <f aca="false">IF(U69,(V69-Settings!$B$6)*24,0)</f>
        <v>8.5</v>
      </c>
    </row>
    <row r="70" customFormat="false" ht="15" hidden="false" customHeight="false" outlineLevel="0" collapsed="false">
      <c r="A70" s="29" t="n">
        <v>46086</v>
      </c>
      <c r="B70" s="30" t="str">
        <f aca="false">CHOOSE(WEEKDAY(A70),"Sun","Mon","Tue","Wed","Thu","Fri","Sat")</f>
        <v>Thu</v>
      </c>
      <c r="C70" s="30" t="str">
        <f aca="false">IF(IFERROR(INDEX(Holidays!$D$5:$D$60,MATCH(A70,Holidays!$A$5:$A$60,0)),"")="Holiday","Holiday",IF(WEEKDAY(A70)&gt;=6,"Weekend",IF(IFERROR(INDEX(Holidays!$D$5:$D$60,MATCH(A70,Holidays!$A$5:$A$60,0)),"")="Eve","Eve","Workday")))</f>
        <v>Workday</v>
      </c>
      <c r="D70" s="18" t="str">
        <f aca="false">IFERROR(INDEX(Holidays!$C$5:$C$60,MATCH(A70,Holidays!$A$5:$A$60,0)),"")</f>
        <v/>
      </c>
      <c r="E70" s="31"/>
      <c r="F70" s="32"/>
      <c r="G70" s="32"/>
      <c r="H70" s="32"/>
      <c r="I70" s="32"/>
      <c r="J70" s="31"/>
      <c r="K70" s="33" t="str">
        <f aca="false">IF(E70&lt;&gt;"",E70,IF(U70,"Present",IF(C70="Holiday","Holiday","Weekend")))</f>
        <v>Present</v>
      </c>
      <c r="L70" s="34" t="n">
        <f aca="false">IF(OR(K70="Present",K70="Manual Work",K70="Partial Vacation",K70="Partial Sick Leave"),IF(ISNUMBER(F70),F70,IF(AND(K70="Present",U70),Settings!$B$6,"")),"")</f>
        <v>0.333333333333333</v>
      </c>
      <c r="M70" s="34" t="n">
        <f aca="false">IF(OR(K70="Present",K70="Manual Work",K70="Partial Vacation",K70="Partial Sick Leave"),IF(ISNUMBER(G70),G70,IF(AND(K70="Present",U70),V70,"")),"")</f>
        <v>0.6875</v>
      </c>
      <c r="N70" s="14" t="n">
        <f aca="false">IF(AND(ISNUMBER(L70),ISNUMBER(M70)),MAX(0,(M70-L70)*24),0)</f>
        <v>8.5</v>
      </c>
      <c r="O70" s="14" t="n">
        <f aca="false">IF(NOT(U70),0,IF(K70="Vacation",IF(C70="Eve",Settings!$B$9*Settings!$B$11,W70),IF(K70="Partial Vacation",IF(AND(ISNUMBER(H70),ISNUMBER(I70)),MAX(0,(I70-H70)*24),0),0)))</f>
        <v>0</v>
      </c>
      <c r="P70" s="14" t="n">
        <f aca="false">IF(NOT(U70),0,IF(K70="Sick Leave",W70,IF(K70="Partial Sick Leave",IF(AND(ISNUMBER(H70),ISNUMBER(I70)),MAX(0,(I70-H70)*24),0),0)))</f>
        <v>0</v>
      </c>
      <c r="Q70" s="14" t="n">
        <f aca="false">IF(NOT(U70),0,IF(K70="Vacation",IF(C70="Eve",Settings!$B$11,1),IF(K70="Partial Vacation",O70/Settings!$B$9,0)))</f>
        <v>0</v>
      </c>
      <c r="R70" s="14" t="n">
        <f aca="false">IF(NOT(U70),0,IF(K70="Sick Leave",1,IF(K70="Partial Sick Leave",P70/Settings!$B$9,0)))</f>
        <v>0</v>
      </c>
      <c r="S70" s="35" t="str">
        <f aca="false">IF(AND(OR(E70="Vacation",E70="Sick Leave",E70="Partial Vacation",E70="Partial Sick Leave"),NOT(U70)),"Leave not allowed on this day",IF(AND(E70="Manual Work",OR(NOT(ISNUMBER(F70)),NOT(ISNUMBER(G70)))),"Enter start and end",IF(AND(OR(E70="Partial Vacation",E70="Partial Sick Leave"),OR(NOT(ISNUMBER(H70)),NOT(ISNUMBER(I70)))),"Enter leave from and to",IF(AND(ISNUMBER(F70),ISNUMBER(G70),G70&lt;=F70),"End is before start",IF(AND(ISNUMBER(H70),ISNUMBER(I70),I70&lt;=H70),"Leave end is before start",IF(AND(ISNUMBER(F70),ISNUMBER(G70),ISNUMBER(H70),ISNUMBER(I70),F70&lt;I70,H70&lt;G70),"Work and leave hours overlap",IF(AND(E70&lt;&gt;"",WEEKDAY(A70)=7),"Saturday - administrator only","")))))))</f>
        <v/>
      </c>
      <c r="T70" s="36" t="n">
        <f aca="false">MONTH(A70)</f>
        <v>3</v>
      </c>
      <c r="U70" s="37" t="b">
        <f aca="false">OR(C70="Workday",C70="Eve")</f>
        <v>1</v>
      </c>
      <c r="V70" s="34" t="n">
        <f aca="false">IF(C70="Eve",Settings!$B$8,Settings!$B$7)</f>
        <v>0.6875</v>
      </c>
      <c r="W70" s="14" t="n">
        <f aca="false">IF(U70,(V70-Settings!$B$6)*24,0)</f>
        <v>8.5</v>
      </c>
    </row>
    <row r="71" customFormat="false" ht="15" hidden="false" customHeight="false" outlineLevel="0" collapsed="false">
      <c r="A71" s="29" t="n">
        <v>46087</v>
      </c>
      <c r="B71" s="30" t="str">
        <f aca="false">CHOOSE(WEEKDAY(A71),"Sun","Mon","Tue","Wed","Thu","Fri","Sat")</f>
        <v>Fri</v>
      </c>
      <c r="C71" s="30" t="str">
        <f aca="false">IF(IFERROR(INDEX(Holidays!$D$5:$D$60,MATCH(A71,Holidays!$A$5:$A$60,0)),"")="Holiday","Holiday",IF(WEEKDAY(A71)&gt;=6,"Weekend",IF(IFERROR(INDEX(Holidays!$D$5:$D$60,MATCH(A71,Holidays!$A$5:$A$60,0)),"")="Eve","Eve","Workday")))</f>
        <v>Weekend</v>
      </c>
      <c r="D71" s="18" t="str">
        <f aca="false">IFERROR(INDEX(Holidays!$C$5:$C$60,MATCH(A71,Holidays!$A$5:$A$60,0)),"")</f>
        <v/>
      </c>
      <c r="E71" s="31"/>
      <c r="F71" s="32"/>
      <c r="G71" s="32"/>
      <c r="H71" s="32"/>
      <c r="I71" s="32"/>
      <c r="J71" s="31"/>
      <c r="K71" s="33" t="str">
        <f aca="false">IF(E71&lt;&gt;"",E71,IF(U71,"Present",IF(C71="Holiday","Holiday","Weekend")))</f>
        <v>Weekend</v>
      </c>
      <c r="L71" s="34" t="str">
        <f aca="false">IF(OR(K71="Present",K71="Manual Work",K71="Partial Vacation",K71="Partial Sick Leave"),IF(ISNUMBER(F71),F71,IF(AND(K71="Present",U71),Settings!$B$6,"")),"")</f>
        <v/>
      </c>
      <c r="M71" s="34" t="str">
        <f aca="false">IF(OR(K71="Present",K71="Manual Work",K71="Partial Vacation",K71="Partial Sick Leave"),IF(ISNUMBER(G71),G71,IF(AND(K71="Present",U71),V71,"")),"")</f>
        <v/>
      </c>
      <c r="N71" s="14" t="n">
        <f aca="false">IF(AND(ISNUMBER(L71),ISNUMBER(M71)),MAX(0,(M71-L71)*24),0)</f>
        <v>0</v>
      </c>
      <c r="O71" s="14" t="n">
        <f aca="false">IF(NOT(U71),0,IF(K71="Vacation",IF(C71="Eve",Settings!$B$9*Settings!$B$11,W71),IF(K71="Partial Vacation",IF(AND(ISNUMBER(H71),ISNUMBER(I71)),MAX(0,(I71-H71)*24),0),0)))</f>
        <v>0</v>
      </c>
      <c r="P71" s="14" t="n">
        <f aca="false">IF(NOT(U71),0,IF(K71="Sick Leave",W71,IF(K71="Partial Sick Leave",IF(AND(ISNUMBER(H71),ISNUMBER(I71)),MAX(0,(I71-H71)*24),0),0)))</f>
        <v>0</v>
      </c>
      <c r="Q71" s="14" t="n">
        <f aca="false">IF(NOT(U71),0,IF(K71="Vacation",IF(C71="Eve",Settings!$B$11,1),IF(K71="Partial Vacation",O71/Settings!$B$9,0)))</f>
        <v>0</v>
      </c>
      <c r="R71" s="14" t="n">
        <f aca="false">IF(NOT(U71),0,IF(K71="Sick Leave",1,IF(K71="Partial Sick Leave",P71/Settings!$B$9,0)))</f>
        <v>0</v>
      </c>
      <c r="S71" s="35" t="str">
        <f aca="false">IF(AND(OR(E71="Vacation",E71="Sick Leave",E71="Partial Vacation",E71="Partial Sick Leave"),NOT(U71)),"Leave not allowed on this day",IF(AND(E71="Manual Work",OR(NOT(ISNUMBER(F71)),NOT(ISNUMBER(G71)))),"Enter start and end",IF(AND(OR(E71="Partial Vacation",E71="Partial Sick Leave"),OR(NOT(ISNUMBER(H71)),NOT(ISNUMBER(I71)))),"Enter leave from and to",IF(AND(ISNUMBER(F71),ISNUMBER(G71),G71&lt;=F71),"End is before start",IF(AND(ISNUMBER(H71),ISNUMBER(I71),I71&lt;=H71),"Leave end is before start",IF(AND(ISNUMBER(F71),ISNUMBER(G71),ISNUMBER(H71),ISNUMBER(I71),F71&lt;I71,H71&lt;G71),"Work and leave hours overlap",IF(AND(E71&lt;&gt;"",WEEKDAY(A71)=7),"Saturday - administrator only","")))))))</f>
        <v/>
      </c>
      <c r="T71" s="36" t="n">
        <f aca="false">MONTH(A71)</f>
        <v>3</v>
      </c>
      <c r="U71" s="37" t="b">
        <f aca="false">OR(C71="Workday",C71="Eve")</f>
        <v>0</v>
      </c>
      <c r="V71" s="34" t="n">
        <f aca="false">IF(C71="Eve",Settings!$B$8,Settings!$B$7)</f>
        <v>0.6875</v>
      </c>
      <c r="W71" s="14" t="n">
        <f aca="false">IF(U71,(V71-Settings!$B$6)*24,0)</f>
        <v>0</v>
      </c>
    </row>
    <row r="72" customFormat="false" ht="15" hidden="false" customHeight="false" outlineLevel="0" collapsed="false">
      <c r="A72" s="29" t="n">
        <v>46088</v>
      </c>
      <c r="B72" s="30" t="str">
        <f aca="false">CHOOSE(WEEKDAY(A72),"Sun","Mon","Tue","Wed","Thu","Fri","Sat")</f>
        <v>Sat</v>
      </c>
      <c r="C72" s="30" t="str">
        <f aca="false">IF(IFERROR(INDEX(Holidays!$D$5:$D$60,MATCH(A72,Holidays!$A$5:$A$60,0)),"")="Holiday","Holiday",IF(WEEKDAY(A72)&gt;=6,"Weekend",IF(IFERROR(INDEX(Holidays!$D$5:$D$60,MATCH(A72,Holidays!$A$5:$A$60,0)),"")="Eve","Eve","Workday")))</f>
        <v>Weekend</v>
      </c>
      <c r="D72" s="18" t="str">
        <f aca="false">IFERROR(INDEX(Holidays!$C$5:$C$60,MATCH(A72,Holidays!$A$5:$A$60,0)),"")</f>
        <v/>
      </c>
      <c r="E72" s="31"/>
      <c r="F72" s="32"/>
      <c r="G72" s="32"/>
      <c r="H72" s="32"/>
      <c r="I72" s="32"/>
      <c r="J72" s="31"/>
      <c r="K72" s="33" t="str">
        <f aca="false">IF(E72&lt;&gt;"",E72,IF(U72,"Present",IF(C72="Holiday","Holiday","Weekend")))</f>
        <v>Weekend</v>
      </c>
      <c r="L72" s="34" t="str">
        <f aca="false">IF(OR(K72="Present",K72="Manual Work",K72="Partial Vacation",K72="Partial Sick Leave"),IF(ISNUMBER(F72),F72,IF(AND(K72="Present",U72),Settings!$B$6,"")),"")</f>
        <v/>
      </c>
      <c r="M72" s="34" t="str">
        <f aca="false">IF(OR(K72="Present",K72="Manual Work",K72="Partial Vacation",K72="Partial Sick Leave"),IF(ISNUMBER(G72),G72,IF(AND(K72="Present",U72),V72,"")),"")</f>
        <v/>
      </c>
      <c r="N72" s="14" t="n">
        <f aca="false">IF(AND(ISNUMBER(L72),ISNUMBER(M72)),MAX(0,(M72-L72)*24),0)</f>
        <v>0</v>
      </c>
      <c r="O72" s="14" t="n">
        <f aca="false">IF(NOT(U72),0,IF(K72="Vacation",IF(C72="Eve",Settings!$B$9*Settings!$B$11,W72),IF(K72="Partial Vacation",IF(AND(ISNUMBER(H72),ISNUMBER(I72)),MAX(0,(I72-H72)*24),0),0)))</f>
        <v>0</v>
      </c>
      <c r="P72" s="14" t="n">
        <f aca="false">IF(NOT(U72),0,IF(K72="Sick Leave",W72,IF(K72="Partial Sick Leave",IF(AND(ISNUMBER(H72),ISNUMBER(I72)),MAX(0,(I72-H72)*24),0),0)))</f>
        <v>0</v>
      </c>
      <c r="Q72" s="14" t="n">
        <f aca="false">IF(NOT(U72),0,IF(K72="Vacation",IF(C72="Eve",Settings!$B$11,1),IF(K72="Partial Vacation",O72/Settings!$B$9,0)))</f>
        <v>0</v>
      </c>
      <c r="R72" s="14" t="n">
        <f aca="false">IF(NOT(U72),0,IF(K72="Sick Leave",1,IF(K72="Partial Sick Leave",P72/Settings!$B$9,0)))</f>
        <v>0</v>
      </c>
      <c r="S72" s="35" t="str">
        <f aca="false">IF(AND(OR(E72="Vacation",E72="Sick Leave",E72="Partial Vacation",E72="Partial Sick Leave"),NOT(U72)),"Leave not allowed on this day",IF(AND(E72="Manual Work",OR(NOT(ISNUMBER(F72)),NOT(ISNUMBER(G72)))),"Enter start and end",IF(AND(OR(E72="Partial Vacation",E72="Partial Sick Leave"),OR(NOT(ISNUMBER(H72)),NOT(ISNUMBER(I72)))),"Enter leave from and to",IF(AND(ISNUMBER(F72),ISNUMBER(G72),G72&lt;=F72),"End is before start",IF(AND(ISNUMBER(H72),ISNUMBER(I72),I72&lt;=H72),"Leave end is before start",IF(AND(ISNUMBER(F72),ISNUMBER(G72),ISNUMBER(H72),ISNUMBER(I72),F72&lt;I72,H72&lt;G72),"Work and leave hours overlap",IF(AND(E72&lt;&gt;"",WEEKDAY(A72)=7),"Saturday - administrator only","")))))))</f>
        <v/>
      </c>
      <c r="T72" s="36" t="n">
        <f aca="false">MONTH(A72)</f>
        <v>3</v>
      </c>
      <c r="U72" s="37" t="b">
        <f aca="false">OR(C72="Workday",C72="Eve")</f>
        <v>0</v>
      </c>
      <c r="V72" s="34" t="n">
        <f aca="false">IF(C72="Eve",Settings!$B$8,Settings!$B$7)</f>
        <v>0.6875</v>
      </c>
      <c r="W72" s="14" t="n">
        <f aca="false">IF(U72,(V72-Settings!$B$6)*24,0)</f>
        <v>0</v>
      </c>
    </row>
    <row r="73" customFormat="false" ht="15" hidden="false" customHeight="false" outlineLevel="0" collapsed="false">
      <c r="A73" s="29" t="n">
        <v>46089</v>
      </c>
      <c r="B73" s="30" t="str">
        <f aca="false">CHOOSE(WEEKDAY(A73),"Sun","Mon","Tue","Wed","Thu","Fri","Sat")</f>
        <v>Sun</v>
      </c>
      <c r="C73" s="30" t="str">
        <f aca="false">IF(IFERROR(INDEX(Holidays!$D$5:$D$60,MATCH(A73,Holidays!$A$5:$A$60,0)),"")="Holiday","Holiday",IF(WEEKDAY(A73)&gt;=6,"Weekend",IF(IFERROR(INDEX(Holidays!$D$5:$D$60,MATCH(A73,Holidays!$A$5:$A$60,0)),"")="Eve","Eve","Workday")))</f>
        <v>Workday</v>
      </c>
      <c r="D73" s="18" t="str">
        <f aca="false">IFERROR(INDEX(Holidays!$C$5:$C$60,MATCH(A73,Holidays!$A$5:$A$60,0)),"")</f>
        <v/>
      </c>
      <c r="E73" s="31"/>
      <c r="F73" s="32"/>
      <c r="G73" s="32"/>
      <c r="H73" s="32"/>
      <c r="I73" s="32"/>
      <c r="J73" s="31"/>
      <c r="K73" s="33" t="str">
        <f aca="false">IF(E73&lt;&gt;"",E73,IF(U73,"Present",IF(C73="Holiday","Holiday","Weekend")))</f>
        <v>Present</v>
      </c>
      <c r="L73" s="34" t="n">
        <f aca="false">IF(OR(K73="Present",K73="Manual Work",K73="Partial Vacation",K73="Partial Sick Leave"),IF(ISNUMBER(F73),F73,IF(AND(K73="Present",U73),Settings!$B$6,"")),"")</f>
        <v>0.333333333333333</v>
      </c>
      <c r="M73" s="34" t="n">
        <f aca="false">IF(OR(K73="Present",K73="Manual Work",K73="Partial Vacation",K73="Partial Sick Leave"),IF(ISNUMBER(G73),G73,IF(AND(K73="Present",U73),V73,"")),"")</f>
        <v>0.6875</v>
      </c>
      <c r="N73" s="14" t="n">
        <f aca="false">IF(AND(ISNUMBER(L73),ISNUMBER(M73)),MAX(0,(M73-L73)*24),0)</f>
        <v>8.5</v>
      </c>
      <c r="O73" s="14" t="n">
        <f aca="false">IF(NOT(U73),0,IF(K73="Vacation",IF(C73="Eve",Settings!$B$9*Settings!$B$11,W73),IF(K73="Partial Vacation",IF(AND(ISNUMBER(H73),ISNUMBER(I73)),MAX(0,(I73-H73)*24),0),0)))</f>
        <v>0</v>
      </c>
      <c r="P73" s="14" t="n">
        <f aca="false">IF(NOT(U73),0,IF(K73="Sick Leave",W73,IF(K73="Partial Sick Leave",IF(AND(ISNUMBER(H73),ISNUMBER(I73)),MAX(0,(I73-H73)*24),0),0)))</f>
        <v>0</v>
      </c>
      <c r="Q73" s="14" t="n">
        <f aca="false">IF(NOT(U73),0,IF(K73="Vacation",IF(C73="Eve",Settings!$B$11,1),IF(K73="Partial Vacation",O73/Settings!$B$9,0)))</f>
        <v>0</v>
      </c>
      <c r="R73" s="14" t="n">
        <f aca="false">IF(NOT(U73),0,IF(K73="Sick Leave",1,IF(K73="Partial Sick Leave",P73/Settings!$B$9,0)))</f>
        <v>0</v>
      </c>
      <c r="S73" s="35" t="str">
        <f aca="false">IF(AND(OR(E73="Vacation",E73="Sick Leave",E73="Partial Vacation",E73="Partial Sick Leave"),NOT(U73)),"Leave not allowed on this day",IF(AND(E73="Manual Work",OR(NOT(ISNUMBER(F73)),NOT(ISNUMBER(G73)))),"Enter start and end",IF(AND(OR(E73="Partial Vacation",E73="Partial Sick Leave"),OR(NOT(ISNUMBER(H73)),NOT(ISNUMBER(I73)))),"Enter leave from and to",IF(AND(ISNUMBER(F73),ISNUMBER(G73),G73&lt;=F73),"End is before start",IF(AND(ISNUMBER(H73),ISNUMBER(I73),I73&lt;=H73),"Leave end is before start",IF(AND(ISNUMBER(F73),ISNUMBER(G73),ISNUMBER(H73),ISNUMBER(I73),F73&lt;I73,H73&lt;G73),"Work and leave hours overlap",IF(AND(E73&lt;&gt;"",WEEKDAY(A73)=7),"Saturday - administrator only","")))))))</f>
        <v/>
      </c>
      <c r="T73" s="36" t="n">
        <f aca="false">MONTH(A73)</f>
        <v>3</v>
      </c>
      <c r="U73" s="37" t="b">
        <f aca="false">OR(C73="Workday",C73="Eve")</f>
        <v>1</v>
      </c>
      <c r="V73" s="34" t="n">
        <f aca="false">IF(C73="Eve",Settings!$B$8,Settings!$B$7)</f>
        <v>0.6875</v>
      </c>
      <c r="W73" s="14" t="n">
        <f aca="false">IF(U73,(V73-Settings!$B$6)*24,0)</f>
        <v>8.5</v>
      </c>
    </row>
    <row r="74" customFormat="false" ht="15" hidden="false" customHeight="false" outlineLevel="0" collapsed="false">
      <c r="A74" s="29" t="n">
        <v>46090</v>
      </c>
      <c r="B74" s="30" t="str">
        <f aca="false">CHOOSE(WEEKDAY(A74),"Sun","Mon","Tue","Wed","Thu","Fri","Sat")</f>
        <v>Mon</v>
      </c>
      <c r="C74" s="30" t="str">
        <f aca="false">IF(IFERROR(INDEX(Holidays!$D$5:$D$60,MATCH(A74,Holidays!$A$5:$A$60,0)),"")="Holiday","Holiday",IF(WEEKDAY(A74)&gt;=6,"Weekend",IF(IFERROR(INDEX(Holidays!$D$5:$D$60,MATCH(A74,Holidays!$A$5:$A$60,0)),"")="Eve","Eve","Workday")))</f>
        <v>Workday</v>
      </c>
      <c r="D74" s="18" t="str">
        <f aca="false">IFERROR(INDEX(Holidays!$C$5:$C$60,MATCH(A74,Holidays!$A$5:$A$60,0)),"")</f>
        <v/>
      </c>
      <c r="E74" s="31"/>
      <c r="F74" s="32"/>
      <c r="G74" s="32"/>
      <c r="H74" s="32"/>
      <c r="I74" s="32"/>
      <c r="J74" s="31"/>
      <c r="K74" s="33" t="str">
        <f aca="false">IF(E74&lt;&gt;"",E74,IF(U74,"Present",IF(C74="Holiday","Holiday","Weekend")))</f>
        <v>Present</v>
      </c>
      <c r="L74" s="34" t="n">
        <f aca="false">IF(OR(K74="Present",K74="Manual Work",K74="Partial Vacation",K74="Partial Sick Leave"),IF(ISNUMBER(F74),F74,IF(AND(K74="Present",U74),Settings!$B$6,"")),"")</f>
        <v>0.333333333333333</v>
      </c>
      <c r="M74" s="34" t="n">
        <f aca="false">IF(OR(K74="Present",K74="Manual Work",K74="Partial Vacation",K74="Partial Sick Leave"),IF(ISNUMBER(G74),G74,IF(AND(K74="Present",U74),V74,"")),"")</f>
        <v>0.6875</v>
      </c>
      <c r="N74" s="14" t="n">
        <f aca="false">IF(AND(ISNUMBER(L74),ISNUMBER(M74)),MAX(0,(M74-L74)*24),0)</f>
        <v>8.5</v>
      </c>
      <c r="O74" s="14" t="n">
        <f aca="false">IF(NOT(U74),0,IF(K74="Vacation",IF(C74="Eve",Settings!$B$9*Settings!$B$11,W74),IF(K74="Partial Vacation",IF(AND(ISNUMBER(H74),ISNUMBER(I74)),MAX(0,(I74-H74)*24),0),0)))</f>
        <v>0</v>
      </c>
      <c r="P74" s="14" t="n">
        <f aca="false">IF(NOT(U74),0,IF(K74="Sick Leave",W74,IF(K74="Partial Sick Leave",IF(AND(ISNUMBER(H74),ISNUMBER(I74)),MAX(0,(I74-H74)*24),0),0)))</f>
        <v>0</v>
      </c>
      <c r="Q74" s="14" t="n">
        <f aca="false">IF(NOT(U74),0,IF(K74="Vacation",IF(C74="Eve",Settings!$B$11,1),IF(K74="Partial Vacation",O74/Settings!$B$9,0)))</f>
        <v>0</v>
      </c>
      <c r="R74" s="14" t="n">
        <f aca="false">IF(NOT(U74),0,IF(K74="Sick Leave",1,IF(K74="Partial Sick Leave",P74/Settings!$B$9,0)))</f>
        <v>0</v>
      </c>
      <c r="S74" s="35" t="str">
        <f aca="false">IF(AND(OR(E74="Vacation",E74="Sick Leave",E74="Partial Vacation",E74="Partial Sick Leave"),NOT(U74)),"Leave not allowed on this day",IF(AND(E74="Manual Work",OR(NOT(ISNUMBER(F74)),NOT(ISNUMBER(G74)))),"Enter start and end",IF(AND(OR(E74="Partial Vacation",E74="Partial Sick Leave"),OR(NOT(ISNUMBER(H74)),NOT(ISNUMBER(I74)))),"Enter leave from and to",IF(AND(ISNUMBER(F74),ISNUMBER(G74),G74&lt;=F74),"End is before start",IF(AND(ISNUMBER(H74),ISNUMBER(I74),I74&lt;=H74),"Leave end is before start",IF(AND(ISNUMBER(F74),ISNUMBER(G74),ISNUMBER(H74),ISNUMBER(I74),F74&lt;I74,H74&lt;G74),"Work and leave hours overlap",IF(AND(E74&lt;&gt;"",WEEKDAY(A74)=7),"Saturday - administrator only","")))))))</f>
        <v/>
      </c>
      <c r="T74" s="36" t="n">
        <f aca="false">MONTH(A74)</f>
        <v>3</v>
      </c>
      <c r="U74" s="37" t="b">
        <f aca="false">OR(C74="Workday",C74="Eve")</f>
        <v>1</v>
      </c>
      <c r="V74" s="34" t="n">
        <f aca="false">IF(C74="Eve",Settings!$B$8,Settings!$B$7)</f>
        <v>0.6875</v>
      </c>
      <c r="W74" s="14" t="n">
        <f aca="false">IF(U74,(V74-Settings!$B$6)*24,0)</f>
        <v>8.5</v>
      </c>
    </row>
    <row r="75" customFormat="false" ht="15" hidden="false" customHeight="false" outlineLevel="0" collapsed="false">
      <c r="A75" s="29" t="n">
        <v>46091</v>
      </c>
      <c r="B75" s="30" t="str">
        <f aca="false">CHOOSE(WEEKDAY(A75),"Sun","Mon","Tue","Wed","Thu","Fri","Sat")</f>
        <v>Tue</v>
      </c>
      <c r="C75" s="30" t="str">
        <f aca="false">IF(IFERROR(INDEX(Holidays!$D$5:$D$60,MATCH(A75,Holidays!$A$5:$A$60,0)),"")="Holiday","Holiday",IF(WEEKDAY(A75)&gt;=6,"Weekend",IF(IFERROR(INDEX(Holidays!$D$5:$D$60,MATCH(A75,Holidays!$A$5:$A$60,0)),"")="Eve","Eve","Workday")))</f>
        <v>Workday</v>
      </c>
      <c r="D75" s="18" t="str">
        <f aca="false">IFERROR(INDEX(Holidays!$C$5:$C$60,MATCH(A75,Holidays!$A$5:$A$60,0)),"")</f>
        <v/>
      </c>
      <c r="E75" s="31"/>
      <c r="F75" s="32"/>
      <c r="G75" s="32"/>
      <c r="H75" s="32"/>
      <c r="I75" s="32"/>
      <c r="J75" s="31"/>
      <c r="K75" s="33" t="str">
        <f aca="false">IF(E75&lt;&gt;"",E75,IF(U75,"Present",IF(C75="Holiday","Holiday","Weekend")))</f>
        <v>Present</v>
      </c>
      <c r="L75" s="34" t="n">
        <f aca="false">IF(OR(K75="Present",K75="Manual Work",K75="Partial Vacation",K75="Partial Sick Leave"),IF(ISNUMBER(F75),F75,IF(AND(K75="Present",U75),Settings!$B$6,"")),"")</f>
        <v>0.333333333333333</v>
      </c>
      <c r="M75" s="34" t="n">
        <f aca="false">IF(OR(K75="Present",K75="Manual Work",K75="Partial Vacation",K75="Partial Sick Leave"),IF(ISNUMBER(G75),G75,IF(AND(K75="Present",U75),V75,"")),"")</f>
        <v>0.6875</v>
      </c>
      <c r="N75" s="14" t="n">
        <f aca="false">IF(AND(ISNUMBER(L75),ISNUMBER(M75)),MAX(0,(M75-L75)*24),0)</f>
        <v>8.5</v>
      </c>
      <c r="O75" s="14" t="n">
        <f aca="false">IF(NOT(U75),0,IF(K75="Vacation",IF(C75="Eve",Settings!$B$9*Settings!$B$11,W75),IF(K75="Partial Vacation",IF(AND(ISNUMBER(H75),ISNUMBER(I75)),MAX(0,(I75-H75)*24),0),0)))</f>
        <v>0</v>
      </c>
      <c r="P75" s="14" t="n">
        <f aca="false">IF(NOT(U75),0,IF(K75="Sick Leave",W75,IF(K75="Partial Sick Leave",IF(AND(ISNUMBER(H75),ISNUMBER(I75)),MAX(0,(I75-H75)*24),0),0)))</f>
        <v>0</v>
      </c>
      <c r="Q75" s="14" t="n">
        <f aca="false">IF(NOT(U75),0,IF(K75="Vacation",IF(C75="Eve",Settings!$B$11,1),IF(K75="Partial Vacation",O75/Settings!$B$9,0)))</f>
        <v>0</v>
      </c>
      <c r="R75" s="14" t="n">
        <f aca="false">IF(NOT(U75),0,IF(K75="Sick Leave",1,IF(K75="Partial Sick Leave",P75/Settings!$B$9,0)))</f>
        <v>0</v>
      </c>
      <c r="S75" s="35" t="str">
        <f aca="false">IF(AND(OR(E75="Vacation",E75="Sick Leave",E75="Partial Vacation",E75="Partial Sick Leave"),NOT(U75)),"Leave not allowed on this day",IF(AND(E75="Manual Work",OR(NOT(ISNUMBER(F75)),NOT(ISNUMBER(G75)))),"Enter start and end",IF(AND(OR(E75="Partial Vacation",E75="Partial Sick Leave"),OR(NOT(ISNUMBER(H75)),NOT(ISNUMBER(I75)))),"Enter leave from and to",IF(AND(ISNUMBER(F75),ISNUMBER(G75),G75&lt;=F75),"End is before start",IF(AND(ISNUMBER(H75),ISNUMBER(I75),I75&lt;=H75),"Leave end is before start",IF(AND(ISNUMBER(F75),ISNUMBER(G75),ISNUMBER(H75),ISNUMBER(I75),F75&lt;I75,H75&lt;G75),"Work and leave hours overlap",IF(AND(E75&lt;&gt;"",WEEKDAY(A75)=7),"Saturday - administrator only","")))))))</f>
        <v/>
      </c>
      <c r="T75" s="36" t="n">
        <f aca="false">MONTH(A75)</f>
        <v>3</v>
      </c>
      <c r="U75" s="37" t="b">
        <f aca="false">OR(C75="Workday",C75="Eve")</f>
        <v>1</v>
      </c>
      <c r="V75" s="34" t="n">
        <f aca="false">IF(C75="Eve",Settings!$B$8,Settings!$B$7)</f>
        <v>0.6875</v>
      </c>
      <c r="W75" s="14" t="n">
        <f aca="false">IF(U75,(V75-Settings!$B$6)*24,0)</f>
        <v>8.5</v>
      </c>
    </row>
    <row r="76" customFormat="false" ht="15" hidden="false" customHeight="false" outlineLevel="0" collapsed="false">
      <c r="A76" s="29" t="n">
        <v>46092</v>
      </c>
      <c r="B76" s="30" t="str">
        <f aca="false">CHOOSE(WEEKDAY(A76),"Sun","Mon","Tue","Wed","Thu","Fri","Sat")</f>
        <v>Wed</v>
      </c>
      <c r="C76" s="30" t="str">
        <f aca="false">IF(IFERROR(INDEX(Holidays!$D$5:$D$60,MATCH(A76,Holidays!$A$5:$A$60,0)),"")="Holiday","Holiday",IF(WEEKDAY(A76)&gt;=6,"Weekend",IF(IFERROR(INDEX(Holidays!$D$5:$D$60,MATCH(A76,Holidays!$A$5:$A$60,0)),"")="Eve","Eve","Workday")))</f>
        <v>Workday</v>
      </c>
      <c r="D76" s="18" t="str">
        <f aca="false">IFERROR(INDEX(Holidays!$C$5:$C$60,MATCH(A76,Holidays!$A$5:$A$60,0)),"")</f>
        <v/>
      </c>
      <c r="E76" s="31"/>
      <c r="F76" s="32"/>
      <c r="G76" s="32"/>
      <c r="H76" s="32"/>
      <c r="I76" s="32"/>
      <c r="J76" s="31"/>
      <c r="K76" s="33" t="str">
        <f aca="false">IF(E76&lt;&gt;"",E76,IF(U76,"Present",IF(C76="Holiday","Holiday","Weekend")))</f>
        <v>Present</v>
      </c>
      <c r="L76" s="34" t="n">
        <f aca="false">IF(OR(K76="Present",K76="Manual Work",K76="Partial Vacation",K76="Partial Sick Leave"),IF(ISNUMBER(F76),F76,IF(AND(K76="Present",U76),Settings!$B$6,"")),"")</f>
        <v>0.333333333333333</v>
      </c>
      <c r="M76" s="34" t="n">
        <f aca="false">IF(OR(K76="Present",K76="Manual Work",K76="Partial Vacation",K76="Partial Sick Leave"),IF(ISNUMBER(G76),G76,IF(AND(K76="Present",U76),V76,"")),"")</f>
        <v>0.6875</v>
      </c>
      <c r="N76" s="14" t="n">
        <f aca="false">IF(AND(ISNUMBER(L76),ISNUMBER(M76)),MAX(0,(M76-L76)*24),0)</f>
        <v>8.5</v>
      </c>
      <c r="O76" s="14" t="n">
        <f aca="false">IF(NOT(U76),0,IF(K76="Vacation",IF(C76="Eve",Settings!$B$9*Settings!$B$11,W76),IF(K76="Partial Vacation",IF(AND(ISNUMBER(H76),ISNUMBER(I76)),MAX(0,(I76-H76)*24),0),0)))</f>
        <v>0</v>
      </c>
      <c r="P76" s="14" t="n">
        <f aca="false">IF(NOT(U76),0,IF(K76="Sick Leave",W76,IF(K76="Partial Sick Leave",IF(AND(ISNUMBER(H76),ISNUMBER(I76)),MAX(0,(I76-H76)*24),0),0)))</f>
        <v>0</v>
      </c>
      <c r="Q76" s="14" t="n">
        <f aca="false">IF(NOT(U76),0,IF(K76="Vacation",IF(C76="Eve",Settings!$B$11,1),IF(K76="Partial Vacation",O76/Settings!$B$9,0)))</f>
        <v>0</v>
      </c>
      <c r="R76" s="14" t="n">
        <f aca="false">IF(NOT(U76),0,IF(K76="Sick Leave",1,IF(K76="Partial Sick Leave",P76/Settings!$B$9,0)))</f>
        <v>0</v>
      </c>
      <c r="S76" s="35" t="str">
        <f aca="false">IF(AND(OR(E76="Vacation",E76="Sick Leave",E76="Partial Vacation",E76="Partial Sick Leave"),NOT(U76)),"Leave not allowed on this day",IF(AND(E76="Manual Work",OR(NOT(ISNUMBER(F76)),NOT(ISNUMBER(G76)))),"Enter start and end",IF(AND(OR(E76="Partial Vacation",E76="Partial Sick Leave"),OR(NOT(ISNUMBER(H76)),NOT(ISNUMBER(I76)))),"Enter leave from and to",IF(AND(ISNUMBER(F76),ISNUMBER(G76),G76&lt;=F76),"End is before start",IF(AND(ISNUMBER(H76),ISNUMBER(I76),I76&lt;=H76),"Leave end is before start",IF(AND(ISNUMBER(F76),ISNUMBER(G76),ISNUMBER(H76),ISNUMBER(I76),F76&lt;I76,H76&lt;G76),"Work and leave hours overlap",IF(AND(E76&lt;&gt;"",WEEKDAY(A76)=7),"Saturday - administrator only","")))))))</f>
        <v/>
      </c>
      <c r="T76" s="36" t="n">
        <f aca="false">MONTH(A76)</f>
        <v>3</v>
      </c>
      <c r="U76" s="37" t="b">
        <f aca="false">OR(C76="Workday",C76="Eve")</f>
        <v>1</v>
      </c>
      <c r="V76" s="34" t="n">
        <f aca="false">IF(C76="Eve",Settings!$B$8,Settings!$B$7)</f>
        <v>0.6875</v>
      </c>
      <c r="W76" s="14" t="n">
        <f aca="false">IF(U76,(V76-Settings!$B$6)*24,0)</f>
        <v>8.5</v>
      </c>
    </row>
    <row r="77" customFormat="false" ht="15" hidden="false" customHeight="false" outlineLevel="0" collapsed="false">
      <c r="A77" s="29" t="n">
        <v>46093</v>
      </c>
      <c r="B77" s="30" t="str">
        <f aca="false">CHOOSE(WEEKDAY(A77),"Sun","Mon","Tue","Wed","Thu","Fri","Sat")</f>
        <v>Thu</v>
      </c>
      <c r="C77" s="30" t="str">
        <f aca="false">IF(IFERROR(INDEX(Holidays!$D$5:$D$60,MATCH(A77,Holidays!$A$5:$A$60,0)),"")="Holiday","Holiday",IF(WEEKDAY(A77)&gt;=6,"Weekend",IF(IFERROR(INDEX(Holidays!$D$5:$D$60,MATCH(A77,Holidays!$A$5:$A$60,0)),"")="Eve","Eve","Workday")))</f>
        <v>Workday</v>
      </c>
      <c r="D77" s="18" t="str">
        <f aca="false">IFERROR(INDEX(Holidays!$C$5:$C$60,MATCH(A77,Holidays!$A$5:$A$60,0)),"")</f>
        <v/>
      </c>
      <c r="E77" s="31"/>
      <c r="F77" s="32"/>
      <c r="G77" s="32"/>
      <c r="H77" s="32"/>
      <c r="I77" s="32"/>
      <c r="J77" s="31"/>
      <c r="K77" s="33" t="str">
        <f aca="false">IF(E77&lt;&gt;"",E77,IF(U77,"Present",IF(C77="Holiday","Holiday","Weekend")))</f>
        <v>Present</v>
      </c>
      <c r="L77" s="34" t="n">
        <f aca="false">IF(OR(K77="Present",K77="Manual Work",K77="Partial Vacation",K77="Partial Sick Leave"),IF(ISNUMBER(F77),F77,IF(AND(K77="Present",U77),Settings!$B$6,"")),"")</f>
        <v>0.333333333333333</v>
      </c>
      <c r="M77" s="34" t="n">
        <f aca="false">IF(OR(K77="Present",K77="Manual Work",K77="Partial Vacation",K77="Partial Sick Leave"),IF(ISNUMBER(G77),G77,IF(AND(K77="Present",U77),V77,"")),"")</f>
        <v>0.6875</v>
      </c>
      <c r="N77" s="14" t="n">
        <f aca="false">IF(AND(ISNUMBER(L77),ISNUMBER(M77)),MAX(0,(M77-L77)*24),0)</f>
        <v>8.5</v>
      </c>
      <c r="O77" s="14" t="n">
        <f aca="false">IF(NOT(U77),0,IF(K77="Vacation",IF(C77="Eve",Settings!$B$9*Settings!$B$11,W77),IF(K77="Partial Vacation",IF(AND(ISNUMBER(H77),ISNUMBER(I77)),MAX(0,(I77-H77)*24),0),0)))</f>
        <v>0</v>
      </c>
      <c r="P77" s="14" t="n">
        <f aca="false">IF(NOT(U77),0,IF(K77="Sick Leave",W77,IF(K77="Partial Sick Leave",IF(AND(ISNUMBER(H77),ISNUMBER(I77)),MAX(0,(I77-H77)*24),0),0)))</f>
        <v>0</v>
      </c>
      <c r="Q77" s="14" t="n">
        <f aca="false">IF(NOT(U77),0,IF(K77="Vacation",IF(C77="Eve",Settings!$B$11,1),IF(K77="Partial Vacation",O77/Settings!$B$9,0)))</f>
        <v>0</v>
      </c>
      <c r="R77" s="14" t="n">
        <f aca="false">IF(NOT(U77),0,IF(K77="Sick Leave",1,IF(K77="Partial Sick Leave",P77/Settings!$B$9,0)))</f>
        <v>0</v>
      </c>
      <c r="S77" s="35" t="str">
        <f aca="false">IF(AND(OR(E77="Vacation",E77="Sick Leave",E77="Partial Vacation",E77="Partial Sick Leave"),NOT(U77)),"Leave not allowed on this day",IF(AND(E77="Manual Work",OR(NOT(ISNUMBER(F77)),NOT(ISNUMBER(G77)))),"Enter start and end",IF(AND(OR(E77="Partial Vacation",E77="Partial Sick Leave"),OR(NOT(ISNUMBER(H77)),NOT(ISNUMBER(I77)))),"Enter leave from and to",IF(AND(ISNUMBER(F77),ISNUMBER(G77),G77&lt;=F77),"End is before start",IF(AND(ISNUMBER(H77),ISNUMBER(I77),I77&lt;=H77),"Leave end is before start",IF(AND(ISNUMBER(F77),ISNUMBER(G77),ISNUMBER(H77),ISNUMBER(I77),F77&lt;I77,H77&lt;G77),"Work and leave hours overlap",IF(AND(E77&lt;&gt;"",WEEKDAY(A77)=7),"Saturday - administrator only","")))))))</f>
        <v/>
      </c>
      <c r="T77" s="36" t="n">
        <f aca="false">MONTH(A77)</f>
        <v>3</v>
      </c>
      <c r="U77" s="37" t="b">
        <f aca="false">OR(C77="Workday",C77="Eve")</f>
        <v>1</v>
      </c>
      <c r="V77" s="34" t="n">
        <f aca="false">IF(C77="Eve",Settings!$B$8,Settings!$B$7)</f>
        <v>0.6875</v>
      </c>
      <c r="W77" s="14" t="n">
        <f aca="false">IF(U77,(V77-Settings!$B$6)*24,0)</f>
        <v>8.5</v>
      </c>
    </row>
    <row r="78" customFormat="false" ht="15" hidden="false" customHeight="false" outlineLevel="0" collapsed="false">
      <c r="A78" s="29" t="n">
        <v>46094</v>
      </c>
      <c r="B78" s="30" t="str">
        <f aca="false">CHOOSE(WEEKDAY(A78),"Sun","Mon","Tue","Wed","Thu","Fri","Sat")</f>
        <v>Fri</v>
      </c>
      <c r="C78" s="30" t="str">
        <f aca="false">IF(IFERROR(INDEX(Holidays!$D$5:$D$60,MATCH(A78,Holidays!$A$5:$A$60,0)),"")="Holiday","Holiday",IF(WEEKDAY(A78)&gt;=6,"Weekend",IF(IFERROR(INDEX(Holidays!$D$5:$D$60,MATCH(A78,Holidays!$A$5:$A$60,0)),"")="Eve","Eve","Workday")))</f>
        <v>Weekend</v>
      </c>
      <c r="D78" s="18" t="str">
        <f aca="false">IFERROR(INDEX(Holidays!$C$5:$C$60,MATCH(A78,Holidays!$A$5:$A$60,0)),"")</f>
        <v/>
      </c>
      <c r="E78" s="31"/>
      <c r="F78" s="32"/>
      <c r="G78" s="32"/>
      <c r="H78" s="32"/>
      <c r="I78" s="32"/>
      <c r="J78" s="31"/>
      <c r="K78" s="33" t="str">
        <f aca="false">IF(E78&lt;&gt;"",E78,IF(U78,"Present",IF(C78="Holiday","Holiday","Weekend")))</f>
        <v>Weekend</v>
      </c>
      <c r="L78" s="34" t="str">
        <f aca="false">IF(OR(K78="Present",K78="Manual Work",K78="Partial Vacation",K78="Partial Sick Leave"),IF(ISNUMBER(F78),F78,IF(AND(K78="Present",U78),Settings!$B$6,"")),"")</f>
        <v/>
      </c>
      <c r="M78" s="34" t="str">
        <f aca="false">IF(OR(K78="Present",K78="Manual Work",K78="Partial Vacation",K78="Partial Sick Leave"),IF(ISNUMBER(G78),G78,IF(AND(K78="Present",U78),V78,"")),"")</f>
        <v/>
      </c>
      <c r="N78" s="14" t="n">
        <f aca="false">IF(AND(ISNUMBER(L78),ISNUMBER(M78)),MAX(0,(M78-L78)*24),0)</f>
        <v>0</v>
      </c>
      <c r="O78" s="14" t="n">
        <f aca="false">IF(NOT(U78),0,IF(K78="Vacation",IF(C78="Eve",Settings!$B$9*Settings!$B$11,W78),IF(K78="Partial Vacation",IF(AND(ISNUMBER(H78),ISNUMBER(I78)),MAX(0,(I78-H78)*24),0),0)))</f>
        <v>0</v>
      </c>
      <c r="P78" s="14" t="n">
        <f aca="false">IF(NOT(U78),0,IF(K78="Sick Leave",W78,IF(K78="Partial Sick Leave",IF(AND(ISNUMBER(H78),ISNUMBER(I78)),MAX(0,(I78-H78)*24),0),0)))</f>
        <v>0</v>
      </c>
      <c r="Q78" s="14" t="n">
        <f aca="false">IF(NOT(U78),0,IF(K78="Vacation",IF(C78="Eve",Settings!$B$11,1),IF(K78="Partial Vacation",O78/Settings!$B$9,0)))</f>
        <v>0</v>
      </c>
      <c r="R78" s="14" t="n">
        <f aca="false">IF(NOT(U78),0,IF(K78="Sick Leave",1,IF(K78="Partial Sick Leave",P78/Settings!$B$9,0)))</f>
        <v>0</v>
      </c>
      <c r="S78" s="35" t="str">
        <f aca="false">IF(AND(OR(E78="Vacation",E78="Sick Leave",E78="Partial Vacation",E78="Partial Sick Leave"),NOT(U78)),"Leave not allowed on this day",IF(AND(E78="Manual Work",OR(NOT(ISNUMBER(F78)),NOT(ISNUMBER(G78)))),"Enter start and end",IF(AND(OR(E78="Partial Vacation",E78="Partial Sick Leave"),OR(NOT(ISNUMBER(H78)),NOT(ISNUMBER(I78)))),"Enter leave from and to",IF(AND(ISNUMBER(F78),ISNUMBER(G78),G78&lt;=F78),"End is before start",IF(AND(ISNUMBER(H78),ISNUMBER(I78),I78&lt;=H78),"Leave end is before start",IF(AND(ISNUMBER(F78),ISNUMBER(G78),ISNUMBER(H78),ISNUMBER(I78),F78&lt;I78,H78&lt;G78),"Work and leave hours overlap",IF(AND(E78&lt;&gt;"",WEEKDAY(A78)=7),"Saturday - administrator only","")))))))</f>
        <v/>
      </c>
      <c r="T78" s="36" t="n">
        <f aca="false">MONTH(A78)</f>
        <v>3</v>
      </c>
      <c r="U78" s="37" t="b">
        <f aca="false">OR(C78="Workday",C78="Eve")</f>
        <v>0</v>
      </c>
      <c r="V78" s="34" t="n">
        <f aca="false">IF(C78="Eve",Settings!$B$8,Settings!$B$7)</f>
        <v>0.6875</v>
      </c>
      <c r="W78" s="14" t="n">
        <f aca="false">IF(U78,(V78-Settings!$B$6)*24,0)</f>
        <v>0</v>
      </c>
    </row>
    <row r="79" customFormat="false" ht="15" hidden="false" customHeight="false" outlineLevel="0" collapsed="false">
      <c r="A79" s="29" t="n">
        <v>46095</v>
      </c>
      <c r="B79" s="30" t="str">
        <f aca="false">CHOOSE(WEEKDAY(A79),"Sun","Mon","Tue","Wed","Thu","Fri","Sat")</f>
        <v>Sat</v>
      </c>
      <c r="C79" s="30" t="str">
        <f aca="false">IF(IFERROR(INDEX(Holidays!$D$5:$D$60,MATCH(A79,Holidays!$A$5:$A$60,0)),"")="Holiday","Holiday",IF(WEEKDAY(A79)&gt;=6,"Weekend",IF(IFERROR(INDEX(Holidays!$D$5:$D$60,MATCH(A79,Holidays!$A$5:$A$60,0)),"")="Eve","Eve","Workday")))</f>
        <v>Weekend</v>
      </c>
      <c r="D79" s="18" t="str">
        <f aca="false">IFERROR(INDEX(Holidays!$C$5:$C$60,MATCH(A79,Holidays!$A$5:$A$60,0)),"")</f>
        <v/>
      </c>
      <c r="E79" s="31"/>
      <c r="F79" s="32"/>
      <c r="G79" s="32"/>
      <c r="H79" s="32"/>
      <c r="I79" s="32"/>
      <c r="J79" s="31"/>
      <c r="K79" s="33" t="str">
        <f aca="false">IF(E79&lt;&gt;"",E79,IF(U79,"Present",IF(C79="Holiday","Holiday","Weekend")))</f>
        <v>Weekend</v>
      </c>
      <c r="L79" s="34" t="str">
        <f aca="false">IF(OR(K79="Present",K79="Manual Work",K79="Partial Vacation",K79="Partial Sick Leave"),IF(ISNUMBER(F79),F79,IF(AND(K79="Present",U79),Settings!$B$6,"")),"")</f>
        <v/>
      </c>
      <c r="M79" s="34" t="str">
        <f aca="false">IF(OR(K79="Present",K79="Manual Work",K79="Partial Vacation",K79="Partial Sick Leave"),IF(ISNUMBER(G79),G79,IF(AND(K79="Present",U79),V79,"")),"")</f>
        <v/>
      </c>
      <c r="N79" s="14" t="n">
        <f aca="false">IF(AND(ISNUMBER(L79),ISNUMBER(M79)),MAX(0,(M79-L79)*24),0)</f>
        <v>0</v>
      </c>
      <c r="O79" s="14" t="n">
        <f aca="false">IF(NOT(U79),0,IF(K79="Vacation",IF(C79="Eve",Settings!$B$9*Settings!$B$11,W79),IF(K79="Partial Vacation",IF(AND(ISNUMBER(H79),ISNUMBER(I79)),MAX(0,(I79-H79)*24),0),0)))</f>
        <v>0</v>
      </c>
      <c r="P79" s="14" t="n">
        <f aca="false">IF(NOT(U79),0,IF(K79="Sick Leave",W79,IF(K79="Partial Sick Leave",IF(AND(ISNUMBER(H79),ISNUMBER(I79)),MAX(0,(I79-H79)*24),0),0)))</f>
        <v>0</v>
      </c>
      <c r="Q79" s="14" t="n">
        <f aca="false">IF(NOT(U79),0,IF(K79="Vacation",IF(C79="Eve",Settings!$B$11,1),IF(K79="Partial Vacation",O79/Settings!$B$9,0)))</f>
        <v>0</v>
      </c>
      <c r="R79" s="14" t="n">
        <f aca="false">IF(NOT(U79),0,IF(K79="Sick Leave",1,IF(K79="Partial Sick Leave",P79/Settings!$B$9,0)))</f>
        <v>0</v>
      </c>
      <c r="S79" s="35" t="str">
        <f aca="false">IF(AND(OR(E79="Vacation",E79="Sick Leave",E79="Partial Vacation",E79="Partial Sick Leave"),NOT(U79)),"Leave not allowed on this day",IF(AND(E79="Manual Work",OR(NOT(ISNUMBER(F79)),NOT(ISNUMBER(G79)))),"Enter start and end",IF(AND(OR(E79="Partial Vacation",E79="Partial Sick Leave"),OR(NOT(ISNUMBER(H79)),NOT(ISNUMBER(I79)))),"Enter leave from and to",IF(AND(ISNUMBER(F79),ISNUMBER(G79),G79&lt;=F79),"End is before start",IF(AND(ISNUMBER(H79),ISNUMBER(I79),I79&lt;=H79),"Leave end is before start",IF(AND(ISNUMBER(F79),ISNUMBER(G79),ISNUMBER(H79),ISNUMBER(I79),F79&lt;I79,H79&lt;G79),"Work and leave hours overlap",IF(AND(E79&lt;&gt;"",WEEKDAY(A79)=7),"Saturday - administrator only","")))))))</f>
        <v/>
      </c>
      <c r="T79" s="36" t="n">
        <f aca="false">MONTH(A79)</f>
        <v>3</v>
      </c>
      <c r="U79" s="37" t="b">
        <f aca="false">OR(C79="Workday",C79="Eve")</f>
        <v>0</v>
      </c>
      <c r="V79" s="34" t="n">
        <f aca="false">IF(C79="Eve",Settings!$B$8,Settings!$B$7)</f>
        <v>0.6875</v>
      </c>
      <c r="W79" s="14" t="n">
        <f aca="false">IF(U79,(V79-Settings!$B$6)*24,0)</f>
        <v>0</v>
      </c>
    </row>
    <row r="80" customFormat="false" ht="15" hidden="false" customHeight="false" outlineLevel="0" collapsed="false">
      <c r="A80" s="29" t="n">
        <v>46096</v>
      </c>
      <c r="B80" s="30" t="str">
        <f aca="false">CHOOSE(WEEKDAY(A80),"Sun","Mon","Tue","Wed","Thu","Fri","Sat")</f>
        <v>Sun</v>
      </c>
      <c r="C80" s="30" t="str">
        <f aca="false">IF(IFERROR(INDEX(Holidays!$D$5:$D$60,MATCH(A80,Holidays!$A$5:$A$60,0)),"")="Holiday","Holiday",IF(WEEKDAY(A80)&gt;=6,"Weekend",IF(IFERROR(INDEX(Holidays!$D$5:$D$60,MATCH(A80,Holidays!$A$5:$A$60,0)),"")="Eve","Eve","Workday")))</f>
        <v>Workday</v>
      </c>
      <c r="D80" s="18" t="str">
        <f aca="false">IFERROR(INDEX(Holidays!$C$5:$C$60,MATCH(A80,Holidays!$A$5:$A$60,0)),"")</f>
        <v/>
      </c>
      <c r="E80" s="31"/>
      <c r="F80" s="32"/>
      <c r="G80" s="32"/>
      <c r="H80" s="32"/>
      <c r="I80" s="32"/>
      <c r="J80" s="31"/>
      <c r="K80" s="33" t="str">
        <f aca="false">IF(E80&lt;&gt;"",E80,IF(U80,"Present",IF(C80="Holiday","Holiday","Weekend")))</f>
        <v>Present</v>
      </c>
      <c r="L80" s="34" t="n">
        <f aca="false">IF(OR(K80="Present",K80="Manual Work",K80="Partial Vacation",K80="Partial Sick Leave"),IF(ISNUMBER(F80),F80,IF(AND(K80="Present",U80),Settings!$B$6,"")),"")</f>
        <v>0.333333333333333</v>
      </c>
      <c r="M80" s="34" t="n">
        <f aca="false">IF(OR(K80="Present",K80="Manual Work",K80="Partial Vacation",K80="Partial Sick Leave"),IF(ISNUMBER(G80),G80,IF(AND(K80="Present",U80),V80,"")),"")</f>
        <v>0.6875</v>
      </c>
      <c r="N80" s="14" t="n">
        <f aca="false">IF(AND(ISNUMBER(L80),ISNUMBER(M80)),MAX(0,(M80-L80)*24),0)</f>
        <v>8.5</v>
      </c>
      <c r="O80" s="14" t="n">
        <f aca="false">IF(NOT(U80),0,IF(K80="Vacation",IF(C80="Eve",Settings!$B$9*Settings!$B$11,W80),IF(K80="Partial Vacation",IF(AND(ISNUMBER(H80),ISNUMBER(I80)),MAX(0,(I80-H80)*24),0),0)))</f>
        <v>0</v>
      </c>
      <c r="P80" s="14" t="n">
        <f aca="false">IF(NOT(U80),0,IF(K80="Sick Leave",W80,IF(K80="Partial Sick Leave",IF(AND(ISNUMBER(H80),ISNUMBER(I80)),MAX(0,(I80-H80)*24),0),0)))</f>
        <v>0</v>
      </c>
      <c r="Q80" s="14" t="n">
        <f aca="false">IF(NOT(U80),0,IF(K80="Vacation",IF(C80="Eve",Settings!$B$11,1),IF(K80="Partial Vacation",O80/Settings!$B$9,0)))</f>
        <v>0</v>
      </c>
      <c r="R80" s="14" t="n">
        <f aca="false">IF(NOT(U80),0,IF(K80="Sick Leave",1,IF(K80="Partial Sick Leave",P80/Settings!$B$9,0)))</f>
        <v>0</v>
      </c>
      <c r="S80" s="35" t="str">
        <f aca="false">IF(AND(OR(E80="Vacation",E80="Sick Leave",E80="Partial Vacation",E80="Partial Sick Leave"),NOT(U80)),"Leave not allowed on this day",IF(AND(E80="Manual Work",OR(NOT(ISNUMBER(F80)),NOT(ISNUMBER(G80)))),"Enter start and end",IF(AND(OR(E80="Partial Vacation",E80="Partial Sick Leave"),OR(NOT(ISNUMBER(H80)),NOT(ISNUMBER(I80)))),"Enter leave from and to",IF(AND(ISNUMBER(F80),ISNUMBER(G80),G80&lt;=F80),"End is before start",IF(AND(ISNUMBER(H80),ISNUMBER(I80),I80&lt;=H80),"Leave end is before start",IF(AND(ISNUMBER(F80),ISNUMBER(G80),ISNUMBER(H80),ISNUMBER(I80),F80&lt;I80,H80&lt;G80),"Work and leave hours overlap",IF(AND(E80&lt;&gt;"",WEEKDAY(A80)=7),"Saturday - administrator only","")))))))</f>
        <v/>
      </c>
      <c r="T80" s="36" t="n">
        <f aca="false">MONTH(A80)</f>
        <v>3</v>
      </c>
      <c r="U80" s="37" t="b">
        <f aca="false">OR(C80="Workday",C80="Eve")</f>
        <v>1</v>
      </c>
      <c r="V80" s="34" t="n">
        <f aca="false">IF(C80="Eve",Settings!$B$8,Settings!$B$7)</f>
        <v>0.6875</v>
      </c>
      <c r="W80" s="14" t="n">
        <f aca="false">IF(U80,(V80-Settings!$B$6)*24,0)</f>
        <v>8.5</v>
      </c>
    </row>
    <row r="81" customFormat="false" ht="15" hidden="false" customHeight="false" outlineLevel="0" collapsed="false">
      <c r="A81" s="29" t="n">
        <v>46097</v>
      </c>
      <c r="B81" s="30" t="str">
        <f aca="false">CHOOSE(WEEKDAY(A81),"Sun","Mon","Tue","Wed","Thu","Fri","Sat")</f>
        <v>Mon</v>
      </c>
      <c r="C81" s="30" t="str">
        <f aca="false">IF(IFERROR(INDEX(Holidays!$D$5:$D$60,MATCH(A81,Holidays!$A$5:$A$60,0)),"")="Holiday","Holiday",IF(WEEKDAY(A81)&gt;=6,"Weekend",IF(IFERROR(INDEX(Holidays!$D$5:$D$60,MATCH(A81,Holidays!$A$5:$A$60,0)),"")="Eve","Eve","Workday")))</f>
        <v>Workday</v>
      </c>
      <c r="D81" s="18" t="str">
        <f aca="false">IFERROR(INDEX(Holidays!$C$5:$C$60,MATCH(A81,Holidays!$A$5:$A$60,0)),"")</f>
        <v/>
      </c>
      <c r="E81" s="31"/>
      <c r="F81" s="32"/>
      <c r="G81" s="32"/>
      <c r="H81" s="32"/>
      <c r="I81" s="32"/>
      <c r="J81" s="31"/>
      <c r="K81" s="33" t="str">
        <f aca="false">IF(E81&lt;&gt;"",E81,IF(U81,"Present",IF(C81="Holiday","Holiday","Weekend")))</f>
        <v>Present</v>
      </c>
      <c r="L81" s="34" t="n">
        <f aca="false">IF(OR(K81="Present",K81="Manual Work",K81="Partial Vacation",K81="Partial Sick Leave"),IF(ISNUMBER(F81),F81,IF(AND(K81="Present",U81),Settings!$B$6,"")),"")</f>
        <v>0.333333333333333</v>
      </c>
      <c r="M81" s="34" t="n">
        <f aca="false">IF(OR(K81="Present",K81="Manual Work",K81="Partial Vacation",K81="Partial Sick Leave"),IF(ISNUMBER(G81),G81,IF(AND(K81="Present",U81),V81,"")),"")</f>
        <v>0.6875</v>
      </c>
      <c r="N81" s="14" t="n">
        <f aca="false">IF(AND(ISNUMBER(L81),ISNUMBER(M81)),MAX(0,(M81-L81)*24),0)</f>
        <v>8.5</v>
      </c>
      <c r="O81" s="14" t="n">
        <f aca="false">IF(NOT(U81),0,IF(K81="Vacation",IF(C81="Eve",Settings!$B$9*Settings!$B$11,W81),IF(K81="Partial Vacation",IF(AND(ISNUMBER(H81),ISNUMBER(I81)),MAX(0,(I81-H81)*24),0),0)))</f>
        <v>0</v>
      </c>
      <c r="P81" s="14" t="n">
        <f aca="false">IF(NOT(U81),0,IF(K81="Sick Leave",W81,IF(K81="Partial Sick Leave",IF(AND(ISNUMBER(H81),ISNUMBER(I81)),MAX(0,(I81-H81)*24),0),0)))</f>
        <v>0</v>
      </c>
      <c r="Q81" s="14" t="n">
        <f aca="false">IF(NOT(U81),0,IF(K81="Vacation",IF(C81="Eve",Settings!$B$11,1),IF(K81="Partial Vacation",O81/Settings!$B$9,0)))</f>
        <v>0</v>
      </c>
      <c r="R81" s="14" t="n">
        <f aca="false">IF(NOT(U81),0,IF(K81="Sick Leave",1,IF(K81="Partial Sick Leave",P81/Settings!$B$9,0)))</f>
        <v>0</v>
      </c>
      <c r="S81" s="35" t="str">
        <f aca="false">IF(AND(OR(E81="Vacation",E81="Sick Leave",E81="Partial Vacation",E81="Partial Sick Leave"),NOT(U81)),"Leave not allowed on this day",IF(AND(E81="Manual Work",OR(NOT(ISNUMBER(F81)),NOT(ISNUMBER(G81)))),"Enter start and end",IF(AND(OR(E81="Partial Vacation",E81="Partial Sick Leave"),OR(NOT(ISNUMBER(H81)),NOT(ISNUMBER(I81)))),"Enter leave from and to",IF(AND(ISNUMBER(F81),ISNUMBER(G81),G81&lt;=F81),"End is before start",IF(AND(ISNUMBER(H81),ISNUMBER(I81),I81&lt;=H81),"Leave end is before start",IF(AND(ISNUMBER(F81),ISNUMBER(G81),ISNUMBER(H81),ISNUMBER(I81),F81&lt;I81,H81&lt;G81),"Work and leave hours overlap",IF(AND(E81&lt;&gt;"",WEEKDAY(A81)=7),"Saturday - administrator only","")))))))</f>
        <v/>
      </c>
      <c r="T81" s="36" t="n">
        <f aca="false">MONTH(A81)</f>
        <v>3</v>
      </c>
      <c r="U81" s="37" t="b">
        <f aca="false">OR(C81="Workday",C81="Eve")</f>
        <v>1</v>
      </c>
      <c r="V81" s="34" t="n">
        <f aca="false">IF(C81="Eve",Settings!$B$8,Settings!$B$7)</f>
        <v>0.6875</v>
      </c>
      <c r="W81" s="14" t="n">
        <f aca="false">IF(U81,(V81-Settings!$B$6)*24,0)</f>
        <v>8.5</v>
      </c>
    </row>
    <row r="82" customFormat="false" ht="15" hidden="false" customHeight="false" outlineLevel="0" collapsed="false">
      <c r="A82" s="29" t="n">
        <v>46098</v>
      </c>
      <c r="B82" s="30" t="str">
        <f aca="false">CHOOSE(WEEKDAY(A82),"Sun","Mon","Tue","Wed","Thu","Fri","Sat")</f>
        <v>Tue</v>
      </c>
      <c r="C82" s="30" t="str">
        <f aca="false">IF(IFERROR(INDEX(Holidays!$D$5:$D$60,MATCH(A82,Holidays!$A$5:$A$60,0)),"")="Holiday","Holiday",IF(WEEKDAY(A82)&gt;=6,"Weekend",IF(IFERROR(INDEX(Holidays!$D$5:$D$60,MATCH(A82,Holidays!$A$5:$A$60,0)),"")="Eve","Eve","Workday")))</f>
        <v>Workday</v>
      </c>
      <c r="D82" s="18" t="str">
        <f aca="false">IFERROR(INDEX(Holidays!$C$5:$C$60,MATCH(A82,Holidays!$A$5:$A$60,0)),"")</f>
        <v/>
      </c>
      <c r="E82" s="31"/>
      <c r="F82" s="32"/>
      <c r="G82" s="32"/>
      <c r="H82" s="32"/>
      <c r="I82" s="32"/>
      <c r="J82" s="31"/>
      <c r="K82" s="33" t="str">
        <f aca="false">IF(E82&lt;&gt;"",E82,IF(U82,"Present",IF(C82="Holiday","Holiday","Weekend")))</f>
        <v>Present</v>
      </c>
      <c r="L82" s="34" t="n">
        <f aca="false">IF(OR(K82="Present",K82="Manual Work",K82="Partial Vacation",K82="Partial Sick Leave"),IF(ISNUMBER(F82),F82,IF(AND(K82="Present",U82),Settings!$B$6,"")),"")</f>
        <v>0.333333333333333</v>
      </c>
      <c r="M82" s="34" t="n">
        <f aca="false">IF(OR(K82="Present",K82="Manual Work",K82="Partial Vacation",K82="Partial Sick Leave"),IF(ISNUMBER(G82),G82,IF(AND(K82="Present",U82),V82,"")),"")</f>
        <v>0.6875</v>
      </c>
      <c r="N82" s="14" t="n">
        <f aca="false">IF(AND(ISNUMBER(L82),ISNUMBER(M82)),MAX(0,(M82-L82)*24),0)</f>
        <v>8.5</v>
      </c>
      <c r="O82" s="14" t="n">
        <f aca="false">IF(NOT(U82),0,IF(K82="Vacation",IF(C82="Eve",Settings!$B$9*Settings!$B$11,W82),IF(K82="Partial Vacation",IF(AND(ISNUMBER(H82),ISNUMBER(I82)),MAX(0,(I82-H82)*24),0),0)))</f>
        <v>0</v>
      </c>
      <c r="P82" s="14" t="n">
        <f aca="false">IF(NOT(U82),0,IF(K82="Sick Leave",W82,IF(K82="Partial Sick Leave",IF(AND(ISNUMBER(H82),ISNUMBER(I82)),MAX(0,(I82-H82)*24),0),0)))</f>
        <v>0</v>
      </c>
      <c r="Q82" s="14" t="n">
        <f aca="false">IF(NOT(U82),0,IF(K82="Vacation",IF(C82="Eve",Settings!$B$11,1),IF(K82="Partial Vacation",O82/Settings!$B$9,0)))</f>
        <v>0</v>
      </c>
      <c r="R82" s="14" t="n">
        <f aca="false">IF(NOT(U82),0,IF(K82="Sick Leave",1,IF(K82="Partial Sick Leave",P82/Settings!$B$9,0)))</f>
        <v>0</v>
      </c>
      <c r="S82" s="35" t="str">
        <f aca="false">IF(AND(OR(E82="Vacation",E82="Sick Leave",E82="Partial Vacation",E82="Partial Sick Leave"),NOT(U82)),"Leave not allowed on this day",IF(AND(E82="Manual Work",OR(NOT(ISNUMBER(F82)),NOT(ISNUMBER(G82)))),"Enter start and end",IF(AND(OR(E82="Partial Vacation",E82="Partial Sick Leave"),OR(NOT(ISNUMBER(H82)),NOT(ISNUMBER(I82)))),"Enter leave from and to",IF(AND(ISNUMBER(F82),ISNUMBER(G82),G82&lt;=F82),"End is before start",IF(AND(ISNUMBER(H82),ISNUMBER(I82),I82&lt;=H82),"Leave end is before start",IF(AND(ISNUMBER(F82),ISNUMBER(G82),ISNUMBER(H82),ISNUMBER(I82),F82&lt;I82,H82&lt;G82),"Work and leave hours overlap",IF(AND(E82&lt;&gt;"",WEEKDAY(A82)=7),"Saturday - administrator only","")))))))</f>
        <v/>
      </c>
      <c r="T82" s="36" t="n">
        <f aca="false">MONTH(A82)</f>
        <v>3</v>
      </c>
      <c r="U82" s="37" t="b">
        <f aca="false">OR(C82="Workday",C82="Eve")</f>
        <v>1</v>
      </c>
      <c r="V82" s="34" t="n">
        <f aca="false">IF(C82="Eve",Settings!$B$8,Settings!$B$7)</f>
        <v>0.6875</v>
      </c>
      <c r="W82" s="14" t="n">
        <f aca="false">IF(U82,(V82-Settings!$B$6)*24,0)</f>
        <v>8.5</v>
      </c>
    </row>
    <row r="83" customFormat="false" ht="15" hidden="false" customHeight="false" outlineLevel="0" collapsed="false">
      <c r="A83" s="29" t="n">
        <v>46099</v>
      </c>
      <c r="B83" s="30" t="str">
        <f aca="false">CHOOSE(WEEKDAY(A83),"Sun","Mon","Tue","Wed","Thu","Fri","Sat")</f>
        <v>Wed</v>
      </c>
      <c r="C83" s="30" t="str">
        <f aca="false">IF(IFERROR(INDEX(Holidays!$D$5:$D$60,MATCH(A83,Holidays!$A$5:$A$60,0)),"")="Holiday","Holiday",IF(WEEKDAY(A83)&gt;=6,"Weekend",IF(IFERROR(INDEX(Holidays!$D$5:$D$60,MATCH(A83,Holidays!$A$5:$A$60,0)),"")="Eve","Eve","Workday")))</f>
        <v>Workday</v>
      </c>
      <c r="D83" s="18" t="str">
        <f aca="false">IFERROR(INDEX(Holidays!$C$5:$C$60,MATCH(A83,Holidays!$A$5:$A$60,0)),"")</f>
        <v/>
      </c>
      <c r="E83" s="31"/>
      <c r="F83" s="32"/>
      <c r="G83" s="32"/>
      <c r="H83" s="32"/>
      <c r="I83" s="32"/>
      <c r="J83" s="31"/>
      <c r="K83" s="33" t="str">
        <f aca="false">IF(E83&lt;&gt;"",E83,IF(U83,"Present",IF(C83="Holiday","Holiday","Weekend")))</f>
        <v>Present</v>
      </c>
      <c r="L83" s="34" t="n">
        <f aca="false">IF(OR(K83="Present",K83="Manual Work",K83="Partial Vacation",K83="Partial Sick Leave"),IF(ISNUMBER(F83),F83,IF(AND(K83="Present",U83),Settings!$B$6,"")),"")</f>
        <v>0.333333333333333</v>
      </c>
      <c r="M83" s="34" t="n">
        <f aca="false">IF(OR(K83="Present",K83="Manual Work",K83="Partial Vacation",K83="Partial Sick Leave"),IF(ISNUMBER(G83),G83,IF(AND(K83="Present",U83),V83,"")),"")</f>
        <v>0.6875</v>
      </c>
      <c r="N83" s="14" t="n">
        <f aca="false">IF(AND(ISNUMBER(L83),ISNUMBER(M83)),MAX(0,(M83-L83)*24),0)</f>
        <v>8.5</v>
      </c>
      <c r="O83" s="14" t="n">
        <f aca="false">IF(NOT(U83),0,IF(K83="Vacation",IF(C83="Eve",Settings!$B$9*Settings!$B$11,W83),IF(K83="Partial Vacation",IF(AND(ISNUMBER(H83),ISNUMBER(I83)),MAX(0,(I83-H83)*24),0),0)))</f>
        <v>0</v>
      </c>
      <c r="P83" s="14" t="n">
        <f aca="false">IF(NOT(U83),0,IF(K83="Sick Leave",W83,IF(K83="Partial Sick Leave",IF(AND(ISNUMBER(H83),ISNUMBER(I83)),MAX(0,(I83-H83)*24),0),0)))</f>
        <v>0</v>
      </c>
      <c r="Q83" s="14" t="n">
        <f aca="false">IF(NOT(U83),0,IF(K83="Vacation",IF(C83="Eve",Settings!$B$11,1),IF(K83="Partial Vacation",O83/Settings!$B$9,0)))</f>
        <v>0</v>
      </c>
      <c r="R83" s="14" t="n">
        <f aca="false">IF(NOT(U83),0,IF(K83="Sick Leave",1,IF(K83="Partial Sick Leave",P83/Settings!$B$9,0)))</f>
        <v>0</v>
      </c>
      <c r="S83" s="35" t="str">
        <f aca="false">IF(AND(OR(E83="Vacation",E83="Sick Leave",E83="Partial Vacation",E83="Partial Sick Leave"),NOT(U83)),"Leave not allowed on this day",IF(AND(E83="Manual Work",OR(NOT(ISNUMBER(F83)),NOT(ISNUMBER(G83)))),"Enter start and end",IF(AND(OR(E83="Partial Vacation",E83="Partial Sick Leave"),OR(NOT(ISNUMBER(H83)),NOT(ISNUMBER(I83)))),"Enter leave from and to",IF(AND(ISNUMBER(F83),ISNUMBER(G83),G83&lt;=F83),"End is before start",IF(AND(ISNUMBER(H83),ISNUMBER(I83),I83&lt;=H83),"Leave end is before start",IF(AND(ISNUMBER(F83),ISNUMBER(G83),ISNUMBER(H83),ISNUMBER(I83),F83&lt;I83,H83&lt;G83),"Work and leave hours overlap",IF(AND(E83&lt;&gt;"",WEEKDAY(A83)=7),"Saturday - administrator only","")))))))</f>
        <v/>
      </c>
      <c r="T83" s="36" t="n">
        <f aca="false">MONTH(A83)</f>
        <v>3</v>
      </c>
      <c r="U83" s="37" t="b">
        <f aca="false">OR(C83="Workday",C83="Eve")</f>
        <v>1</v>
      </c>
      <c r="V83" s="34" t="n">
        <f aca="false">IF(C83="Eve",Settings!$B$8,Settings!$B$7)</f>
        <v>0.6875</v>
      </c>
      <c r="W83" s="14" t="n">
        <f aca="false">IF(U83,(V83-Settings!$B$6)*24,0)</f>
        <v>8.5</v>
      </c>
    </row>
    <row r="84" customFormat="false" ht="15" hidden="false" customHeight="false" outlineLevel="0" collapsed="false">
      <c r="A84" s="29" t="n">
        <v>46100</v>
      </c>
      <c r="B84" s="30" t="str">
        <f aca="false">CHOOSE(WEEKDAY(A84),"Sun","Mon","Tue","Wed","Thu","Fri","Sat")</f>
        <v>Thu</v>
      </c>
      <c r="C84" s="30" t="str">
        <f aca="false">IF(IFERROR(INDEX(Holidays!$D$5:$D$60,MATCH(A84,Holidays!$A$5:$A$60,0)),"")="Holiday","Holiday",IF(WEEKDAY(A84)&gt;=6,"Weekend",IF(IFERROR(INDEX(Holidays!$D$5:$D$60,MATCH(A84,Holidays!$A$5:$A$60,0)),"")="Eve","Eve","Workday")))</f>
        <v>Workday</v>
      </c>
      <c r="D84" s="18" t="str">
        <f aca="false">IFERROR(INDEX(Holidays!$C$5:$C$60,MATCH(A84,Holidays!$A$5:$A$60,0)),"")</f>
        <v/>
      </c>
      <c r="E84" s="31"/>
      <c r="F84" s="32"/>
      <c r="G84" s="32"/>
      <c r="H84" s="32"/>
      <c r="I84" s="32"/>
      <c r="J84" s="31"/>
      <c r="K84" s="33" t="str">
        <f aca="false">IF(E84&lt;&gt;"",E84,IF(U84,"Present",IF(C84="Holiday","Holiday","Weekend")))</f>
        <v>Present</v>
      </c>
      <c r="L84" s="34" t="n">
        <f aca="false">IF(OR(K84="Present",K84="Manual Work",K84="Partial Vacation",K84="Partial Sick Leave"),IF(ISNUMBER(F84),F84,IF(AND(K84="Present",U84),Settings!$B$6,"")),"")</f>
        <v>0.333333333333333</v>
      </c>
      <c r="M84" s="34" t="n">
        <f aca="false">IF(OR(K84="Present",K84="Manual Work",K84="Partial Vacation",K84="Partial Sick Leave"),IF(ISNUMBER(G84),G84,IF(AND(K84="Present",U84),V84,"")),"")</f>
        <v>0.6875</v>
      </c>
      <c r="N84" s="14" t="n">
        <f aca="false">IF(AND(ISNUMBER(L84),ISNUMBER(M84)),MAX(0,(M84-L84)*24),0)</f>
        <v>8.5</v>
      </c>
      <c r="O84" s="14" t="n">
        <f aca="false">IF(NOT(U84),0,IF(K84="Vacation",IF(C84="Eve",Settings!$B$9*Settings!$B$11,W84),IF(K84="Partial Vacation",IF(AND(ISNUMBER(H84),ISNUMBER(I84)),MAX(0,(I84-H84)*24),0),0)))</f>
        <v>0</v>
      </c>
      <c r="P84" s="14" t="n">
        <f aca="false">IF(NOT(U84),0,IF(K84="Sick Leave",W84,IF(K84="Partial Sick Leave",IF(AND(ISNUMBER(H84),ISNUMBER(I84)),MAX(0,(I84-H84)*24),0),0)))</f>
        <v>0</v>
      </c>
      <c r="Q84" s="14" t="n">
        <f aca="false">IF(NOT(U84),0,IF(K84="Vacation",IF(C84="Eve",Settings!$B$11,1),IF(K84="Partial Vacation",O84/Settings!$B$9,0)))</f>
        <v>0</v>
      </c>
      <c r="R84" s="14" t="n">
        <f aca="false">IF(NOT(U84),0,IF(K84="Sick Leave",1,IF(K84="Partial Sick Leave",P84/Settings!$B$9,0)))</f>
        <v>0</v>
      </c>
      <c r="S84" s="35" t="str">
        <f aca="false">IF(AND(OR(E84="Vacation",E84="Sick Leave",E84="Partial Vacation",E84="Partial Sick Leave"),NOT(U84)),"Leave not allowed on this day",IF(AND(E84="Manual Work",OR(NOT(ISNUMBER(F84)),NOT(ISNUMBER(G84)))),"Enter start and end",IF(AND(OR(E84="Partial Vacation",E84="Partial Sick Leave"),OR(NOT(ISNUMBER(H84)),NOT(ISNUMBER(I84)))),"Enter leave from and to",IF(AND(ISNUMBER(F84),ISNUMBER(G84),G84&lt;=F84),"End is before start",IF(AND(ISNUMBER(H84),ISNUMBER(I84),I84&lt;=H84),"Leave end is before start",IF(AND(ISNUMBER(F84),ISNUMBER(G84),ISNUMBER(H84),ISNUMBER(I84),F84&lt;I84,H84&lt;G84),"Work and leave hours overlap",IF(AND(E84&lt;&gt;"",WEEKDAY(A84)=7),"Saturday - administrator only","")))))))</f>
        <v/>
      </c>
      <c r="T84" s="36" t="n">
        <f aca="false">MONTH(A84)</f>
        <v>3</v>
      </c>
      <c r="U84" s="37" t="b">
        <f aca="false">OR(C84="Workday",C84="Eve")</f>
        <v>1</v>
      </c>
      <c r="V84" s="34" t="n">
        <f aca="false">IF(C84="Eve",Settings!$B$8,Settings!$B$7)</f>
        <v>0.6875</v>
      </c>
      <c r="W84" s="14" t="n">
        <f aca="false">IF(U84,(V84-Settings!$B$6)*24,0)</f>
        <v>8.5</v>
      </c>
    </row>
    <row r="85" customFormat="false" ht="15" hidden="false" customHeight="false" outlineLevel="0" collapsed="false">
      <c r="A85" s="29" t="n">
        <v>46101</v>
      </c>
      <c r="B85" s="30" t="str">
        <f aca="false">CHOOSE(WEEKDAY(A85),"Sun","Mon","Tue","Wed","Thu","Fri","Sat")</f>
        <v>Fri</v>
      </c>
      <c r="C85" s="30" t="str">
        <f aca="false">IF(IFERROR(INDEX(Holidays!$D$5:$D$60,MATCH(A85,Holidays!$A$5:$A$60,0)),"")="Holiday","Holiday",IF(WEEKDAY(A85)&gt;=6,"Weekend",IF(IFERROR(INDEX(Holidays!$D$5:$D$60,MATCH(A85,Holidays!$A$5:$A$60,0)),"")="Eve","Eve","Workday")))</f>
        <v>Weekend</v>
      </c>
      <c r="D85" s="18" t="str">
        <f aca="false">IFERROR(INDEX(Holidays!$C$5:$C$60,MATCH(A85,Holidays!$A$5:$A$60,0)),"")</f>
        <v/>
      </c>
      <c r="E85" s="31"/>
      <c r="F85" s="32"/>
      <c r="G85" s="32"/>
      <c r="H85" s="32"/>
      <c r="I85" s="32"/>
      <c r="J85" s="31"/>
      <c r="K85" s="33" t="str">
        <f aca="false">IF(E85&lt;&gt;"",E85,IF(U85,"Present",IF(C85="Holiday","Holiday","Weekend")))</f>
        <v>Weekend</v>
      </c>
      <c r="L85" s="34" t="str">
        <f aca="false">IF(OR(K85="Present",K85="Manual Work",K85="Partial Vacation",K85="Partial Sick Leave"),IF(ISNUMBER(F85),F85,IF(AND(K85="Present",U85),Settings!$B$6,"")),"")</f>
        <v/>
      </c>
      <c r="M85" s="34" t="str">
        <f aca="false">IF(OR(K85="Present",K85="Manual Work",K85="Partial Vacation",K85="Partial Sick Leave"),IF(ISNUMBER(G85),G85,IF(AND(K85="Present",U85),V85,"")),"")</f>
        <v/>
      </c>
      <c r="N85" s="14" t="n">
        <f aca="false">IF(AND(ISNUMBER(L85),ISNUMBER(M85)),MAX(0,(M85-L85)*24),0)</f>
        <v>0</v>
      </c>
      <c r="O85" s="14" t="n">
        <f aca="false">IF(NOT(U85),0,IF(K85="Vacation",IF(C85="Eve",Settings!$B$9*Settings!$B$11,W85),IF(K85="Partial Vacation",IF(AND(ISNUMBER(H85),ISNUMBER(I85)),MAX(0,(I85-H85)*24),0),0)))</f>
        <v>0</v>
      </c>
      <c r="P85" s="14" t="n">
        <f aca="false">IF(NOT(U85),0,IF(K85="Sick Leave",W85,IF(K85="Partial Sick Leave",IF(AND(ISNUMBER(H85),ISNUMBER(I85)),MAX(0,(I85-H85)*24),0),0)))</f>
        <v>0</v>
      </c>
      <c r="Q85" s="14" t="n">
        <f aca="false">IF(NOT(U85),0,IF(K85="Vacation",IF(C85="Eve",Settings!$B$11,1),IF(K85="Partial Vacation",O85/Settings!$B$9,0)))</f>
        <v>0</v>
      </c>
      <c r="R85" s="14" t="n">
        <f aca="false">IF(NOT(U85),0,IF(K85="Sick Leave",1,IF(K85="Partial Sick Leave",P85/Settings!$B$9,0)))</f>
        <v>0</v>
      </c>
      <c r="S85" s="35" t="str">
        <f aca="false">IF(AND(OR(E85="Vacation",E85="Sick Leave",E85="Partial Vacation",E85="Partial Sick Leave"),NOT(U85)),"Leave not allowed on this day",IF(AND(E85="Manual Work",OR(NOT(ISNUMBER(F85)),NOT(ISNUMBER(G85)))),"Enter start and end",IF(AND(OR(E85="Partial Vacation",E85="Partial Sick Leave"),OR(NOT(ISNUMBER(H85)),NOT(ISNUMBER(I85)))),"Enter leave from and to",IF(AND(ISNUMBER(F85),ISNUMBER(G85),G85&lt;=F85),"End is before start",IF(AND(ISNUMBER(H85),ISNUMBER(I85),I85&lt;=H85),"Leave end is before start",IF(AND(ISNUMBER(F85),ISNUMBER(G85),ISNUMBER(H85),ISNUMBER(I85),F85&lt;I85,H85&lt;G85),"Work and leave hours overlap",IF(AND(E85&lt;&gt;"",WEEKDAY(A85)=7),"Saturday - administrator only","")))))))</f>
        <v/>
      </c>
      <c r="T85" s="36" t="n">
        <f aca="false">MONTH(A85)</f>
        <v>3</v>
      </c>
      <c r="U85" s="37" t="b">
        <f aca="false">OR(C85="Workday",C85="Eve")</f>
        <v>0</v>
      </c>
      <c r="V85" s="34" t="n">
        <f aca="false">IF(C85="Eve",Settings!$B$8,Settings!$B$7)</f>
        <v>0.6875</v>
      </c>
      <c r="W85" s="14" t="n">
        <f aca="false">IF(U85,(V85-Settings!$B$6)*24,0)</f>
        <v>0</v>
      </c>
    </row>
    <row r="86" customFormat="false" ht="15" hidden="false" customHeight="false" outlineLevel="0" collapsed="false">
      <c r="A86" s="29" t="n">
        <v>46102</v>
      </c>
      <c r="B86" s="30" t="str">
        <f aca="false">CHOOSE(WEEKDAY(A86),"Sun","Mon","Tue","Wed","Thu","Fri","Sat")</f>
        <v>Sat</v>
      </c>
      <c r="C86" s="30" t="str">
        <f aca="false">IF(IFERROR(INDEX(Holidays!$D$5:$D$60,MATCH(A86,Holidays!$A$5:$A$60,0)),"")="Holiday","Holiday",IF(WEEKDAY(A86)&gt;=6,"Weekend",IF(IFERROR(INDEX(Holidays!$D$5:$D$60,MATCH(A86,Holidays!$A$5:$A$60,0)),"")="Eve","Eve","Workday")))</f>
        <v>Weekend</v>
      </c>
      <c r="D86" s="18" t="str">
        <f aca="false">IFERROR(INDEX(Holidays!$C$5:$C$60,MATCH(A86,Holidays!$A$5:$A$60,0)),"")</f>
        <v/>
      </c>
      <c r="E86" s="31"/>
      <c r="F86" s="32"/>
      <c r="G86" s="32"/>
      <c r="H86" s="32"/>
      <c r="I86" s="32"/>
      <c r="J86" s="31"/>
      <c r="K86" s="33" t="str">
        <f aca="false">IF(E86&lt;&gt;"",E86,IF(U86,"Present",IF(C86="Holiday","Holiday","Weekend")))</f>
        <v>Weekend</v>
      </c>
      <c r="L86" s="34" t="str">
        <f aca="false">IF(OR(K86="Present",K86="Manual Work",K86="Partial Vacation",K86="Partial Sick Leave"),IF(ISNUMBER(F86),F86,IF(AND(K86="Present",U86),Settings!$B$6,"")),"")</f>
        <v/>
      </c>
      <c r="M86" s="34" t="str">
        <f aca="false">IF(OR(K86="Present",K86="Manual Work",K86="Partial Vacation",K86="Partial Sick Leave"),IF(ISNUMBER(G86),G86,IF(AND(K86="Present",U86),V86,"")),"")</f>
        <v/>
      </c>
      <c r="N86" s="14" t="n">
        <f aca="false">IF(AND(ISNUMBER(L86),ISNUMBER(M86)),MAX(0,(M86-L86)*24),0)</f>
        <v>0</v>
      </c>
      <c r="O86" s="14" t="n">
        <f aca="false">IF(NOT(U86),0,IF(K86="Vacation",IF(C86="Eve",Settings!$B$9*Settings!$B$11,W86),IF(K86="Partial Vacation",IF(AND(ISNUMBER(H86),ISNUMBER(I86)),MAX(0,(I86-H86)*24),0),0)))</f>
        <v>0</v>
      </c>
      <c r="P86" s="14" t="n">
        <f aca="false">IF(NOT(U86),0,IF(K86="Sick Leave",W86,IF(K86="Partial Sick Leave",IF(AND(ISNUMBER(H86),ISNUMBER(I86)),MAX(0,(I86-H86)*24),0),0)))</f>
        <v>0</v>
      </c>
      <c r="Q86" s="14" t="n">
        <f aca="false">IF(NOT(U86),0,IF(K86="Vacation",IF(C86="Eve",Settings!$B$11,1),IF(K86="Partial Vacation",O86/Settings!$B$9,0)))</f>
        <v>0</v>
      </c>
      <c r="R86" s="14" t="n">
        <f aca="false">IF(NOT(U86),0,IF(K86="Sick Leave",1,IF(K86="Partial Sick Leave",P86/Settings!$B$9,0)))</f>
        <v>0</v>
      </c>
      <c r="S86" s="35" t="str">
        <f aca="false">IF(AND(OR(E86="Vacation",E86="Sick Leave",E86="Partial Vacation",E86="Partial Sick Leave"),NOT(U86)),"Leave not allowed on this day",IF(AND(E86="Manual Work",OR(NOT(ISNUMBER(F86)),NOT(ISNUMBER(G86)))),"Enter start and end",IF(AND(OR(E86="Partial Vacation",E86="Partial Sick Leave"),OR(NOT(ISNUMBER(H86)),NOT(ISNUMBER(I86)))),"Enter leave from and to",IF(AND(ISNUMBER(F86),ISNUMBER(G86),G86&lt;=F86),"End is before start",IF(AND(ISNUMBER(H86),ISNUMBER(I86),I86&lt;=H86),"Leave end is before start",IF(AND(ISNUMBER(F86),ISNUMBER(G86),ISNUMBER(H86),ISNUMBER(I86),F86&lt;I86,H86&lt;G86),"Work and leave hours overlap",IF(AND(E86&lt;&gt;"",WEEKDAY(A86)=7),"Saturday - administrator only","")))))))</f>
        <v/>
      </c>
      <c r="T86" s="36" t="n">
        <f aca="false">MONTH(A86)</f>
        <v>3</v>
      </c>
      <c r="U86" s="37" t="b">
        <f aca="false">OR(C86="Workday",C86="Eve")</f>
        <v>0</v>
      </c>
      <c r="V86" s="34" t="n">
        <f aca="false">IF(C86="Eve",Settings!$B$8,Settings!$B$7)</f>
        <v>0.6875</v>
      </c>
      <c r="W86" s="14" t="n">
        <f aca="false">IF(U86,(V86-Settings!$B$6)*24,0)</f>
        <v>0</v>
      </c>
    </row>
    <row r="87" customFormat="false" ht="15" hidden="false" customHeight="false" outlineLevel="0" collapsed="false">
      <c r="A87" s="29" t="n">
        <v>46103</v>
      </c>
      <c r="B87" s="30" t="str">
        <f aca="false">CHOOSE(WEEKDAY(A87),"Sun","Mon","Tue","Wed","Thu","Fri","Sat")</f>
        <v>Sun</v>
      </c>
      <c r="C87" s="30" t="str">
        <f aca="false">IF(IFERROR(INDEX(Holidays!$D$5:$D$60,MATCH(A87,Holidays!$A$5:$A$60,0)),"")="Holiday","Holiday",IF(WEEKDAY(A87)&gt;=6,"Weekend",IF(IFERROR(INDEX(Holidays!$D$5:$D$60,MATCH(A87,Holidays!$A$5:$A$60,0)),"")="Eve","Eve","Workday")))</f>
        <v>Workday</v>
      </c>
      <c r="D87" s="18" t="str">
        <f aca="false">IFERROR(INDEX(Holidays!$C$5:$C$60,MATCH(A87,Holidays!$A$5:$A$60,0)),"")</f>
        <v/>
      </c>
      <c r="E87" s="31"/>
      <c r="F87" s="32"/>
      <c r="G87" s="32"/>
      <c r="H87" s="32"/>
      <c r="I87" s="32"/>
      <c r="J87" s="31"/>
      <c r="K87" s="33" t="str">
        <f aca="false">IF(E87&lt;&gt;"",E87,IF(U87,"Present",IF(C87="Holiday","Holiday","Weekend")))</f>
        <v>Present</v>
      </c>
      <c r="L87" s="34" t="n">
        <f aca="false">IF(OR(K87="Present",K87="Manual Work",K87="Partial Vacation",K87="Partial Sick Leave"),IF(ISNUMBER(F87),F87,IF(AND(K87="Present",U87),Settings!$B$6,"")),"")</f>
        <v>0.333333333333333</v>
      </c>
      <c r="M87" s="34" t="n">
        <f aca="false">IF(OR(K87="Present",K87="Manual Work",K87="Partial Vacation",K87="Partial Sick Leave"),IF(ISNUMBER(G87),G87,IF(AND(K87="Present",U87),V87,"")),"")</f>
        <v>0.6875</v>
      </c>
      <c r="N87" s="14" t="n">
        <f aca="false">IF(AND(ISNUMBER(L87),ISNUMBER(M87)),MAX(0,(M87-L87)*24),0)</f>
        <v>8.5</v>
      </c>
      <c r="O87" s="14" t="n">
        <f aca="false">IF(NOT(U87),0,IF(K87="Vacation",IF(C87="Eve",Settings!$B$9*Settings!$B$11,W87),IF(K87="Partial Vacation",IF(AND(ISNUMBER(H87),ISNUMBER(I87)),MAX(0,(I87-H87)*24),0),0)))</f>
        <v>0</v>
      </c>
      <c r="P87" s="14" t="n">
        <f aca="false">IF(NOT(U87),0,IF(K87="Sick Leave",W87,IF(K87="Partial Sick Leave",IF(AND(ISNUMBER(H87),ISNUMBER(I87)),MAX(0,(I87-H87)*24),0),0)))</f>
        <v>0</v>
      </c>
      <c r="Q87" s="14" t="n">
        <f aca="false">IF(NOT(U87),0,IF(K87="Vacation",IF(C87="Eve",Settings!$B$11,1),IF(K87="Partial Vacation",O87/Settings!$B$9,0)))</f>
        <v>0</v>
      </c>
      <c r="R87" s="14" t="n">
        <f aca="false">IF(NOT(U87),0,IF(K87="Sick Leave",1,IF(K87="Partial Sick Leave",P87/Settings!$B$9,0)))</f>
        <v>0</v>
      </c>
      <c r="S87" s="35" t="str">
        <f aca="false">IF(AND(OR(E87="Vacation",E87="Sick Leave",E87="Partial Vacation",E87="Partial Sick Leave"),NOT(U87)),"Leave not allowed on this day",IF(AND(E87="Manual Work",OR(NOT(ISNUMBER(F87)),NOT(ISNUMBER(G87)))),"Enter start and end",IF(AND(OR(E87="Partial Vacation",E87="Partial Sick Leave"),OR(NOT(ISNUMBER(H87)),NOT(ISNUMBER(I87)))),"Enter leave from and to",IF(AND(ISNUMBER(F87),ISNUMBER(G87),G87&lt;=F87),"End is before start",IF(AND(ISNUMBER(H87),ISNUMBER(I87),I87&lt;=H87),"Leave end is before start",IF(AND(ISNUMBER(F87),ISNUMBER(G87),ISNUMBER(H87),ISNUMBER(I87),F87&lt;I87,H87&lt;G87),"Work and leave hours overlap",IF(AND(E87&lt;&gt;"",WEEKDAY(A87)=7),"Saturday - administrator only","")))))))</f>
        <v/>
      </c>
      <c r="T87" s="36" t="n">
        <f aca="false">MONTH(A87)</f>
        <v>3</v>
      </c>
      <c r="U87" s="37" t="b">
        <f aca="false">OR(C87="Workday",C87="Eve")</f>
        <v>1</v>
      </c>
      <c r="V87" s="34" t="n">
        <f aca="false">IF(C87="Eve",Settings!$B$8,Settings!$B$7)</f>
        <v>0.6875</v>
      </c>
      <c r="W87" s="14" t="n">
        <f aca="false">IF(U87,(V87-Settings!$B$6)*24,0)</f>
        <v>8.5</v>
      </c>
    </row>
    <row r="88" customFormat="false" ht="15" hidden="false" customHeight="false" outlineLevel="0" collapsed="false">
      <c r="A88" s="29" t="n">
        <v>46104</v>
      </c>
      <c r="B88" s="30" t="str">
        <f aca="false">CHOOSE(WEEKDAY(A88),"Sun","Mon","Tue","Wed","Thu","Fri","Sat")</f>
        <v>Mon</v>
      </c>
      <c r="C88" s="30" t="str">
        <f aca="false">IF(IFERROR(INDEX(Holidays!$D$5:$D$60,MATCH(A88,Holidays!$A$5:$A$60,0)),"")="Holiday","Holiday",IF(WEEKDAY(A88)&gt;=6,"Weekend",IF(IFERROR(INDEX(Holidays!$D$5:$D$60,MATCH(A88,Holidays!$A$5:$A$60,0)),"")="Eve","Eve","Workday")))</f>
        <v>Workday</v>
      </c>
      <c r="D88" s="18" t="str">
        <f aca="false">IFERROR(INDEX(Holidays!$C$5:$C$60,MATCH(A88,Holidays!$A$5:$A$60,0)),"")</f>
        <v/>
      </c>
      <c r="E88" s="31"/>
      <c r="F88" s="32"/>
      <c r="G88" s="32"/>
      <c r="H88" s="32"/>
      <c r="I88" s="32"/>
      <c r="J88" s="31"/>
      <c r="K88" s="33" t="str">
        <f aca="false">IF(E88&lt;&gt;"",E88,IF(U88,"Present",IF(C88="Holiday","Holiday","Weekend")))</f>
        <v>Present</v>
      </c>
      <c r="L88" s="34" t="n">
        <f aca="false">IF(OR(K88="Present",K88="Manual Work",K88="Partial Vacation",K88="Partial Sick Leave"),IF(ISNUMBER(F88),F88,IF(AND(K88="Present",U88),Settings!$B$6,"")),"")</f>
        <v>0.333333333333333</v>
      </c>
      <c r="M88" s="34" t="n">
        <f aca="false">IF(OR(K88="Present",K88="Manual Work",K88="Partial Vacation",K88="Partial Sick Leave"),IF(ISNUMBER(G88),G88,IF(AND(K88="Present",U88),V88,"")),"")</f>
        <v>0.6875</v>
      </c>
      <c r="N88" s="14" t="n">
        <f aca="false">IF(AND(ISNUMBER(L88),ISNUMBER(M88)),MAX(0,(M88-L88)*24),0)</f>
        <v>8.5</v>
      </c>
      <c r="O88" s="14" t="n">
        <f aca="false">IF(NOT(U88),0,IF(K88="Vacation",IF(C88="Eve",Settings!$B$9*Settings!$B$11,W88),IF(K88="Partial Vacation",IF(AND(ISNUMBER(H88),ISNUMBER(I88)),MAX(0,(I88-H88)*24),0),0)))</f>
        <v>0</v>
      </c>
      <c r="P88" s="14" t="n">
        <f aca="false">IF(NOT(U88),0,IF(K88="Sick Leave",W88,IF(K88="Partial Sick Leave",IF(AND(ISNUMBER(H88),ISNUMBER(I88)),MAX(0,(I88-H88)*24),0),0)))</f>
        <v>0</v>
      </c>
      <c r="Q88" s="14" t="n">
        <f aca="false">IF(NOT(U88),0,IF(K88="Vacation",IF(C88="Eve",Settings!$B$11,1),IF(K88="Partial Vacation",O88/Settings!$B$9,0)))</f>
        <v>0</v>
      </c>
      <c r="R88" s="14" t="n">
        <f aca="false">IF(NOT(U88),0,IF(K88="Sick Leave",1,IF(K88="Partial Sick Leave",P88/Settings!$B$9,0)))</f>
        <v>0</v>
      </c>
      <c r="S88" s="35" t="str">
        <f aca="false">IF(AND(OR(E88="Vacation",E88="Sick Leave",E88="Partial Vacation",E88="Partial Sick Leave"),NOT(U88)),"Leave not allowed on this day",IF(AND(E88="Manual Work",OR(NOT(ISNUMBER(F88)),NOT(ISNUMBER(G88)))),"Enter start and end",IF(AND(OR(E88="Partial Vacation",E88="Partial Sick Leave"),OR(NOT(ISNUMBER(H88)),NOT(ISNUMBER(I88)))),"Enter leave from and to",IF(AND(ISNUMBER(F88),ISNUMBER(G88),G88&lt;=F88),"End is before start",IF(AND(ISNUMBER(H88),ISNUMBER(I88),I88&lt;=H88),"Leave end is before start",IF(AND(ISNUMBER(F88),ISNUMBER(G88),ISNUMBER(H88),ISNUMBER(I88),F88&lt;I88,H88&lt;G88),"Work and leave hours overlap",IF(AND(E88&lt;&gt;"",WEEKDAY(A88)=7),"Saturday - administrator only","")))))))</f>
        <v/>
      </c>
      <c r="T88" s="36" t="n">
        <f aca="false">MONTH(A88)</f>
        <v>3</v>
      </c>
      <c r="U88" s="37" t="b">
        <f aca="false">OR(C88="Workday",C88="Eve")</f>
        <v>1</v>
      </c>
      <c r="V88" s="34" t="n">
        <f aca="false">IF(C88="Eve",Settings!$B$8,Settings!$B$7)</f>
        <v>0.6875</v>
      </c>
      <c r="W88" s="14" t="n">
        <f aca="false">IF(U88,(V88-Settings!$B$6)*24,0)</f>
        <v>8.5</v>
      </c>
    </row>
    <row r="89" customFormat="false" ht="15" hidden="false" customHeight="false" outlineLevel="0" collapsed="false">
      <c r="A89" s="29" t="n">
        <v>46105</v>
      </c>
      <c r="B89" s="30" t="str">
        <f aca="false">CHOOSE(WEEKDAY(A89),"Sun","Mon","Tue","Wed","Thu","Fri","Sat")</f>
        <v>Tue</v>
      </c>
      <c r="C89" s="30" t="str">
        <f aca="false">IF(IFERROR(INDEX(Holidays!$D$5:$D$60,MATCH(A89,Holidays!$A$5:$A$60,0)),"")="Holiday","Holiday",IF(WEEKDAY(A89)&gt;=6,"Weekend",IF(IFERROR(INDEX(Holidays!$D$5:$D$60,MATCH(A89,Holidays!$A$5:$A$60,0)),"")="Eve","Eve","Workday")))</f>
        <v>Workday</v>
      </c>
      <c r="D89" s="18" t="str">
        <f aca="false">IFERROR(INDEX(Holidays!$C$5:$C$60,MATCH(A89,Holidays!$A$5:$A$60,0)),"")</f>
        <v/>
      </c>
      <c r="E89" s="31"/>
      <c r="F89" s="32"/>
      <c r="G89" s="32"/>
      <c r="H89" s="32"/>
      <c r="I89" s="32"/>
      <c r="J89" s="31"/>
      <c r="K89" s="33" t="str">
        <f aca="false">IF(E89&lt;&gt;"",E89,IF(U89,"Present",IF(C89="Holiday","Holiday","Weekend")))</f>
        <v>Present</v>
      </c>
      <c r="L89" s="34" t="n">
        <f aca="false">IF(OR(K89="Present",K89="Manual Work",K89="Partial Vacation",K89="Partial Sick Leave"),IF(ISNUMBER(F89),F89,IF(AND(K89="Present",U89),Settings!$B$6,"")),"")</f>
        <v>0.333333333333333</v>
      </c>
      <c r="M89" s="34" t="n">
        <f aca="false">IF(OR(K89="Present",K89="Manual Work",K89="Partial Vacation",K89="Partial Sick Leave"),IF(ISNUMBER(G89),G89,IF(AND(K89="Present",U89),V89,"")),"")</f>
        <v>0.6875</v>
      </c>
      <c r="N89" s="14" t="n">
        <f aca="false">IF(AND(ISNUMBER(L89),ISNUMBER(M89)),MAX(0,(M89-L89)*24),0)</f>
        <v>8.5</v>
      </c>
      <c r="O89" s="14" t="n">
        <f aca="false">IF(NOT(U89),0,IF(K89="Vacation",IF(C89="Eve",Settings!$B$9*Settings!$B$11,W89),IF(K89="Partial Vacation",IF(AND(ISNUMBER(H89),ISNUMBER(I89)),MAX(0,(I89-H89)*24),0),0)))</f>
        <v>0</v>
      </c>
      <c r="P89" s="14" t="n">
        <f aca="false">IF(NOT(U89),0,IF(K89="Sick Leave",W89,IF(K89="Partial Sick Leave",IF(AND(ISNUMBER(H89),ISNUMBER(I89)),MAX(0,(I89-H89)*24),0),0)))</f>
        <v>0</v>
      </c>
      <c r="Q89" s="14" t="n">
        <f aca="false">IF(NOT(U89),0,IF(K89="Vacation",IF(C89="Eve",Settings!$B$11,1),IF(K89="Partial Vacation",O89/Settings!$B$9,0)))</f>
        <v>0</v>
      </c>
      <c r="R89" s="14" t="n">
        <f aca="false">IF(NOT(U89),0,IF(K89="Sick Leave",1,IF(K89="Partial Sick Leave",P89/Settings!$B$9,0)))</f>
        <v>0</v>
      </c>
      <c r="S89" s="35" t="str">
        <f aca="false">IF(AND(OR(E89="Vacation",E89="Sick Leave",E89="Partial Vacation",E89="Partial Sick Leave"),NOT(U89)),"Leave not allowed on this day",IF(AND(E89="Manual Work",OR(NOT(ISNUMBER(F89)),NOT(ISNUMBER(G89)))),"Enter start and end",IF(AND(OR(E89="Partial Vacation",E89="Partial Sick Leave"),OR(NOT(ISNUMBER(H89)),NOT(ISNUMBER(I89)))),"Enter leave from and to",IF(AND(ISNUMBER(F89),ISNUMBER(G89),G89&lt;=F89),"End is before start",IF(AND(ISNUMBER(H89),ISNUMBER(I89),I89&lt;=H89),"Leave end is before start",IF(AND(ISNUMBER(F89),ISNUMBER(G89),ISNUMBER(H89),ISNUMBER(I89),F89&lt;I89,H89&lt;G89),"Work and leave hours overlap",IF(AND(E89&lt;&gt;"",WEEKDAY(A89)=7),"Saturday - administrator only","")))))))</f>
        <v/>
      </c>
      <c r="T89" s="36" t="n">
        <f aca="false">MONTH(A89)</f>
        <v>3</v>
      </c>
      <c r="U89" s="37" t="b">
        <f aca="false">OR(C89="Workday",C89="Eve")</f>
        <v>1</v>
      </c>
      <c r="V89" s="34" t="n">
        <f aca="false">IF(C89="Eve",Settings!$B$8,Settings!$B$7)</f>
        <v>0.6875</v>
      </c>
      <c r="W89" s="14" t="n">
        <f aca="false">IF(U89,(V89-Settings!$B$6)*24,0)</f>
        <v>8.5</v>
      </c>
    </row>
    <row r="90" customFormat="false" ht="15" hidden="false" customHeight="false" outlineLevel="0" collapsed="false">
      <c r="A90" s="29" t="n">
        <v>46106</v>
      </c>
      <c r="B90" s="30" t="str">
        <f aca="false">CHOOSE(WEEKDAY(A90),"Sun","Mon","Tue","Wed","Thu","Fri","Sat")</f>
        <v>Wed</v>
      </c>
      <c r="C90" s="30" t="str">
        <f aca="false">IF(IFERROR(INDEX(Holidays!$D$5:$D$60,MATCH(A90,Holidays!$A$5:$A$60,0)),"")="Holiday","Holiday",IF(WEEKDAY(A90)&gt;=6,"Weekend",IF(IFERROR(INDEX(Holidays!$D$5:$D$60,MATCH(A90,Holidays!$A$5:$A$60,0)),"")="Eve","Eve","Workday")))</f>
        <v>Workday</v>
      </c>
      <c r="D90" s="18" t="str">
        <f aca="false">IFERROR(INDEX(Holidays!$C$5:$C$60,MATCH(A90,Holidays!$A$5:$A$60,0)),"")</f>
        <v/>
      </c>
      <c r="E90" s="31"/>
      <c r="F90" s="32"/>
      <c r="G90" s="32"/>
      <c r="H90" s="32"/>
      <c r="I90" s="32"/>
      <c r="J90" s="31"/>
      <c r="K90" s="33" t="str">
        <f aca="false">IF(E90&lt;&gt;"",E90,IF(U90,"Present",IF(C90="Holiday","Holiday","Weekend")))</f>
        <v>Present</v>
      </c>
      <c r="L90" s="34" t="n">
        <f aca="false">IF(OR(K90="Present",K90="Manual Work",K90="Partial Vacation",K90="Partial Sick Leave"),IF(ISNUMBER(F90),F90,IF(AND(K90="Present",U90),Settings!$B$6,"")),"")</f>
        <v>0.333333333333333</v>
      </c>
      <c r="M90" s="34" t="n">
        <f aca="false">IF(OR(K90="Present",K90="Manual Work",K90="Partial Vacation",K90="Partial Sick Leave"),IF(ISNUMBER(G90),G90,IF(AND(K90="Present",U90),V90,"")),"")</f>
        <v>0.6875</v>
      </c>
      <c r="N90" s="14" t="n">
        <f aca="false">IF(AND(ISNUMBER(L90),ISNUMBER(M90)),MAX(0,(M90-L90)*24),0)</f>
        <v>8.5</v>
      </c>
      <c r="O90" s="14" t="n">
        <f aca="false">IF(NOT(U90),0,IF(K90="Vacation",IF(C90="Eve",Settings!$B$9*Settings!$B$11,W90),IF(K90="Partial Vacation",IF(AND(ISNUMBER(H90),ISNUMBER(I90)),MAX(0,(I90-H90)*24),0),0)))</f>
        <v>0</v>
      </c>
      <c r="P90" s="14" t="n">
        <f aca="false">IF(NOT(U90),0,IF(K90="Sick Leave",W90,IF(K90="Partial Sick Leave",IF(AND(ISNUMBER(H90),ISNUMBER(I90)),MAX(0,(I90-H90)*24),0),0)))</f>
        <v>0</v>
      </c>
      <c r="Q90" s="14" t="n">
        <f aca="false">IF(NOT(U90),0,IF(K90="Vacation",IF(C90="Eve",Settings!$B$11,1),IF(K90="Partial Vacation",O90/Settings!$B$9,0)))</f>
        <v>0</v>
      </c>
      <c r="R90" s="14" t="n">
        <f aca="false">IF(NOT(U90),0,IF(K90="Sick Leave",1,IF(K90="Partial Sick Leave",P90/Settings!$B$9,0)))</f>
        <v>0</v>
      </c>
      <c r="S90" s="35" t="str">
        <f aca="false">IF(AND(OR(E90="Vacation",E90="Sick Leave",E90="Partial Vacation",E90="Partial Sick Leave"),NOT(U90)),"Leave not allowed on this day",IF(AND(E90="Manual Work",OR(NOT(ISNUMBER(F90)),NOT(ISNUMBER(G90)))),"Enter start and end",IF(AND(OR(E90="Partial Vacation",E90="Partial Sick Leave"),OR(NOT(ISNUMBER(H90)),NOT(ISNUMBER(I90)))),"Enter leave from and to",IF(AND(ISNUMBER(F90),ISNUMBER(G90),G90&lt;=F90),"End is before start",IF(AND(ISNUMBER(H90),ISNUMBER(I90),I90&lt;=H90),"Leave end is before start",IF(AND(ISNUMBER(F90),ISNUMBER(G90),ISNUMBER(H90),ISNUMBER(I90),F90&lt;I90,H90&lt;G90),"Work and leave hours overlap",IF(AND(E90&lt;&gt;"",WEEKDAY(A90)=7),"Saturday - administrator only","")))))))</f>
        <v/>
      </c>
      <c r="T90" s="36" t="n">
        <f aca="false">MONTH(A90)</f>
        <v>3</v>
      </c>
      <c r="U90" s="37" t="b">
        <f aca="false">OR(C90="Workday",C90="Eve")</f>
        <v>1</v>
      </c>
      <c r="V90" s="34" t="n">
        <f aca="false">IF(C90="Eve",Settings!$B$8,Settings!$B$7)</f>
        <v>0.6875</v>
      </c>
      <c r="W90" s="14" t="n">
        <f aca="false">IF(U90,(V90-Settings!$B$6)*24,0)</f>
        <v>8.5</v>
      </c>
    </row>
    <row r="91" customFormat="false" ht="15" hidden="false" customHeight="false" outlineLevel="0" collapsed="false">
      <c r="A91" s="29" t="n">
        <v>46107</v>
      </c>
      <c r="B91" s="30" t="str">
        <f aca="false">CHOOSE(WEEKDAY(A91),"Sun","Mon","Tue","Wed","Thu","Fri","Sat")</f>
        <v>Thu</v>
      </c>
      <c r="C91" s="30" t="str">
        <f aca="false">IF(IFERROR(INDEX(Holidays!$D$5:$D$60,MATCH(A91,Holidays!$A$5:$A$60,0)),"")="Holiday","Holiday",IF(WEEKDAY(A91)&gt;=6,"Weekend",IF(IFERROR(INDEX(Holidays!$D$5:$D$60,MATCH(A91,Holidays!$A$5:$A$60,0)),"")="Eve","Eve","Workday")))</f>
        <v>Workday</v>
      </c>
      <c r="D91" s="18" t="str">
        <f aca="false">IFERROR(INDEX(Holidays!$C$5:$C$60,MATCH(A91,Holidays!$A$5:$A$60,0)),"")</f>
        <v/>
      </c>
      <c r="E91" s="31"/>
      <c r="F91" s="32"/>
      <c r="G91" s="32"/>
      <c r="H91" s="32"/>
      <c r="I91" s="32"/>
      <c r="J91" s="31"/>
      <c r="K91" s="33" t="str">
        <f aca="false">IF(E91&lt;&gt;"",E91,IF(U91,"Present",IF(C91="Holiday","Holiday","Weekend")))</f>
        <v>Present</v>
      </c>
      <c r="L91" s="34" t="n">
        <f aca="false">IF(OR(K91="Present",K91="Manual Work",K91="Partial Vacation",K91="Partial Sick Leave"),IF(ISNUMBER(F91),F91,IF(AND(K91="Present",U91),Settings!$B$6,"")),"")</f>
        <v>0.333333333333333</v>
      </c>
      <c r="M91" s="34" t="n">
        <f aca="false">IF(OR(K91="Present",K91="Manual Work",K91="Partial Vacation",K91="Partial Sick Leave"),IF(ISNUMBER(G91),G91,IF(AND(K91="Present",U91),V91,"")),"")</f>
        <v>0.6875</v>
      </c>
      <c r="N91" s="14" t="n">
        <f aca="false">IF(AND(ISNUMBER(L91),ISNUMBER(M91)),MAX(0,(M91-L91)*24),0)</f>
        <v>8.5</v>
      </c>
      <c r="O91" s="14" t="n">
        <f aca="false">IF(NOT(U91),0,IF(K91="Vacation",IF(C91="Eve",Settings!$B$9*Settings!$B$11,W91),IF(K91="Partial Vacation",IF(AND(ISNUMBER(H91),ISNUMBER(I91)),MAX(0,(I91-H91)*24),0),0)))</f>
        <v>0</v>
      </c>
      <c r="P91" s="14" t="n">
        <f aca="false">IF(NOT(U91),0,IF(K91="Sick Leave",W91,IF(K91="Partial Sick Leave",IF(AND(ISNUMBER(H91),ISNUMBER(I91)),MAX(0,(I91-H91)*24),0),0)))</f>
        <v>0</v>
      </c>
      <c r="Q91" s="14" t="n">
        <f aca="false">IF(NOT(U91),0,IF(K91="Vacation",IF(C91="Eve",Settings!$B$11,1),IF(K91="Partial Vacation",O91/Settings!$B$9,0)))</f>
        <v>0</v>
      </c>
      <c r="R91" s="14" t="n">
        <f aca="false">IF(NOT(U91),0,IF(K91="Sick Leave",1,IF(K91="Partial Sick Leave",P91/Settings!$B$9,0)))</f>
        <v>0</v>
      </c>
      <c r="S91" s="35" t="str">
        <f aca="false">IF(AND(OR(E91="Vacation",E91="Sick Leave",E91="Partial Vacation",E91="Partial Sick Leave"),NOT(U91)),"Leave not allowed on this day",IF(AND(E91="Manual Work",OR(NOT(ISNUMBER(F91)),NOT(ISNUMBER(G91)))),"Enter start and end",IF(AND(OR(E91="Partial Vacation",E91="Partial Sick Leave"),OR(NOT(ISNUMBER(H91)),NOT(ISNUMBER(I91)))),"Enter leave from and to",IF(AND(ISNUMBER(F91),ISNUMBER(G91),G91&lt;=F91),"End is before start",IF(AND(ISNUMBER(H91),ISNUMBER(I91),I91&lt;=H91),"Leave end is before start",IF(AND(ISNUMBER(F91),ISNUMBER(G91),ISNUMBER(H91),ISNUMBER(I91),F91&lt;I91,H91&lt;G91),"Work and leave hours overlap",IF(AND(E91&lt;&gt;"",WEEKDAY(A91)=7),"Saturday - administrator only","")))))))</f>
        <v/>
      </c>
      <c r="T91" s="36" t="n">
        <f aca="false">MONTH(A91)</f>
        <v>3</v>
      </c>
      <c r="U91" s="37" t="b">
        <f aca="false">OR(C91="Workday",C91="Eve")</f>
        <v>1</v>
      </c>
      <c r="V91" s="34" t="n">
        <f aca="false">IF(C91="Eve",Settings!$B$8,Settings!$B$7)</f>
        <v>0.6875</v>
      </c>
      <c r="W91" s="14" t="n">
        <f aca="false">IF(U91,(V91-Settings!$B$6)*24,0)</f>
        <v>8.5</v>
      </c>
    </row>
    <row r="92" customFormat="false" ht="15" hidden="false" customHeight="false" outlineLevel="0" collapsed="false">
      <c r="A92" s="29" t="n">
        <v>46108</v>
      </c>
      <c r="B92" s="30" t="str">
        <f aca="false">CHOOSE(WEEKDAY(A92),"Sun","Mon","Tue","Wed","Thu","Fri","Sat")</f>
        <v>Fri</v>
      </c>
      <c r="C92" s="30" t="str">
        <f aca="false">IF(IFERROR(INDEX(Holidays!$D$5:$D$60,MATCH(A92,Holidays!$A$5:$A$60,0)),"")="Holiday","Holiday",IF(WEEKDAY(A92)&gt;=6,"Weekend",IF(IFERROR(INDEX(Holidays!$D$5:$D$60,MATCH(A92,Holidays!$A$5:$A$60,0)),"")="Eve","Eve","Workday")))</f>
        <v>Weekend</v>
      </c>
      <c r="D92" s="18" t="str">
        <f aca="false">IFERROR(INDEX(Holidays!$C$5:$C$60,MATCH(A92,Holidays!$A$5:$A$60,0)),"")</f>
        <v/>
      </c>
      <c r="E92" s="31"/>
      <c r="F92" s="32"/>
      <c r="G92" s="32"/>
      <c r="H92" s="32"/>
      <c r="I92" s="32"/>
      <c r="J92" s="31"/>
      <c r="K92" s="33" t="str">
        <f aca="false">IF(E92&lt;&gt;"",E92,IF(U92,"Present",IF(C92="Holiday","Holiday","Weekend")))</f>
        <v>Weekend</v>
      </c>
      <c r="L92" s="34" t="str">
        <f aca="false">IF(OR(K92="Present",K92="Manual Work",K92="Partial Vacation",K92="Partial Sick Leave"),IF(ISNUMBER(F92),F92,IF(AND(K92="Present",U92),Settings!$B$6,"")),"")</f>
        <v/>
      </c>
      <c r="M92" s="34" t="str">
        <f aca="false">IF(OR(K92="Present",K92="Manual Work",K92="Partial Vacation",K92="Partial Sick Leave"),IF(ISNUMBER(G92),G92,IF(AND(K92="Present",U92),V92,"")),"")</f>
        <v/>
      </c>
      <c r="N92" s="14" t="n">
        <f aca="false">IF(AND(ISNUMBER(L92),ISNUMBER(M92)),MAX(0,(M92-L92)*24),0)</f>
        <v>0</v>
      </c>
      <c r="O92" s="14" t="n">
        <f aca="false">IF(NOT(U92),0,IF(K92="Vacation",IF(C92="Eve",Settings!$B$9*Settings!$B$11,W92),IF(K92="Partial Vacation",IF(AND(ISNUMBER(H92),ISNUMBER(I92)),MAX(0,(I92-H92)*24),0),0)))</f>
        <v>0</v>
      </c>
      <c r="P92" s="14" t="n">
        <f aca="false">IF(NOT(U92),0,IF(K92="Sick Leave",W92,IF(K92="Partial Sick Leave",IF(AND(ISNUMBER(H92),ISNUMBER(I92)),MAX(0,(I92-H92)*24),0),0)))</f>
        <v>0</v>
      </c>
      <c r="Q92" s="14" t="n">
        <f aca="false">IF(NOT(U92),0,IF(K92="Vacation",IF(C92="Eve",Settings!$B$11,1),IF(K92="Partial Vacation",O92/Settings!$B$9,0)))</f>
        <v>0</v>
      </c>
      <c r="R92" s="14" t="n">
        <f aca="false">IF(NOT(U92),0,IF(K92="Sick Leave",1,IF(K92="Partial Sick Leave",P92/Settings!$B$9,0)))</f>
        <v>0</v>
      </c>
      <c r="S92" s="35" t="str">
        <f aca="false">IF(AND(OR(E92="Vacation",E92="Sick Leave",E92="Partial Vacation",E92="Partial Sick Leave"),NOT(U92)),"Leave not allowed on this day",IF(AND(E92="Manual Work",OR(NOT(ISNUMBER(F92)),NOT(ISNUMBER(G92)))),"Enter start and end",IF(AND(OR(E92="Partial Vacation",E92="Partial Sick Leave"),OR(NOT(ISNUMBER(H92)),NOT(ISNUMBER(I92)))),"Enter leave from and to",IF(AND(ISNUMBER(F92),ISNUMBER(G92),G92&lt;=F92),"End is before start",IF(AND(ISNUMBER(H92),ISNUMBER(I92),I92&lt;=H92),"Leave end is before start",IF(AND(ISNUMBER(F92),ISNUMBER(G92),ISNUMBER(H92),ISNUMBER(I92),F92&lt;I92,H92&lt;G92),"Work and leave hours overlap",IF(AND(E92&lt;&gt;"",WEEKDAY(A92)=7),"Saturday - administrator only","")))))))</f>
        <v/>
      </c>
      <c r="T92" s="36" t="n">
        <f aca="false">MONTH(A92)</f>
        <v>3</v>
      </c>
      <c r="U92" s="37" t="b">
        <f aca="false">OR(C92="Workday",C92="Eve")</f>
        <v>0</v>
      </c>
      <c r="V92" s="34" t="n">
        <f aca="false">IF(C92="Eve",Settings!$B$8,Settings!$B$7)</f>
        <v>0.6875</v>
      </c>
      <c r="W92" s="14" t="n">
        <f aca="false">IF(U92,(V92-Settings!$B$6)*24,0)</f>
        <v>0</v>
      </c>
    </row>
    <row r="93" customFormat="false" ht="15" hidden="false" customHeight="false" outlineLevel="0" collapsed="false">
      <c r="A93" s="29" t="n">
        <v>46109</v>
      </c>
      <c r="B93" s="30" t="str">
        <f aca="false">CHOOSE(WEEKDAY(A93),"Sun","Mon","Tue","Wed","Thu","Fri","Sat")</f>
        <v>Sat</v>
      </c>
      <c r="C93" s="30" t="str">
        <f aca="false">IF(IFERROR(INDEX(Holidays!$D$5:$D$60,MATCH(A93,Holidays!$A$5:$A$60,0)),"")="Holiday","Holiday",IF(WEEKDAY(A93)&gt;=6,"Weekend",IF(IFERROR(INDEX(Holidays!$D$5:$D$60,MATCH(A93,Holidays!$A$5:$A$60,0)),"")="Eve","Eve","Workday")))</f>
        <v>Weekend</v>
      </c>
      <c r="D93" s="18" t="str">
        <f aca="false">IFERROR(INDEX(Holidays!$C$5:$C$60,MATCH(A93,Holidays!$A$5:$A$60,0)),"")</f>
        <v/>
      </c>
      <c r="E93" s="31"/>
      <c r="F93" s="32"/>
      <c r="G93" s="32"/>
      <c r="H93" s="32"/>
      <c r="I93" s="32"/>
      <c r="J93" s="31"/>
      <c r="K93" s="33" t="str">
        <f aca="false">IF(E93&lt;&gt;"",E93,IF(U93,"Present",IF(C93="Holiday","Holiday","Weekend")))</f>
        <v>Weekend</v>
      </c>
      <c r="L93" s="34" t="str">
        <f aca="false">IF(OR(K93="Present",K93="Manual Work",K93="Partial Vacation",K93="Partial Sick Leave"),IF(ISNUMBER(F93),F93,IF(AND(K93="Present",U93),Settings!$B$6,"")),"")</f>
        <v/>
      </c>
      <c r="M93" s="34" t="str">
        <f aca="false">IF(OR(K93="Present",K93="Manual Work",K93="Partial Vacation",K93="Partial Sick Leave"),IF(ISNUMBER(G93),G93,IF(AND(K93="Present",U93),V93,"")),"")</f>
        <v/>
      </c>
      <c r="N93" s="14" t="n">
        <f aca="false">IF(AND(ISNUMBER(L93),ISNUMBER(M93)),MAX(0,(M93-L93)*24),0)</f>
        <v>0</v>
      </c>
      <c r="O93" s="14" t="n">
        <f aca="false">IF(NOT(U93),0,IF(K93="Vacation",IF(C93="Eve",Settings!$B$9*Settings!$B$11,W93),IF(K93="Partial Vacation",IF(AND(ISNUMBER(H93),ISNUMBER(I93)),MAX(0,(I93-H93)*24),0),0)))</f>
        <v>0</v>
      </c>
      <c r="P93" s="14" t="n">
        <f aca="false">IF(NOT(U93),0,IF(K93="Sick Leave",W93,IF(K93="Partial Sick Leave",IF(AND(ISNUMBER(H93),ISNUMBER(I93)),MAX(0,(I93-H93)*24),0),0)))</f>
        <v>0</v>
      </c>
      <c r="Q93" s="14" t="n">
        <f aca="false">IF(NOT(U93),0,IF(K93="Vacation",IF(C93="Eve",Settings!$B$11,1),IF(K93="Partial Vacation",O93/Settings!$B$9,0)))</f>
        <v>0</v>
      </c>
      <c r="R93" s="14" t="n">
        <f aca="false">IF(NOT(U93),0,IF(K93="Sick Leave",1,IF(K93="Partial Sick Leave",P93/Settings!$B$9,0)))</f>
        <v>0</v>
      </c>
      <c r="S93" s="35" t="str">
        <f aca="false">IF(AND(OR(E93="Vacation",E93="Sick Leave",E93="Partial Vacation",E93="Partial Sick Leave"),NOT(U93)),"Leave not allowed on this day",IF(AND(E93="Manual Work",OR(NOT(ISNUMBER(F93)),NOT(ISNUMBER(G93)))),"Enter start and end",IF(AND(OR(E93="Partial Vacation",E93="Partial Sick Leave"),OR(NOT(ISNUMBER(H93)),NOT(ISNUMBER(I93)))),"Enter leave from and to",IF(AND(ISNUMBER(F93),ISNUMBER(G93),G93&lt;=F93),"End is before start",IF(AND(ISNUMBER(H93),ISNUMBER(I93),I93&lt;=H93),"Leave end is before start",IF(AND(ISNUMBER(F93),ISNUMBER(G93),ISNUMBER(H93),ISNUMBER(I93),F93&lt;I93,H93&lt;G93),"Work and leave hours overlap",IF(AND(E93&lt;&gt;"",WEEKDAY(A93)=7),"Saturday - administrator only","")))))))</f>
        <v/>
      </c>
      <c r="T93" s="36" t="n">
        <f aca="false">MONTH(A93)</f>
        <v>3</v>
      </c>
      <c r="U93" s="37" t="b">
        <f aca="false">OR(C93="Workday",C93="Eve")</f>
        <v>0</v>
      </c>
      <c r="V93" s="34" t="n">
        <f aca="false">IF(C93="Eve",Settings!$B$8,Settings!$B$7)</f>
        <v>0.6875</v>
      </c>
      <c r="W93" s="14" t="n">
        <f aca="false">IF(U93,(V93-Settings!$B$6)*24,0)</f>
        <v>0</v>
      </c>
    </row>
    <row r="94" customFormat="false" ht="15" hidden="false" customHeight="false" outlineLevel="0" collapsed="false">
      <c r="A94" s="29" t="n">
        <v>46110</v>
      </c>
      <c r="B94" s="30" t="str">
        <f aca="false">CHOOSE(WEEKDAY(A94),"Sun","Mon","Tue","Wed","Thu","Fri","Sat")</f>
        <v>Sun</v>
      </c>
      <c r="C94" s="30" t="str">
        <f aca="false">IF(IFERROR(INDEX(Holidays!$D$5:$D$60,MATCH(A94,Holidays!$A$5:$A$60,0)),"")="Holiday","Holiday",IF(WEEKDAY(A94)&gt;=6,"Weekend",IF(IFERROR(INDEX(Holidays!$D$5:$D$60,MATCH(A94,Holidays!$A$5:$A$60,0)),"")="Eve","Eve","Workday")))</f>
        <v>Workday</v>
      </c>
      <c r="D94" s="18" t="str">
        <f aca="false">IFERROR(INDEX(Holidays!$C$5:$C$60,MATCH(A94,Holidays!$A$5:$A$60,0)),"")</f>
        <v/>
      </c>
      <c r="E94" s="31"/>
      <c r="F94" s="32"/>
      <c r="G94" s="32"/>
      <c r="H94" s="32"/>
      <c r="I94" s="32"/>
      <c r="J94" s="31"/>
      <c r="K94" s="33" t="str">
        <f aca="false">IF(E94&lt;&gt;"",E94,IF(U94,"Present",IF(C94="Holiday","Holiday","Weekend")))</f>
        <v>Present</v>
      </c>
      <c r="L94" s="34" t="n">
        <f aca="false">IF(OR(K94="Present",K94="Manual Work",K94="Partial Vacation",K94="Partial Sick Leave"),IF(ISNUMBER(F94),F94,IF(AND(K94="Present",U94),Settings!$B$6,"")),"")</f>
        <v>0.333333333333333</v>
      </c>
      <c r="M94" s="34" t="n">
        <f aca="false">IF(OR(K94="Present",K94="Manual Work",K94="Partial Vacation",K94="Partial Sick Leave"),IF(ISNUMBER(G94),G94,IF(AND(K94="Present",U94),V94,"")),"")</f>
        <v>0.6875</v>
      </c>
      <c r="N94" s="14" t="n">
        <f aca="false">IF(AND(ISNUMBER(L94),ISNUMBER(M94)),MAX(0,(M94-L94)*24),0)</f>
        <v>8.5</v>
      </c>
      <c r="O94" s="14" t="n">
        <f aca="false">IF(NOT(U94),0,IF(K94="Vacation",IF(C94="Eve",Settings!$B$9*Settings!$B$11,W94),IF(K94="Partial Vacation",IF(AND(ISNUMBER(H94),ISNUMBER(I94)),MAX(0,(I94-H94)*24),0),0)))</f>
        <v>0</v>
      </c>
      <c r="P94" s="14" t="n">
        <f aca="false">IF(NOT(U94),0,IF(K94="Sick Leave",W94,IF(K94="Partial Sick Leave",IF(AND(ISNUMBER(H94),ISNUMBER(I94)),MAX(0,(I94-H94)*24),0),0)))</f>
        <v>0</v>
      </c>
      <c r="Q94" s="14" t="n">
        <f aca="false">IF(NOT(U94),0,IF(K94="Vacation",IF(C94="Eve",Settings!$B$11,1),IF(K94="Partial Vacation",O94/Settings!$B$9,0)))</f>
        <v>0</v>
      </c>
      <c r="R94" s="14" t="n">
        <f aca="false">IF(NOT(U94),0,IF(K94="Sick Leave",1,IF(K94="Partial Sick Leave",P94/Settings!$B$9,0)))</f>
        <v>0</v>
      </c>
      <c r="S94" s="35" t="str">
        <f aca="false">IF(AND(OR(E94="Vacation",E94="Sick Leave",E94="Partial Vacation",E94="Partial Sick Leave"),NOT(U94)),"Leave not allowed on this day",IF(AND(E94="Manual Work",OR(NOT(ISNUMBER(F94)),NOT(ISNUMBER(G94)))),"Enter start and end",IF(AND(OR(E94="Partial Vacation",E94="Partial Sick Leave"),OR(NOT(ISNUMBER(H94)),NOT(ISNUMBER(I94)))),"Enter leave from and to",IF(AND(ISNUMBER(F94),ISNUMBER(G94),G94&lt;=F94),"End is before start",IF(AND(ISNUMBER(H94),ISNUMBER(I94),I94&lt;=H94),"Leave end is before start",IF(AND(ISNUMBER(F94),ISNUMBER(G94),ISNUMBER(H94),ISNUMBER(I94),F94&lt;I94,H94&lt;G94),"Work and leave hours overlap",IF(AND(E94&lt;&gt;"",WEEKDAY(A94)=7),"Saturday - administrator only","")))))))</f>
        <v/>
      </c>
      <c r="T94" s="36" t="n">
        <f aca="false">MONTH(A94)</f>
        <v>3</v>
      </c>
      <c r="U94" s="37" t="b">
        <f aca="false">OR(C94="Workday",C94="Eve")</f>
        <v>1</v>
      </c>
      <c r="V94" s="34" t="n">
        <f aca="false">IF(C94="Eve",Settings!$B$8,Settings!$B$7)</f>
        <v>0.6875</v>
      </c>
      <c r="W94" s="14" t="n">
        <f aca="false">IF(U94,(V94-Settings!$B$6)*24,0)</f>
        <v>8.5</v>
      </c>
    </row>
    <row r="95" customFormat="false" ht="15" hidden="false" customHeight="false" outlineLevel="0" collapsed="false">
      <c r="A95" s="29" t="n">
        <v>46111</v>
      </c>
      <c r="B95" s="30" t="str">
        <f aca="false">CHOOSE(WEEKDAY(A95),"Sun","Mon","Tue","Wed","Thu","Fri","Sat")</f>
        <v>Mon</v>
      </c>
      <c r="C95" s="30" t="str">
        <f aca="false">IF(IFERROR(INDEX(Holidays!$D$5:$D$60,MATCH(A95,Holidays!$A$5:$A$60,0)),"")="Holiday","Holiday",IF(WEEKDAY(A95)&gt;=6,"Weekend",IF(IFERROR(INDEX(Holidays!$D$5:$D$60,MATCH(A95,Holidays!$A$5:$A$60,0)),"")="Eve","Eve","Workday")))</f>
        <v>Workday</v>
      </c>
      <c r="D95" s="18" t="str">
        <f aca="false">IFERROR(INDEX(Holidays!$C$5:$C$60,MATCH(A95,Holidays!$A$5:$A$60,0)),"")</f>
        <v/>
      </c>
      <c r="E95" s="31"/>
      <c r="F95" s="32"/>
      <c r="G95" s="32"/>
      <c r="H95" s="32"/>
      <c r="I95" s="32"/>
      <c r="J95" s="31"/>
      <c r="K95" s="33" t="str">
        <f aca="false">IF(E95&lt;&gt;"",E95,IF(U95,"Present",IF(C95="Holiday","Holiday","Weekend")))</f>
        <v>Present</v>
      </c>
      <c r="L95" s="34" t="n">
        <f aca="false">IF(OR(K95="Present",K95="Manual Work",K95="Partial Vacation",K95="Partial Sick Leave"),IF(ISNUMBER(F95),F95,IF(AND(K95="Present",U95),Settings!$B$6,"")),"")</f>
        <v>0.333333333333333</v>
      </c>
      <c r="M95" s="34" t="n">
        <f aca="false">IF(OR(K95="Present",K95="Manual Work",K95="Partial Vacation",K95="Partial Sick Leave"),IF(ISNUMBER(G95),G95,IF(AND(K95="Present",U95),V95,"")),"")</f>
        <v>0.6875</v>
      </c>
      <c r="N95" s="14" t="n">
        <f aca="false">IF(AND(ISNUMBER(L95),ISNUMBER(M95)),MAX(0,(M95-L95)*24),0)</f>
        <v>8.5</v>
      </c>
      <c r="O95" s="14" t="n">
        <f aca="false">IF(NOT(U95),0,IF(K95="Vacation",IF(C95="Eve",Settings!$B$9*Settings!$B$11,W95),IF(K95="Partial Vacation",IF(AND(ISNUMBER(H95),ISNUMBER(I95)),MAX(0,(I95-H95)*24),0),0)))</f>
        <v>0</v>
      </c>
      <c r="P95" s="14" t="n">
        <f aca="false">IF(NOT(U95),0,IF(K95="Sick Leave",W95,IF(K95="Partial Sick Leave",IF(AND(ISNUMBER(H95),ISNUMBER(I95)),MAX(0,(I95-H95)*24),0),0)))</f>
        <v>0</v>
      </c>
      <c r="Q95" s="14" t="n">
        <f aca="false">IF(NOT(U95),0,IF(K95="Vacation",IF(C95="Eve",Settings!$B$11,1),IF(K95="Partial Vacation",O95/Settings!$B$9,0)))</f>
        <v>0</v>
      </c>
      <c r="R95" s="14" t="n">
        <f aca="false">IF(NOT(U95),0,IF(K95="Sick Leave",1,IF(K95="Partial Sick Leave",P95/Settings!$B$9,0)))</f>
        <v>0</v>
      </c>
      <c r="S95" s="35" t="str">
        <f aca="false">IF(AND(OR(E95="Vacation",E95="Sick Leave",E95="Partial Vacation",E95="Partial Sick Leave"),NOT(U95)),"Leave not allowed on this day",IF(AND(E95="Manual Work",OR(NOT(ISNUMBER(F95)),NOT(ISNUMBER(G95)))),"Enter start and end",IF(AND(OR(E95="Partial Vacation",E95="Partial Sick Leave"),OR(NOT(ISNUMBER(H95)),NOT(ISNUMBER(I95)))),"Enter leave from and to",IF(AND(ISNUMBER(F95),ISNUMBER(G95),G95&lt;=F95),"End is before start",IF(AND(ISNUMBER(H95),ISNUMBER(I95),I95&lt;=H95),"Leave end is before start",IF(AND(ISNUMBER(F95),ISNUMBER(G95),ISNUMBER(H95),ISNUMBER(I95),F95&lt;I95,H95&lt;G95),"Work and leave hours overlap",IF(AND(E95&lt;&gt;"",WEEKDAY(A95)=7),"Saturday - administrator only","")))))))</f>
        <v/>
      </c>
      <c r="T95" s="36" t="n">
        <f aca="false">MONTH(A95)</f>
        <v>3</v>
      </c>
      <c r="U95" s="37" t="b">
        <f aca="false">OR(C95="Workday",C95="Eve")</f>
        <v>1</v>
      </c>
      <c r="V95" s="34" t="n">
        <f aca="false">IF(C95="Eve",Settings!$B$8,Settings!$B$7)</f>
        <v>0.6875</v>
      </c>
      <c r="W95" s="14" t="n">
        <f aca="false">IF(U95,(V95-Settings!$B$6)*24,0)</f>
        <v>8.5</v>
      </c>
    </row>
    <row r="96" customFormat="false" ht="15" hidden="false" customHeight="false" outlineLevel="0" collapsed="false">
      <c r="A96" s="29" t="n">
        <v>46112</v>
      </c>
      <c r="B96" s="30" t="str">
        <f aca="false">CHOOSE(WEEKDAY(A96),"Sun","Mon","Tue","Wed","Thu","Fri","Sat")</f>
        <v>Tue</v>
      </c>
      <c r="C96" s="30" t="str">
        <f aca="false">IF(IFERROR(INDEX(Holidays!$D$5:$D$60,MATCH(A96,Holidays!$A$5:$A$60,0)),"")="Holiday","Holiday",IF(WEEKDAY(A96)&gt;=6,"Weekend",IF(IFERROR(INDEX(Holidays!$D$5:$D$60,MATCH(A96,Holidays!$A$5:$A$60,0)),"")="Eve","Eve","Workday")))</f>
        <v>Workday</v>
      </c>
      <c r="D96" s="18" t="str">
        <f aca="false">IFERROR(INDEX(Holidays!$C$5:$C$60,MATCH(A96,Holidays!$A$5:$A$60,0)),"")</f>
        <v/>
      </c>
      <c r="E96" s="31"/>
      <c r="F96" s="32"/>
      <c r="G96" s="32"/>
      <c r="H96" s="32"/>
      <c r="I96" s="32"/>
      <c r="J96" s="31"/>
      <c r="K96" s="33" t="str">
        <f aca="false">IF(E96&lt;&gt;"",E96,IF(U96,"Present",IF(C96="Holiday","Holiday","Weekend")))</f>
        <v>Present</v>
      </c>
      <c r="L96" s="34" t="n">
        <f aca="false">IF(OR(K96="Present",K96="Manual Work",K96="Partial Vacation",K96="Partial Sick Leave"),IF(ISNUMBER(F96),F96,IF(AND(K96="Present",U96),Settings!$B$6,"")),"")</f>
        <v>0.333333333333333</v>
      </c>
      <c r="M96" s="34" t="n">
        <f aca="false">IF(OR(K96="Present",K96="Manual Work",K96="Partial Vacation",K96="Partial Sick Leave"),IF(ISNUMBER(G96),G96,IF(AND(K96="Present",U96),V96,"")),"")</f>
        <v>0.6875</v>
      </c>
      <c r="N96" s="14" t="n">
        <f aca="false">IF(AND(ISNUMBER(L96),ISNUMBER(M96)),MAX(0,(M96-L96)*24),0)</f>
        <v>8.5</v>
      </c>
      <c r="O96" s="14" t="n">
        <f aca="false">IF(NOT(U96),0,IF(K96="Vacation",IF(C96="Eve",Settings!$B$9*Settings!$B$11,W96),IF(K96="Partial Vacation",IF(AND(ISNUMBER(H96),ISNUMBER(I96)),MAX(0,(I96-H96)*24),0),0)))</f>
        <v>0</v>
      </c>
      <c r="P96" s="14" t="n">
        <f aca="false">IF(NOT(U96),0,IF(K96="Sick Leave",W96,IF(K96="Partial Sick Leave",IF(AND(ISNUMBER(H96),ISNUMBER(I96)),MAX(0,(I96-H96)*24),0),0)))</f>
        <v>0</v>
      </c>
      <c r="Q96" s="14" t="n">
        <f aca="false">IF(NOT(U96),0,IF(K96="Vacation",IF(C96="Eve",Settings!$B$11,1),IF(K96="Partial Vacation",O96/Settings!$B$9,0)))</f>
        <v>0</v>
      </c>
      <c r="R96" s="14" t="n">
        <f aca="false">IF(NOT(U96),0,IF(K96="Sick Leave",1,IF(K96="Partial Sick Leave",P96/Settings!$B$9,0)))</f>
        <v>0</v>
      </c>
      <c r="S96" s="35" t="str">
        <f aca="false">IF(AND(OR(E96="Vacation",E96="Sick Leave",E96="Partial Vacation",E96="Partial Sick Leave"),NOT(U96)),"Leave not allowed on this day",IF(AND(E96="Manual Work",OR(NOT(ISNUMBER(F96)),NOT(ISNUMBER(G96)))),"Enter start and end",IF(AND(OR(E96="Partial Vacation",E96="Partial Sick Leave"),OR(NOT(ISNUMBER(H96)),NOT(ISNUMBER(I96)))),"Enter leave from and to",IF(AND(ISNUMBER(F96),ISNUMBER(G96),G96&lt;=F96),"End is before start",IF(AND(ISNUMBER(H96),ISNUMBER(I96),I96&lt;=H96),"Leave end is before start",IF(AND(ISNUMBER(F96),ISNUMBER(G96),ISNUMBER(H96),ISNUMBER(I96),F96&lt;I96,H96&lt;G96),"Work and leave hours overlap",IF(AND(E96&lt;&gt;"",WEEKDAY(A96)=7),"Saturday - administrator only","")))))))</f>
        <v/>
      </c>
      <c r="T96" s="36" t="n">
        <f aca="false">MONTH(A96)</f>
        <v>3</v>
      </c>
      <c r="U96" s="37" t="b">
        <f aca="false">OR(C96="Workday",C96="Eve")</f>
        <v>1</v>
      </c>
      <c r="V96" s="34" t="n">
        <f aca="false">IF(C96="Eve",Settings!$B$8,Settings!$B$7)</f>
        <v>0.6875</v>
      </c>
      <c r="W96" s="14" t="n">
        <f aca="false">IF(U96,(V96-Settings!$B$6)*24,0)</f>
        <v>8.5</v>
      </c>
    </row>
    <row r="97" customFormat="false" ht="15" hidden="false" customHeight="false" outlineLevel="0" collapsed="false">
      <c r="A97" s="29" t="n">
        <v>46113</v>
      </c>
      <c r="B97" s="30" t="str">
        <f aca="false">CHOOSE(WEEKDAY(A97),"Sun","Mon","Tue","Wed","Thu","Fri","Sat")</f>
        <v>Wed</v>
      </c>
      <c r="C97" s="30" t="str">
        <f aca="false">IF(IFERROR(INDEX(Holidays!$D$5:$D$60,MATCH(A97,Holidays!$A$5:$A$60,0)),"")="Holiday","Holiday",IF(WEEKDAY(A97)&gt;=6,"Weekend",IF(IFERROR(INDEX(Holidays!$D$5:$D$60,MATCH(A97,Holidays!$A$5:$A$60,0)),"")="Eve","Eve","Workday")))</f>
        <v>Eve</v>
      </c>
      <c r="D97" s="18" t="str">
        <f aca="false">IFERROR(INDEX(Holidays!$C$5:$C$60,MATCH(A97,Holidays!$A$5:$A$60,0)),"")</f>
        <v>Erev Pesach</v>
      </c>
      <c r="E97" s="31"/>
      <c r="F97" s="32"/>
      <c r="G97" s="32"/>
      <c r="H97" s="32"/>
      <c r="I97" s="32"/>
      <c r="J97" s="31"/>
      <c r="K97" s="33" t="str">
        <f aca="false">IF(E97&lt;&gt;"",E97,IF(U97,"Present",IF(C97="Holiday","Holiday","Weekend")))</f>
        <v>Present</v>
      </c>
      <c r="L97" s="34" t="n">
        <f aca="false">IF(OR(K97="Present",K97="Manual Work",K97="Partial Vacation",K97="Partial Sick Leave"),IF(ISNUMBER(F97),F97,IF(AND(K97="Present",U97),Settings!$B$6,"")),"")</f>
        <v>0.333333333333333</v>
      </c>
      <c r="M97" s="34" t="n">
        <f aca="false">IF(OR(K97="Present",K97="Manual Work",K97="Partial Vacation",K97="Partial Sick Leave"),IF(ISNUMBER(G97),G97,IF(AND(K97="Present",U97),V97,"")),"")</f>
        <v>0.583333333333333</v>
      </c>
      <c r="N97" s="14" t="n">
        <f aca="false">IF(AND(ISNUMBER(L97),ISNUMBER(M97)),MAX(0,(M97-L97)*24),0)</f>
        <v>6</v>
      </c>
      <c r="O97" s="14" t="n">
        <f aca="false">IF(NOT(U97),0,IF(K97="Vacation",IF(C97="Eve",Settings!$B$9*Settings!$B$11,W97),IF(K97="Partial Vacation",IF(AND(ISNUMBER(H97),ISNUMBER(I97)),MAX(0,(I97-H97)*24),0),0)))</f>
        <v>0</v>
      </c>
      <c r="P97" s="14" t="n">
        <f aca="false">IF(NOT(U97),0,IF(K97="Sick Leave",W97,IF(K97="Partial Sick Leave",IF(AND(ISNUMBER(H97),ISNUMBER(I97)),MAX(0,(I97-H97)*24),0),0)))</f>
        <v>0</v>
      </c>
      <c r="Q97" s="14" t="n">
        <f aca="false">IF(NOT(U97),0,IF(K97="Vacation",IF(C97="Eve",Settings!$B$11,1),IF(K97="Partial Vacation",O97/Settings!$B$9,0)))</f>
        <v>0</v>
      </c>
      <c r="R97" s="14" t="n">
        <f aca="false">IF(NOT(U97),0,IF(K97="Sick Leave",1,IF(K97="Partial Sick Leave",P97/Settings!$B$9,0)))</f>
        <v>0</v>
      </c>
      <c r="S97" s="35" t="str">
        <f aca="false">IF(AND(OR(E97="Vacation",E97="Sick Leave",E97="Partial Vacation",E97="Partial Sick Leave"),NOT(U97)),"Leave not allowed on this day",IF(AND(E97="Manual Work",OR(NOT(ISNUMBER(F97)),NOT(ISNUMBER(G97)))),"Enter start and end",IF(AND(OR(E97="Partial Vacation",E97="Partial Sick Leave"),OR(NOT(ISNUMBER(H97)),NOT(ISNUMBER(I97)))),"Enter leave from and to",IF(AND(ISNUMBER(F97),ISNUMBER(G97),G97&lt;=F97),"End is before start",IF(AND(ISNUMBER(H97),ISNUMBER(I97),I97&lt;=H97),"Leave end is before start",IF(AND(ISNUMBER(F97),ISNUMBER(G97),ISNUMBER(H97),ISNUMBER(I97),F97&lt;I97,H97&lt;G97),"Work and leave hours overlap",IF(AND(E97&lt;&gt;"",WEEKDAY(A97)=7),"Saturday - administrator only","")))))))</f>
        <v/>
      </c>
      <c r="T97" s="36" t="n">
        <f aca="false">MONTH(A97)</f>
        <v>4</v>
      </c>
      <c r="U97" s="37" t="b">
        <f aca="false">OR(C97="Workday",C97="Eve")</f>
        <v>1</v>
      </c>
      <c r="V97" s="34" t="n">
        <f aca="false">IF(C97="Eve",Settings!$B$8,Settings!$B$7)</f>
        <v>0.583333333333333</v>
      </c>
      <c r="W97" s="14" t="n">
        <f aca="false">IF(U97,(V97-Settings!$B$6)*24,0)</f>
        <v>6</v>
      </c>
    </row>
    <row r="98" customFormat="false" ht="15" hidden="false" customHeight="false" outlineLevel="0" collapsed="false">
      <c r="A98" s="29" t="n">
        <v>46114</v>
      </c>
      <c r="B98" s="30" t="str">
        <f aca="false">CHOOSE(WEEKDAY(A98),"Sun","Mon","Tue","Wed","Thu","Fri","Sat")</f>
        <v>Thu</v>
      </c>
      <c r="C98" s="30" t="str">
        <f aca="false">IF(IFERROR(INDEX(Holidays!$D$5:$D$60,MATCH(A98,Holidays!$A$5:$A$60,0)),"")="Holiday","Holiday",IF(WEEKDAY(A98)&gt;=6,"Weekend",IF(IFERROR(INDEX(Holidays!$D$5:$D$60,MATCH(A98,Holidays!$A$5:$A$60,0)),"")="Eve","Eve","Workday")))</f>
        <v>Holiday</v>
      </c>
      <c r="D98" s="18" t="str">
        <f aca="false">IFERROR(INDEX(Holidays!$C$5:$C$60,MATCH(A98,Holidays!$A$5:$A$60,0)),"")</f>
        <v>Pesach</v>
      </c>
      <c r="E98" s="31"/>
      <c r="F98" s="32"/>
      <c r="G98" s="32"/>
      <c r="H98" s="32"/>
      <c r="I98" s="32"/>
      <c r="J98" s="31"/>
      <c r="K98" s="33" t="str">
        <f aca="false">IF(E98&lt;&gt;"",E98,IF(U98,"Present",IF(C98="Holiday","Holiday","Weekend")))</f>
        <v>Holiday</v>
      </c>
      <c r="L98" s="34" t="str">
        <f aca="false">IF(OR(K98="Present",K98="Manual Work",K98="Partial Vacation",K98="Partial Sick Leave"),IF(ISNUMBER(F98),F98,IF(AND(K98="Present",U98),Settings!$B$6,"")),"")</f>
        <v/>
      </c>
      <c r="M98" s="34" t="str">
        <f aca="false">IF(OR(K98="Present",K98="Manual Work",K98="Partial Vacation",K98="Partial Sick Leave"),IF(ISNUMBER(G98),G98,IF(AND(K98="Present",U98),V98,"")),"")</f>
        <v/>
      </c>
      <c r="N98" s="14" t="n">
        <f aca="false">IF(AND(ISNUMBER(L98),ISNUMBER(M98)),MAX(0,(M98-L98)*24),0)</f>
        <v>0</v>
      </c>
      <c r="O98" s="14" t="n">
        <f aca="false">IF(NOT(U98),0,IF(K98="Vacation",IF(C98="Eve",Settings!$B$9*Settings!$B$11,W98),IF(K98="Partial Vacation",IF(AND(ISNUMBER(H98),ISNUMBER(I98)),MAX(0,(I98-H98)*24),0),0)))</f>
        <v>0</v>
      </c>
      <c r="P98" s="14" t="n">
        <f aca="false">IF(NOT(U98),0,IF(K98="Sick Leave",W98,IF(K98="Partial Sick Leave",IF(AND(ISNUMBER(H98),ISNUMBER(I98)),MAX(0,(I98-H98)*24),0),0)))</f>
        <v>0</v>
      </c>
      <c r="Q98" s="14" t="n">
        <f aca="false">IF(NOT(U98),0,IF(K98="Vacation",IF(C98="Eve",Settings!$B$11,1),IF(K98="Partial Vacation",O98/Settings!$B$9,0)))</f>
        <v>0</v>
      </c>
      <c r="R98" s="14" t="n">
        <f aca="false">IF(NOT(U98),0,IF(K98="Sick Leave",1,IF(K98="Partial Sick Leave",P98/Settings!$B$9,0)))</f>
        <v>0</v>
      </c>
      <c r="S98" s="35" t="str">
        <f aca="false">IF(AND(OR(E98="Vacation",E98="Sick Leave",E98="Partial Vacation",E98="Partial Sick Leave"),NOT(U98)),"Leave not allowed on this day",IF(AND(E98="Manual Work",OR(NOT(ISNUMBER(F98)),NOT(ISNUMBER(G98)))),"Enter start and end",IF(AND(OR(E98="Partial Vacation",E98="Partial Sick Leave"),OR(NOT(ISNUMBER(H98)),NOT(ISNUMBER(I98)))),"Enter leave from and to",IF(AND(ISNUMBER(F98),ISNUMBER(G98),G98&lt;=F98),"End is before start",IF(AND(ISNUMBER(H98),ISNUMBER(I98),I98&lt;=H98),"Leave end is before start",IF(AND(ISNUMBER(F98),ISNUMBER(G98),ISNUMBER(H98),ISNUMBER(I98),F98&lt;I98,H98&lt;G98),"Work and leave hours overlap",IF(AND(E98&lt;&gt;"",WEEKDAY(A98)=7),"Saturday - administrator only","")))))))</f>
        <v/>
      </c>
      <c r="T98" s="36" t="n">
        <f aca="false">MONTH(A98)</f>
        <v>4</v>
      </c>
      <c r="U98" s="37" t="b">
        <f aca="false">OR(C98="Workday",C98="Eve")</f>
        <v>0</v>
      </c>
      <c r="V98" s="34" t="n">
        <f aca="false">IF(C98="Eve",Settings!$B$8,Settings!$B$7)</f>
        <v>0.6875</v>
      </c>
      <c r="W98" s="14" t="n">
        <f aca="false">IF(U98,(V98-Settings!$B$6)*24,0)</f>
        <v>0</v>
      </c>
    </row>
    <row r="99" customFormat="false" ht="15" hidden="false" customHeight="false" outlineLevel="0" collapsed="false">
      <c r="A99" s="29" t="n">
        <v>46115</v>
      </c>
      <c r="B99" s="30" t="str">
        <f aca="false">CHOOSE(WEEKDAY(A99),"Sun","Mon","Tue","Wed","Thu","Fri","Sat")</f>
        <v>Fri</v>
      </c>
      <c r="C99" s="30" t="str">
        <f aca="false">IF(IFERROR(INDEX(Holidays!$D$5:$D$60,MATCH(A99,Holidays!$A$5:$A$60,0)),"")="Holiday","Holiday",IF(WEEKDAY(A99)&gt;=6,"Weekend",IF(IFERROR(INDEX(Holidays!$D$5:$D$60,MATCH(A99,Holidays!$A$5:$A$60,0)),"")="Eve","Eve","Workday")))</f>
        <v>Weekend</v>
      </c>
      <c r="D99" s="18" t="str">
        <f aca="false">IFERROR(INDEX(Holidays!$C$5:$C$60,MATCH(A99,Holidays!$A$5:$A$60,0)),"")</f>
        <v/>
      </c>
      <c r="E99" s="31"/>
      <c r="F99" s="32"/>
      <c r="G99" s="32"/>
      <c r="H99" s="32"/>
      <c r="I99" s="32"/>
      <c r="J99" s="31"/>
      <c r="K99" s="33" t="str">
        <f aca="false">IF(E99&lt;&gt;"",E99,IF(U99,"Present",IF(C99="Holiday","Holiday","Weekend")))</f>
        <v>Weekend</v>
      </c>
      <c r="L99" s="34" t="str">
        <f aca="false">IF(OR(K99="Present",K99="Manual Work",K99="Partial Vacation",K99="Partial Sick Leave"),IF(ISNUMBER(F99),F99,IF(AND(K99="Present",U99),Settings!$B$6,"")),"")</f>
        <v/>
      </c>
      <c r="M99" s="34" t="str">
        <f aca="false">IF(OR(K99="Present",K99="Manual Work",K99="Partial Vacation",K99="Partial Sick Leave"),IF(ISNUMBER(G99),G99,IF(AND(K99="Present",U99),V99,"")),"")</f>
        <v/>
      </c>
      <c r="N99" s="14" t="n">
        <f aca="false">IF(AND(ISNUMBER(L99),ISNUMBER(M99)),MAX(0,(M99-L99)*24),0)</f>
        <v>0</v>
      </c>
      <c r="O99" s="14" t="n">
        <f aca="false">IF(NOT(U99),0,IF(K99="Vacation",IF(C99="Eve",Settings!$B$9*Settings!$B$11,W99),IF(K99="Partial Vacation",IF(AND(ISNUMBER(H99),ISNUMBER(I99)),MAX(0,(I99-H99)*24),0),0)))</f>
        <v>0</v>
      </c>
      <c r="P99" s="14" t="n">
        <f aca="false">IF(NOT(U99),0,IF(K99="Sick Leave",W99,IF(K99="Partial Sick Leave",IF(AND(ISNUMBER(H99),ISNUMBER(I99)),MAX(0,(I99-H99)*24),0),0)))</f>
        <v>0</v>
      </c>
      <c r="Q99" s="14" t="n">
        <f aca="false">IF(NOT(U99),0,IF(K99="Vacation",IF(C99="Eve",Settings!$B$11,1),IF(K99="Partial Vacation",O99/Settings!$B$9,0)))</f>
        <v>0</v>
      </c>
      <c r="R99" s="14" t="n">
        <f aca="false">IF(NOT(U99),0,IF(K99="Sick Leave",1,IF(K99="Partial Sick Leave",P99/Settings!$B$9,0)))</f>
        <v>0</v>
      </c>
      <c r="S99" s="35" t="str">
        <f aca="false">IF(AND(OR(E99="Vacation",E99="Sick Leave",E99="Partial Vacation",E99="Partial Sick Leave"),NOT(U99)),"Leave not allowed on this day",IF(AND(E99="Manual Work",OR(NOT(ISNUMBER(F99)),NOT(ISNUMBER(G99)))),"Enter start and end",IF(AND(OR(E99="Partial Vacation",E99="Partial Sick Leave"),OR(NOT(ISNUMBER(H99)),NOT(ISNUMBER(I99)))),"Enter leave from and to",IF(AND(ISNUMBER(F99),ISNUMBER(G99),G99&lt;=F99),"End is before start",IF(AND(ISNUMBER(H99),ISNUMBER(I99),I99&lt;=H99),"Leave end is before start",IF(AND(ISNUMBER(F99),ISNUMBER(G99),ISNUMBER(H99),ISNUMBER(I99),F99&lt;I99,H99&lt;G99),"Work and leave hours overlap",IF(AND(E99&lt;&gt;"",WEEKDAY(A99)=7),"Saturday - administrator only","")))))))</f>
        <v/>
      </c>
      <c r="T99" s="36" t="n">
        <f aca="false">MONTH(A99)</f>
        <v>4</v>
      </c>
      <c r="U99" s="37" t="b">
        <f aca="false">OR(C99="Workday",C99="Eve")</f>
        <v>0</v>
      </c>
      <c r="V99" s="34" t="n">
        <f aca="false">IF(C99="Eve",Settings!$B$8,Settings!$B$7)</f>
        <v>0.6875</v>
      </c>
      <c r="W99" s="14" t="n">
        <f aca="false">IF(U99,(V99-Settings!$B$6)*24,0)</f>
        <v>0</v>
      </c>
    </row>
    <row r="100" customFormat="false" ht="15" hidden="false" customHeight="false" outlineLevel="0" collapsed="false">
      <c r="A100" s="29" t="n">
        <v>46116</v>
      </c>
      <c r="B100" s="30" t="str">
        <f aca="false">CHOOSE(WEEKDAY(A100),"Sun","Mon","Tue","Wed","Thu","Fri","Sat")</f>
        <v>Sat</v>
      </c>
      <c r="C100" s="30" t="str">
        <f aca="false">IF(IFERROR(INDEX(Holidays!$D$5:$D$60,MATCH(A100,Holidays!$A$5:$A$60,0)),"")="Holiday","Holiday",IF(WEEKDAY(A100)&gt;=6,"Weekend",IF(IFERROR(INDEX(Holidays!$D$5:$D$60,MATCH(A100,Holidays!$A$5:$A$60,0)),"")="Eve","Eve","Workday")))</f>
        <v>Weekend</v>
      </c>
      <c r="D100" s="18" t="str">
        <f aca="false">IFERROR(INDEX(Holidays!$C$5:$C$60,MATCH(A100,Holidays!$A$5:$A$60,0)),"")</f>
        <v/>
      </c>
      <c r="E100" s="31"/>
      <c r="F100" s="32"/>
      <c r="G100" s="32"/>
      <c r="H100" s="32"/>
      <c r="I100" s="32"/>
      <c r="J100" s="31"/>
      <c r="K100" s="33" t="str">
        <f aca="false">IF(E100&lt;&gt;"",E100,IF(U100,"Present",IF(C100="Holiday","Holiday","Weekend")))</f>
        <v>Weekend</v>
      </c>
      <c r="L100" s="34" t="str">
        <f aca="false">IF(OR(K100="Present",K100="Manual Work",K100="Partial Vacation",K100="Partial Sick Leave"),IF(ISNUMBER(F100),F100,IF(AND(K100="Present",U100),Settings!$B$6,"")),"")</f>
        <v/>
      </c>
      <c r="M100" s="34" t="str">
        <f aca="false">IF(OR(K100="Present",K100="Manual Work",K100="Partial Vacation",K100="Partial Sick Leave"),IF(ISNUMBER(G100),G100,IF(AND(K100="Present",U100),V100,"")),"")</f>
        <v/>
      </c>
      <c r="N100" s="14" t="n">
        <f aca="false">IF(AND(ISNUMBER(L100),ISNUMBER(M100)),MAX(0,(M100-L100)*24),0)</f>
        <v>0</v>
      </c>
      <c r="O100" s="14" t="n">
        <f aca="false">IF(NOT(U100),0,IF(K100="Vacation",IF(C100="Eve",Settings!$B$9*Settings!$B$11,W100),IF(K100="Partial Vacation",IF(AND(ISNUMBER(H100),ISNUMBER(I100)),MAX(0,(I100-H100)*24),0),0)))</f>
        <v>0</v>
      </c>
      <c r="P100" s="14" t="n">
        <f aca="false">IF(NOT(U100),0,IF(K100="Sick Leave",W100,IF(K100="Partial Sick Leave",IF(AND(ISNUMBER(H100),ISNUMBER(I100)),MAX(0,(I100-H100)*24),0),0)))</f>
        <v>0</v>
      </c>
      <c r="Q100" s="14" t="n">
        <f aca="false">IF(NOT(U100),0,IF(K100="Vacation",IF(C100="Eve",Settings!$B$11,1),IF(K100="Partial Vacation",O100/Settings!$B$9,0)))</f>
        <v>0</v>
      </c>
      <c r="R100" s="14" t="n">
        <f aca="false">IF(NOT(U100),0,IF(K100="Sick Leave",1,IF(K100="Partial Sick Leave",P100/Settings!$B$9,0)))</f>
        <v>0</v>
      </c>
      <c r="S100" s="35" t="str">
        <f aca="false">IF(AND(OR(E100="Vacation",E100="Sick Leave",E100="Partial Vacation",E100="Partial Sick Leave"),NOT(U100)),"Leave not allowed on this day",IF(AND(E100="Manual Work",OR(NOT(ISNUMBER(F100)),NOT(ISNUMBER(G100)))),"Enter start and end",IF(AND(OR(E100="Partial Vacation",E100="Partial Sick Leave"),OR(NOT(ISNUMBER(H100)),NOT(ISNUMBER(I100)))),"Enter leave from and to",IF(AND(ISNUMBER(F100),ISNUMBER(G100),G100&lt;=F100),"End is before start",IF(AND(ISNUMBER(H100),ISNUMBER(I100),I100&lt;=H100),"Leave end is before start",IF(AND(ISNUMBER(F100),ISNUMBER(G100),ISNUMBER(H100),ISNUMBER(I100),F100&lt;I100,H100&lt;G100),"Work and leave hours overlap",IF(AND(E100&lt;&gt;"",WEEKDAY(A100)=7),"Saturday - administrator only","")))))))</f>
        <v/>
      </c>
      <c r="T100" s="36" t="n">
        <f aca="false">MONTH(A100)</f>
        <v>4</v>
      </c>
      <c r="U100" s="37" t="b">
        <f aca="false">OR(C100="Workday",C100="Eve")</f>
        <v>0</v>
      </c>
      <c r="V100" s="34" t="n">
        <f aca="false">IF(C100="Eve",Settings!$B$8,Settings!$B$7)</f>
        <v>0.6875</v>
      </c>
      <c r="W100" s="14" t="n">
        <f aca="false">IF(U100,(V100-Settings!$B$6)*24,0)</f>
        <v>0</v>
      </c>
    </row>
    <row r="101" customFormat="false" ht="15" hidden="false" customHeight="false" outlineLevel="0" collapsed="false">
      <c r="A101" s="29" t="n">
        <v>46117</v>
      </c>
      <c r="B101" s="30" t="str">
        <f aca="false">CHOOSE(WEEKDAY(A101),"Sun","Mon","Tue","Wed","Thu","Fri","Sat")</f>
        <v>Sun</v>
      </c>
      <c r="C101" s="30" t="str">
        <f aca="false">IF(IFERROR(INDEX(Holidays!$D$5:$D$60,MATCH(A101,Holidays!$A$5:$A$60,0)),"")="Holiday","Holiday",IF(WEEKDAY(A101)&gt;=6,"Weekend",IF(IFERROR(INDEX(Holidays!$D$5:$D$60,MATCH(A101,Holidays!$A$5:$A$60,0)),"")="Eve","Eve","Workday")))</f>
        <v>Workday</v>
      </c>
      <c r="D101" s="18" t="str">
        <f aca="false">IFERROR(INDEX(Holidays!$C$5:$C$60,MATCH(A101,Holidays!$A$5:$A$60,0)),"")</f>
        <v/>
      </c>
      <c r="E101" s="31"/>
      <c r="F101" s="32"/>
      <c r="G101" s="32"/>
      <c r="H101" s="32"/>
      <c r="I101" s="32"/>
      <c r="J101" s="31"/>
      <c r="K101" s="33" t="str">
        <f aca="false">IF(E101&lt;&gt;"",E101,IF(U101,"Present",IF(C101="Holiday","Holiday","Weekend")))</f>
        <v>Present</v>
      </c>
      <c r="L101" s="34" t="n">
        <f aca="false">IF(OR(K101="Present",K101="Manual Work",K101="Partial Vacation",K101="Partial Sick Leave"),IF(ISNUMBER(F101),F101,IF(AND(K101="Present",U101),Settings!$B$6,"")),"")</f>
        <v>0.333333333333333</v>
      </c>
      <c r="M101" s="34" t="n">
        <f aca="false">IF(OR(K101="Present",K101="Manual Work",K101="Partial Vacation",K101="Partial Sick Leave"),IF(ISNUMBER(G101),G101,IF(AND(K101="Present",U101),V101,"")),"")</f>
        <v>0.6875</v>
      </c>
      <c r="N101" s="14" t="n">
        <f aca="false">IF(AND(ISNUMBER(L101),ISNUMBER(M101)),MAX(0,(M101-L101)*24),0)</f>
        <v>8.5</v>
      </c>
      <c r="O101" s="14" t="n">
        <f aca="false">IF(NOT(U101),0,IF(K101="Vacation",IF(C101="Eve",Settings!$B$9*Settings!$B$11,W101),IF(K101="Partial Vacation",IF(AND(ISNUMBER(H101),ISNUMBER(I101)),MAX(0,(I101-H101)*24),0),0)))</f>
        <v>0</v>
      </c>
      <c r="P101" s="14" t="n">
        <f aca="false">IF(NOT(U101),0,IF(K101="Sick Leave",W101,IF(K101="Partial Sick Leave",IF(AND(ISNUMBER(H101),ISNUMBER(I101)),MAX(0,(I101-H101)*24),0),0)))</f>
        <v>0</v>
      </c>
      <c r="Q101" s="14" t="n">
        <f aca="false">IF(NOT(U101),0,IF(K101="Vacation",IF(C101="Eve",Settings!$B$11,1),IF(K101="Partial Vacation",O101/Settings!$B$9,0)))</f>
        <v>0</v>
      </c>
      <c r="R101" s="14" t="n">
        <f aca="false">IF(NOT(U101),0,IF(K101="Sick Leave",1,IF(K101="Partial Sick Leave",P101/Settings!$B$9,0)))</f>
        <v>0</v>
      </c>
      <c r="S101" s="35" t="str">
        <f aca="false">IF(AND(OR(E101="Vacation",E101="Sick Leave",E101="Partial Vacation",E101="Partial Sick Leave"),NOT(U101)),"Leave not allowed on this day",IF(AND(E101="Manual Work",OR(NOT(ISNUMBER(F101)),NOT(ISNUMBER(G101)))),"Enter start and end",IF(AND(OR(E101="Partial Vacation",E101="Partial Sick Leave"),OR(NOT(ISNUMBER(H101)),NOT(ISNUMBER(I101)))),"Enter leave from and to",IF(AND(ISNUMBER(F101),ISNUMBER(G101),G101&lt;=F101),"End is before start",IF(AND(ISNUMBER(H101),ISNUMBER(I101),I101&lt;=H101),"Leave end is before start",IF(AND(ISNUMBER(F101),ISNUMBER(G101),ISNUMBER(H101),ISNUMBER(I101),F101&lt;I101,H101&lt;G101),"Work and leave hours overlap",IF(AND(E101&lt;&gt;"",WEEKDAY(A101)=7),"Saturday - administrator only","")))))))</f>
        <v/>
      </c>
      <c r="T101" s="36" t="n">
        <f aca="false">MONTH(A101)</f>
        <v>4</v>
      </c>
      <c r="U101" s="37" t="b">
        <f aca="false">OR(C101="Workday",C101="Eve")</f>
        <v>1</v>
      </c>
      <c r="V101" s="34" t="n">
        <f aca="false">IF(C101="Eve",Settings!$B$8,Settings!$B$7)</f>
        <v>0.6875</v>
      </c>
      <c r="W101" s="14" t="n">
        <f aca="false">IF(U101,(V101-Settings!$B$6)*24,0)</f>
        <v>8.5</v>
      </c>
    </row>
    <row r="102" customFormat="false" ht="15" hidden="false" customHeight="false" outlineLevel="0" collapsed="false">
      <c r="A102" s="29" t="n">
        <v>46118</v>
      </c>
      <c r="B102" s="30" t="str">
        <f aca="false">CHOOSE(WEEKDAY(A102),"Sun","Mon","Tue","Wed","Thu","Fri","Sat")</f>
        <v>Mon</v>
      </c>
      <c r="C102" s="30" t="str">
        <f aca="false">IF(IFERROR(INDEX(Holidays!$D$5:$D$60,MATCH(A102,Holidays!$A$5:$A$60,0)),"")="Holiday","Holiday",IF(WEEKDAY(A102)&gt;=6,"Weekend",IF(IFERROR(INDEX(Holidays!$D$5:$D$60,MATCH(A102,Holidays!$A$5:$A$60,0)),"")="Eve","Eve","Workday")))</f>
        <v>Workday</v>
      </c>
      <c r="D102" s="18" t="str">
        <f aca="false">IFERROR(INDEX(Holidays!$C$5:$C$60,MATCH(A102,Holidays!$A$5:$A$60,0)),"")</f>
        <v/>
      </c>
      <c r="E102" s="31"/>
      <c r="F102" s="32"/>
      <c r="G102" s="32"/>
      <c r="H102" s="32"/>
      <c r="I102" s="32"/>
      <c r="J102" s="31"/>
      <c r="K102" s="33" t="str">
        <f aca="false">IF(E102&lt;&gt;"",E102,IF(U102,"Present",IF(C102="Holiday","Holiday","Weekend")))</f>
        <v>Present</v>
      </c>
      <c r="L102" s="34" t="n">
        <f aca="false">IF(OR(K102="Present",K102="Manual Work",K102="Partial Vacation",K102="Partial Sick Leave"),IF(ISNUMBER(F102),F102,IF(AND(K102="Present",U102),Settings!$B$6,"")),"")</f>
        <v>0.333333333333333</v>
      </c>
      <c r="M102" s="34" t="n">
        <f aca="false">IF(OR(K102="Present",K102="Manual Work",K102="Partial Vacation",K102="Partial Sick Leave"),IF(ISNUMBER(G102),G102,IF(AND(K102="Present",U102),V102,"")),"")</f>
        <v>0.6875</v>
      </c>
      <c r="N102" s="14" t="n">
        <f aca="false">IF(AND(ISNUMBER(L102),ISNUMBER(M102)),MAX(0,(M102-L102)*24),0)</f>
        <v>8.5</v>
      </c>
      <c r="O102" s="14" t="n">
        <f aca="false">IF(NOT(U102),0,IF(K102="Vacation",IF(C102="Eve",Settings!$B$9*Settings!$B$11,W102),IF(K102="Partial Vacation",IF(AND(ISNUMBER(H102),ISNUMBER(I102)),MAX(0,(I102-H102)*24),0),0)))</f>
        <v>0</v>
      </c>
      <c r="P102" s="14" t="n">
        <f aca="false">IF(NOT(U102),0,IF(K102="Sick Leave",W102,IF(K102="Partial Sick Leave",IF(AND(ISNUMBER(H102),ISNUMBER(I102)),MAX(0,(I102-H102)*24),0),0)))</f>
        <v>0</v>
      </c>
      <c r="Q102" s="14" t="n">
        <f aca="false">IF(NOT(U102),0,IF(K102="Vacation",IF(C102="Eve",Settings!$B$11,1),IF(K102="Partial Vacation",O102/Settings!$B$9,0)))</f>
        <v>0</v>
      </c>
      <c r="R102" s="14" t="n">
        <f aca="false">IF(NOT(U102),0,IF(K102="Sick Leave",1,IF(K102="Partial Sick Leave",P102/Settings!$B$9,0)))</f>
        <v>0</v>
      </c>
      <c r="S102" s="35" t="str">
        <f aca="false">IF(AND(OR(E102="Vacation",E102="Sick Leave",E102="Partial Vacation",E102="Partial Sick Leave"),NOT(U102)),"Leave not allowed on this day",IF(AND(E102="Manual Work",OR(NOT(ISNUMBER(F102)),NOT(ISNUMBER(G102)))),"Enter start and end",IF(AND(OR(E102="Partial Vacation",E102="Partial Sick Leave"),OR(NOT(ISNUMBER(H102)),NOT(ISNUMBER(I102)))),"Enter leave from and to",IF(AND(ISNUMBER(F102),ISNUMBER(G102),G102&lt;=F102),"End is before start",IF(AND(ISNUMBER(H102),ISNUMBER(I102),I102&lt;=H102),"Leave end is before start",IF(AND(ISNUMBER(F102),ISNUMBER(G102),ISNUMBER(H102),ISNUMBER(I102),F102&lt;I102,H102&lt;G102),"Work and leave hours overlap",IF(AND(E102&lt;&gt;"",WEEKDAY(A102)=7),"Saturday - administrator only","")))))))</f>
        <v/>
      </c>
      <c r="T102" s="36" t="n">
        <f aca="false">MONTH(A102)</f>
        <v>4</v>
      </c>
      <c r="U102" s="37" t="b">
        <f aca="false">OR(C102="Workday",C102="Eve")</f>
        <v>1</v>
      </c>
      <c r="V102" s="34" t="n">
        <f aca="false">IF(C102="Eve",Settings!$B$8,Settings!$B$7)</f>
        <v>0.6875</v>
      </c>
      <c r="W102" s="14" t="n">
        <f aca="false">IF(U102,(V102-Settings!$B$6)*24,0)</f>
        <v>8.5</v>
      </c>
    </row>
    <row r="103" customFormat="false" ht="15" hidden="false" customHeight="false" outlineLevel="0" collapsed="false">
      <c r="A103" s="29" t="n">
        <v>46119</v>
      </c>
      <c r="B103" s="30" t="str">
        <f aca="false">CHOOSE(WEEKDAY(A103),"Sun","Mon","Tue","Wed","Thu","Fri","Sat")</f>
        <v>Tue</v>
      </c>
      <c r="C103" s="30" t="str">
        <f aca="false">IF(IFERROR(INDEX(Holidays!$D$5:$D$60,MATCH(A103,Holidays!$A$5:$A$60,0)),"")="Holiday","Holiday",IF(WEEKDAY(A103)&gt;=6,"Weekend",IF(IFERROR(INDEX(Holidays!$D$5:$D$60,MATCH(A103,Holidays!$A$5:$A$60,0)),"")="Eve","Eve","Workday")))</f>
        <v>Eve</v>
      </c>
      <c r="D103" s="18" t="str">
        <f aca="false">IFERROR(INDEX(Holidays!$C$5:$C$60,MATCH(A103,Holidays!$A$5:$A$60,0)),"")</f>
        <v>Erev Seventh Day of Pesach</v>
      </c>
      <c r="E103" s="31"/>
      <c r="F103" s="32"/>
      <c r="G103" s="32"/>
      <c r="H103" s="32"/>
      <c r="I103" s="32"/>
      <c r="J103" s="31"/>
      <c r="K103" s="33" t="str">
        <f aca="false">IF(E103&lt;&gt;"",E103,IF(U103,"Present",IF(C103="Holiday","Holiday","Weekend")))</f>
        <v>Present</v>
      </c>
      <c r="L103" s="34" t="n">
        <f aca="false">IF(OR(K103="Present",K103="Manual Work",K103="Partial Vacation",K103="Partial Sick Leave"),IF(ISNUMBER(F103),F103,IF(AND(K103="Present",U103),Settings!$B$6,"")),"")</f>
        <v>0.333333333333333</v>
      </c>
      <c r="M103" s="34" t="n">
        <f aca="false">IF(OR(K103="Present",K103="Manual Work",K103="Partial Vacation",K103="Partial Sick Leave"),IF(ISNUMBER(G103),G103,IF(AND(K103="Present",U103),V103,"")),"")</f>
        <v>0.583333333333333</v>
      </c>
      <c r="N103" s="14" t="n">
        <f aca="false">IF(AND(ISNUMBER(L103),ISNUMBER(M103)),MAX(0,(M103-L103)*24),0)</f>
        <v>6</v>
      </c>
      <c r="O103" s="14" t="n">
        <f aca="false">IF(NOT(U103),0,IF(K103="Vacation",IF(C103="Eve",Settings!$B$9*Settings!$B$11,W103),IF(K103="Partial Vacation",IF(AND(ISNUMBER(H103),ISNUMBER(I103)),MAX(0,(I103-H103)*24),0),0)))</f>
        <v>0</v>
      </c>
      <c r="P103" s="14" t="n">
        <f aca="false">IF(NOT(U103),0,IF(K103="Sick Leave",W103,IF(K103="Partial Sick Leave",IF(AND(ISNUMBER(H103),ISNUMBER(I103)),MAX(0,(I103-H103)*24),0),0)))</f>
        <v>0</v>
      </c>
      <c r="Q103" s="14" t="n">
        <f aca="false">IF(NOT(U103),0,IF(K103="Vacation",IF(C103="Eve",Settings!$B$11,1),IF(K103="Partial Vacation",O103/Settings!$B$9,0)))</f>
        <v>0</v>
      </c>
      <c r="R103" s="14" t="n">
        <f aca="false">IF(NOT(U103),0,IF(K103="Sick Leave",1,IF(K103="Partial Sick Leave",P103/Settings!$B$9,0)))</f>
        <v>0</v>
      </c>
      <c r="S103" s="35" t="str">
        <f aca="false">IF(AND(OR(E103="Vacation",E103="Sick Leave",E103="Partial Vacation",E103="Partial Sick Leave"),NOT(U103)),"Leave not allowed on this day",IF(AND(E103="Manual Work",OR(NOT(ISNUMBER(F103)),NOT(ISNUMBER(G103)))),"Enter start and end",IF(AND(OR(E103="Partial Vacation",E103="Partial Sick Leave"),OR(NOT(ISNUMBER(H103)),NOT(ISNUMBER(I103)))),"Enter leave from and to",IF(AND(ISNUMBER(F103),ISNUMBER(G103),G103&lt;=F103),"End is before start",IF(AND(ISNUMBER(H103),ISNUMBER(I103),I103&lt;=H103),"Leave end is before start",IF(AND(ISNUMBER(F103),ISNUMBER(G103),ISNUMBER(H103),ISNUMBER(I103),F103&lt;I103,H103&lt;G103),"Work and leave hours overlap",IF(AND(E103&lt;&gt;"",WEEKDAY(A103)=7),"Saturday - administrator only","")))))))</f>
        <v/>
      </c>
      <c r="T103" s="36" t="n">
        <f aca="false">MONTH(A103)</f>
        <v>4</v>
      </c>
      <c r="U103" s="37" t="b">
        <f aca="false">OR(C103="Workday",C103="Eve")</f>
        <v>1</v>
      </c>
      <c r="V103" s="34" t="n">
        <f aca="false">IF(C103="Eve",Settings!$B$8,Settings!$B$7)</f>
        <v>0.583333333333333</v>
      </c>
      <c r="W103" s="14" t="n">
        <f aca="false">IF(U103,(V103-Settings!$B$6)*24,0)</f>
        <v>6</v>
      </c>
    </row>
    <row r="104" customFormat="false" ht="15" hidden="false" customHeight="false" outlineLevel="0" collapsed="false">
      <c r="A104" s="29" t="n">
        <v>46120</v>
      </c>
      <c r="B104" s="30" t="str">
        <f aca="false">CHOOSE(WEEKDAY(A104),"Sun","Mon","Tue","Wed","Thu","Fri","Sat")</f>
        <v>Wed</v>
      </c>
      <c r="C104" s="30" t="str">
        <f aca="false">IF(IFERROR(INDEX(Holidays!$D$5:$D$60,MATCH(A104,Holidays!$A$5:$A$60,0)),"")="Holiday","Holiday",IF(WEEKDAY(A104)&gt;=6,"Weekend",IF(IFERROR(INDEX(Holidays!$D$5:$D$60,MATCH(A104,Holidays!$A$5:$A$60,0)),"")="Eve","Eve","Workday")))</f>
        <v>Holiday</v>
      </c>
      <c r="D104" s="18" t="str">
        <f aca="false">IFERROR(INDEX(Holidays!$C$5:$C$60,MATCH(A104,Holidays!$A$5:$A$60,0)),"")</f>
        <v>Seventh Day of Pesach</v>
      </c>
      <c r="E104" s="31"/>
      <c r="F104" s="32"/>
      <c r="G104" s="32"/>
      <c r="H104" s="32"/>
      <c r="I104" s="32"/>
      <c r="J104" s="31"/>
      <c r="K104" s="33" t="str">
        <f aca="false">IF(E104&lt;&gt;"",E104,IF(U104,"Present",IF(C104="Holiday","Holiday","Weekend")))</f>
        <v>Holiday</v>
      </c>
      <c r="L104" s="34" t="str">
        <f aca="false">IF(OR(K104="Present",K104="Manual Work",K104="Partial Vacation",K104="Partial Sick Leave"),IF(ISNUMBER(F104),F104,IF(AND(K104="Present",U104),Settings!$B$6,"")),"")</f>
        <v/>
      </c>
      <c r="M104" s="34" t="str">
        <f aca="false">IF(OR(K104="Present",K104="Manual Work",K104="Partial Vacation",K104="Partial Sick Leave"),IF(ISNUMBER(G104),G104,IF(AND(K104="Present",U104),V104,"")),"")</f>
        <v/>
      </c>
      <c r="N104" s="14" t="n">
        <f aca="false">IF(AND(ISNUMBER(L104),ISNUMBER(M104)),MAX(0,(M104-L104)*24),0)</f>
        <v>0</v>
      </c>
      <c r="O104" s="14" t="n">
        <f aca="false">IF(NOT(U104),0,IF(K104="Vacation",IF(C104="Eve",Settings!$B$9*Settings!$B$11,W104),IF(K104="Partial Vacation",IF(AND(ISNUMBER(H104),ISNUMBER(I104)),MAX(0,(I104-H104)*24),0),0)))</f>
        <v>0</v>
      </c>
      <c r="P104" s="14" t="n">
        <f aca="false">IF(NOT(U104),0,IF(K104="Sick Leave",W104,IF(K104="Partial Sick Leave",IF(AND(ISNUMBER(H104),ISNUMBER(I104)),MAX(0,(I104-H104)*24),0),0)))</f>
        <v>0</v>
      </c>
      <c r="Q104" s="14" t="n">
        <f aca="false">IF(NOT(U104),0,IF(K104="Vacation",IF(C104="Eve",Settings!$B$11,1),IF(K104="Partial Vacation",O104/Settings!$B$9,0)))</f>
        <v>0</v>
      </c>
      <c r="R104" s="14" t="n">
        <f aca="false">IF(NOT(U104),0,IF(K104="Sick Leave",1,IF(K104="Partial Sick Leave",P104/Settings!$B$9,0)))</f>
        <v>0</v>
      </c>
      <c r="S104" s="35" t="str">
        <f aca="false">IF(AND(OR(E104="Vacation",E104="Sick Leave",E104="Partial Vacation",E104="Partial Sick Leave"),NOT(U104)),"Leave not allowed on this day",IF(AND(E104="Manual Work",OR(NOT(ISNUMBER(F104)),NOT(ISNUMBER(G104)))),"Enter start and end",IF(AND(OR(E104="Partial Vacation",E104="Partial Sick Leave"),OR(NOT(ISNUMBER(H104)),NOT(ISNUMBER(I104)))),"Enter leave from and to",IF(AND(ISNUMBER(F104),ISNUMBER(G104),G104&lt;=F104),"End is before start",IF(AND(ISNUMBER(H104),ISNUMBER(I104),I104&lt;=H104),"Leave end is before start",IF(AND(ISNUMBER(F104),ISNUMBER(G104),ISNUMBER(H104),ISNUMBER(I104),F104&lt;I104,H104&lt;G104),"Work and leave hours overlap",IF(AND(E104&lt;&gt;"",WEEKDAY(A104)=7),"Saturday - administrator only","")))))))</f>
        <v/>
      </c>
      <c r="T104" s="36" t="n">
        <f aca="false">MONTH(A104)</f>
        <v>4</v>
      </c>
      <c r="U104" s="37" t="b">
        <f aca="false">OR(C104="Workday",C104="Eve")</f>
        <v>0</v>
      </c>
      <c r="V104" s="34" t="n">
        <f aca="false">IF(C104="Eve",Settings!$B$8,Settings!$B$7)</f>
        <v>0.6875</v>
      </c>
      <c r="W104" s="14" t="n">
        <f aca="false">IF(U104,(V104-Settings!$B$6)*24,0)</f>
        <v>0</v>
      </c>
    </row>
    <row r="105" customFormat="false" ht="15" hidden="false" customHeight="false" outlineLevel="0" collapsed="false">
      <c r="A105" s="29" t="n">
        <v>46121</v>
      </c>
      <c r="B105" s="30" t="str">
        <f aca="false">CHOOSE(WEEKDAY(A105),"Sun","Mon","Tue","Wed","Thu","Fri","Sat")</f>
        <v>Thu</v>
      </c>
      <c r="C105" s="30" t="str">
        <f aca="false">IF(IFERROR(INDEX(Holidays!$D$5:$D$60,MATCH(A105,Holidays!$A$5:$A$60,0)),"")="Holiday","Holiday",IF(WEEKDAY(A105)&gt;=6,"Weekend",IF(IFERROR(INDEX(Holidays!$D$5:$D$60,MATCH(A105,Holidays!$A$5:$A$60,0)),"")="Eve","Eve","Workday")))</f>
        <v>Workday</v>
      </c>
      <c r="D105" s="18" t="str">
        <f aca="false">IFERROR(INDEX(Holidays!$C$5:$C$60,MATCH(A105,Holidays!$A$5:$A$60,0)),"")</f>
        <v/>
      </c>
      <c r="E105" s="31"/>
      <c r="F105" s="32"/>
      <c r="G105" s="32"/>
      <c r="H105" s="32"/>
      <c r="I105" s="32"/>
      <c r="J105" s="31"/>
      <c r="K105" s="33" t="str">
        <f aca="false">IF(E105&lt;&gt;"",E105,IF(U105,"Present",IF(C105="Holiday","Holiday","Weekend")))</f>
        <v>Present</v>
      </c>
      <c r="L105" s="34" t="n">
        <f aca="false">IF(OR(K105="Present",K105="Manual Work",K105="Partial Vacation",K105="Partial Sick Leave"),IF(ISNUMBER(F105),F105,IF(AND(K105="Present",U105),Settings!$B$6,"")),"")</f>
        <v>0.333333333333333</v>
      </c>
      <c r="M105" s="34" t="n">
        <f aca="false">IF(OR(K105="Present",K105="Manual Work",K105="Partial Vacation",K105="Partial Sick Leave"),IF(ISNUMBER(G105),G105,IF(AND(K105="Present",U105),V105,"")),"")</f>
        <v>0.6875</v>
      </c>
      <c r="N105" s="14" t="n">
        <f aca="false">IF(AND(ISNUMBER(L105),ISNUMBER(M105)),MAX(0,(M105-L105)*24),0)</f>
        <v>8.5</v>
      </c>
      <c r="O105" s="14" t="n">
        <f aca="false">IF(NOT(U105),0,IF(K105="Vacation",IF(C105="Eve",Settings!$B$9*Settings!$B$11,W105),IF(K105="Partial Vacation",IF(AND(ISNUMBER(H105),ISNUMBER(I105)),MAX(0,(I105-H105)*24),0),0)))</f>
        <v>0</v>
      </c>
      <c r="P105" s="14" t="n">
        <f aca="false">IF(NOT(U105),0,IF(K105="Sick Leave",W105,IF(K105="Partial Sick Leave",IF(AND(ISNUMBER(H105),ISNUMBER(I105)),MAX(0,(I105-H105)*24),0),0)))</f>
        <v>0</v>
      </c>
      <c r="Q105" s="14" t="n">
        <f aca="false">IF(NOT(U105),0,IF(K105="Vacation",IF(C105="Eve",Settings!$B$11,1),IF(K105="Partial Vacation",O105/Settings!$B$9,0)))</f>
        <v>0</v>
      </c>
      <c r="R105" s="14" t="n">
        <f aca="false">IF(NOT(U105),0,IF(K105="Sick Leave",1,IF(K105="Partial Sick Leave",P105/Settings!$B$9,0)))</f>
        <v>0</v>
      </c>
      <c r="S105" s="35" t="str">
        <f aca="false">IF(AND(OR(E105="Vacation",E105="Sick Leave",E105="Partial Vacation",E105="Partial Sick Leave"),NOT(U105)),"Leave not allowed on this day",IF(AND(E105="Manual Work",OR(NOT(ISNUMBER(F105)),NOT(ISNUMBER(G105)))),"Enter start and end",IF(AND(OR(E105="Partial Vacation",E105="Partial Sick Leave"),OR(NOT(ISNUMBER(H105)),NOT(ISNUMBER(I105)))),"Enter leave from and to",IF(AND(ISNUMBER(F105),ISNUMBER(G105),G105&lt;=F105),"End is before start",IF(AND(ISNUMBER(H105),ISNUMBER(I105),I105&lt;=H105),"Leave end is before start",IF(AND(ISNUMBER(F105),ISNUMBER(G105),ISNUMBER(H105),ISNUMBER(I105),F105&lt;I105,H105&lt;G105),"Work and leave hours overlap",IF(AND(E105&lt;&gt;"",WEEKDAY(A105)=7),"Saturday - administrator only","")))))))</f>
        <v/>
      </c>
      <c r="T105" s="36" t="n">
        <f aca="false">MONTH(A105)</f>
        <v>4</v>
      </c>
      <c r="U105" s="37" t="b">
        <f aca="false">OR(C105="Workday",C105="Eve")</f>
        <v>1</v>
      </c>
      <c r="V105" s="34" t="n">
        <f aca="false">IF(C105="Eve",Settings!$B$8,Settings!$B$7)</f>
        <v>0.6875</v>
      </c>
      <c r="W105" s="14" t="n">
        <f aca="false">IF(U105,(V105-Settings!$B$6)*24,0)</f>
        <v>8.5</v>
      </c>
    </row>
    <row r="106" customFormat="false" ht="15" hidden="false" customHeight="false" outlineLevel="0" collapsed="false">
      <c r="A106" s="29" t="n">
        <v>46122</v>
      </c>
      <c r="B106" s="30" t="str">
        <f aca="false">CHOOSE(WEEKDAY(A106),"Sun","Mon","Tue","Wed","Thu","Fri","Sat")</f>
        <v>Fri</v>
      </c>
      <c r="C106" s="30" t="str">
        <f aca="false">IF(IFERROR(INDEX(Holidays!$D$5:$D$60,MATCH(A106,Holidays!$A$5:$A$60,0)),"")="Holiday","Holiday",IF(WEEKDAY(A106)&gt;=6,"Weekend",IF(IFERROR(INDEX(Holidays!$D$5:$D$60,MATCH(A106,Holidays!$A$5:$A$60,0)),"")="Eve","Eve","Workday")))</f>
        <v>Weekend</v>
      </c>
      <c r="D106" s="18" t="str">
        <f aca="false">IFERROR(INDEX(Holidays!$C$5:$C$60,MATCH(A106,Holidays!$A$5:$A$60,0)),"")</f>
        <v/>
      </c>
      <c r="E106" s="31"/>
      <c r="F106" s="32"/>
      <c r="G106" s="32"/>
      <c r="H106" s="32"/>
      <c r="I106" s="32"/>
      <c r="J106" s="31"/>
      <c r="K106" s="33" t="str">
        <f aca="false">IF(E106&lt;&gt;"",E106,IF(U106,"Present",IF(C106="Holiday","Holiday","Weekend")))</f>
        <v>Weekend</v>
      </c>
      <c r="L106" s="34" t="str">
        <f aca="false">IF(OR(K106="Present",K106="Manual Work",K106="Partial Vacation",K106="Partial Sick Leave"),IF(ISNUMBER(F106),F106,IF(AND(K106="Present",U106),Settings!$B$6,"")),"")</f>
        <v/>
      </c>
      <c r="M106" s="34" t="str">
        <f aca="false">IF(OR(K106="Present",K106="Manual Work",K106="Partial Vacation",K106="Partial Sick Leave"),IF(ISNUMBER(G106),G106,IF(AND(K106="Present",U106),V106,"")),"")</f>
        <v/>
      </c>
      <c r="N106" s="14" t="n">
        <f aca="false">IF(AND(ISNUMBER(L106),ISNUMBER(M106)),MAX(0,(M106-L106)*24),0)</f>
        <v>0</v>
      </c>
      <c r="O106" s="14" t="n">
        <f aca="false">IF(NOT(U106),0,IF(K106="Vacation",IF(C106="Eve",Settings!$B$9*Settings!$B$11,W106),IF(K106="Partial Vacation",IF(AND(ISNUMBER(H106),ISNUMBER(I106)),MAX(0,(I106-H106)*24),0),0)))</f>
        <v>0</v>
      </c>
      <c r="P106" s="14" t="n">
        <f aca="false">IF(NOT(U106),0,IF(K106="Sick Leave",W106,IF(K106="Partial Sick Leave",IF(AND(ISNUMBER(H106),ISNUMBER(I106)),MAX(0,(I106-H106)*24),0),0)))</f>
        <v>0</v>
      </c>
      <c r="Q106" s="14" t="n">
        <f aca="false">IF(NOT(U106),0,IF(K106="Vacation",IF(C106="Eve",Settings!$B$11,1),IF(K106="Partial Vacation",O106/Settings!$B$9,0)))</f>
        <v>0</v>
      </c>
      <c r="R106" s="14" t="n">
        <f aca="false">IF(NOT(U106),0,IF(K106="Sick Leave",1,IF(K106="Partial Sick Leave",P106/Settings!$B$9,0)))</f>
        <v>0</v>
      </c>
      <c r="S106" s="35" t="str">
        <f aca="false">IF(AND(OR(E106="Vacation",E106="Sick Leave",E106="Partial Vacation",E106="Partial Sick Leave"),NOT(U106)),"Leave not allowed on this day",IF(AND(E106="Manual Work",OR(NOT(ISNUMBER(F106)),NOT(ISNUMBER(G106)))),"Enter start and end",IF(AND(OR(E106="Partial Vacation",E106="Partial Sick Leave"),OR(NOT(ISNUMBER(H106)),NOT(ISNUMBER(I106)))),"Enter leave from and to",IF(AND(ISNUMBER(F106),ISNUMBER(G106),G106&lt;=F106),"End is before start",IF(AND(ISNUMBER(H106),ISNUMBER(I106),I106&lt;=H106),"Leave end is before start",IF(AND(ISNUMBER(F106),ISNUMBER(G106),ISNUMBER(H106),ISNUMBER(I106),F106&lt;I106,H106&lt;G106),"Work and leave hours overlap",IF(AND(E106&lt;&gt;"",WEEKDAY(A106)=7),"Saturday - administrator only","")))))))</f>
        <v/>
      </c>
      <c r="T106" s="36" t="n">
        <f aca="false">MONTH(A106)</f>
        <v>4</v>
      </c>
      <c r="U106" s="37" t="b">
        <f aca="false">OR(C106="Workday",C106="Eve")</f>
        <v>0</v>
      </c>
      <c r="V106" s="34" t="n">
        <f aca="false">IF(C106="Eve",Settings!$B$8,Settings!$B$7)</f>
        <v>0.6875</v>
      </c>
      <c r="W106" s="14" t="n">
        <f aca="false">IF(U106,(V106-Settings!$B$6)*24,0)</f>
        <v>0</v>
      </c>
    </row>
    <row r="107" customFormat="false" ht="15" hidden="false" customHeight="false" outlineLevel="0" collapsed="false">
      <c r="A107" s="29" t="n">
        <v>46123</v>
      </c>
      <c r="B107" s="30" t="str">
        <f aca="false">CHOOSE(WEEKDAY(A107),"Sun","Mon","Tue","Wed","Thu","Fri","Sat")</f>
        <v>Sat</v>
      </c>
      <c r="C107" s="30" t="str">
        <f aca="false">IF(IFERROR(INDEX(Holidays!$D$5:$D$60,MATCH(A107,Holidays!$A$5:$A$60,0)),"")="Holiday","Holiday",IF(WEEKDAY(A107)&gt;=6,"Weekend",IF(IFERROR(INDEX(Holidays!$D$5:$D$60,MATCH(A107,Holidays!$A$5:$A$60,0)),"")="Eve","Eve","Workday")))</f>
        <v>Weekend</v>
      </c>
      <c r="D107" s="18" t="str">
        <f aca="false">IFERROR(INDEX(Holidays!$C$5:$C$60,MATCH(A107,Holidays!$A$5:$A$60,0)),"")</f>
        <v/>
      </c>
      <c r="E107" s="31"/>
      <c r="F107" s="32"/>
      <c r="G107" s="32"/>
      <c r="H107" s="32"/>
      <c r="I107" s="32"/>
      <c r="J107" s="31"/>
      <c r="K107" s="33" t="str">
        <f aca="false">IF(E107&lt;&gt;"",E107,IF(U107,"Present",IF(C107="Holiday","Holiday","Weekend")))</f>
        <v>Weekend</v>
      </c>
      <c r="L107" s="34" t="str">
        <f aca="false">IF(OR(K107="Present",K107="Manual Work",K107="Partial Vacation",K107="Partial Sick Leave"),IF(ISNUMBER(F107),F107,IF(AND(K107="Present",U107),Settings!$B$6,"")),"")</f>
        <v/>
      </c>
      <c r="M107" s="34" t="str">
        <f aca="false">IF(OR(K107="Present",K107="Manual Work",K107="Partial Vacation",K107="Partial Sick Leave"),IF(ISNUMBER(G107),G107,IF(AND(K107="Present",U107),V107,"")),"")</f>
        <v/>
      </c>
      <c r="N107" s="14" t="n">
        <f aca="false">IF(AND(ISNUMBER(L107),ISNUMBER(M107)),MAX(0,(M107-L107)*24),0)</f>
        <v>0</v>
      </c>
      <c r="O107" s="14" t="n">
        <f aca="false">IF(NOT(U107),0,IF(K107="Vacation",IF(C107="Eve",Settings!$B$9*Settings!$B$11,W107),IF(K107="Partial Vacation",IF(AND(ISNUMBER(H107),ISNUMBER(I107)),MAX(0,(I107-H107)*24),0),0)))</f>
        <v>0</v>
      </c>
      <c r="P107" s="14" t="n">
        <f aca="false">IF(NOT(U107),0,IF(K107="Sick Leave",W107,IF(K107="Partial Sick Leave",IF(AND(ISNUMBER(H107),ISNUMBER(I107)),MAX(0,(I107-H107)*24),0),0)))</f>
        <v>0</v>
      </c>
      <c r="Q107" s="14" t="n">
        <f aca="false">IF(NOT(U107),0,IF(K107="Vacation",IF(C107="Eve",Settings!$B$11,1),IF(K107="Partial Vacation",O107/Settings!$B$9,0)))</f>
        <v>0</v>
      </c>
      <c r="R107" s="14" t="n">
        <f aca="false">IF(NOT(U107),0,IF(K107="Sick Leave",1,IF(K107="Partial Sick Leave",P107/Settings!$B$9,0)))</f>
        <v>0</v>
      </c>
      <c r="S107" s="35" t="str">
        <f aca="false">IF(AND(OR(E107="Vacation",E107="Sick Leave",E107="Partial Vacation",E107="Partial Sick Leave"),NOT(U107)),"Leave not allowed on this day",IF(AND(E107="Manual Work",OR(NOT(ISNUMBER(F107)),NOT(ISNUMBER(G107)))),"Enter start and end",IF(AND(OR(E107="Partial Vacation",E107="Partial Sick Leave"),OR(NOT(ISNUMBER(H107)),NOT(ISNUMBER(I107)))),"Enter leave from and to",IF(AND(ISNUMBER(F107),ISNUMBER(G107),G107&lt;=F107),"End is before start",IF(AND(ISNUMBER(H107),ISNUMBER(I107),I107&lt;=H107),"Leave end is before start",IF(AND(ISNUMBER(F107),ISNUMBER(G107),ISNUMBER(H107),ISNUMBER(I107),F107&lt;I107,H107&lt;G107),"Work and leave hours overlap",IF(AND(E107&lt;&gt;"",WEEKDAY(A107)=7),"Saturday - administrator only","")))))))</f>
        <v/>
      </c>
      <c r="T107" s="36" t="n">
        <f aca="false">MONTH(A107)</f>
        <v>4</v>
      </c>
      <c r="U107" s="37" t="b">
        <f aca="false">OR(C107="Workday",C107="Eve")</f>
        <v>0</v>
      </c>
      <c r="V107" s="34" t="n">
        <f aca="false">IF(C107="Eve",Settings!$B$8,Settings!$B$7)</f>
        <v>0.6875</v>
      </c>
      <c r="W107" s="14" t="n">
        <f aca="false">IF(U107,(V107-Settings!$B$6)*24,0)</f>
        <v>0</v>
      </c>
    </row>
    <row r="108" customFormat="false" ht="15" hidden="false" customHeight="false" outlineLevel="0" collapsed="false">
      <c r="A108" s="29" t="n">
        <v>46124</v>
      </c>
      <c r="B108" s="30" t="str">
        <f aca="false">CHOOSE(WEEKDAY(A108),"Sun","Mon","Tue","Wed","Thu","Fri","Sat")</f>
        <v>Sun</v>
      </c>
      <c r="C108" s="30" t="str">
        <f aca="false">IF(IFERROR(INDEX(Holidays!$D$5:$D$60,MATCH(A108,Holidays!$A$5:$A$60,0)),"")="Holiday","Holiday",IF(WEEKDAY(A108)&gt;=6,"Weekend",IF(IFERROR(INDEX(Holidays!$D$5:$D$60,MATCH(A108,Holidays!$A$5:$A$60,0)),"")="Eve","Eve","Workday")))</f>
        <v>Workday</v>
      </c>
      <c r="D108" s="18" t="str">
        <f aca="false">IFERROR(INDEX(Holidays!$C$5:$C$60,MATCH(A108,Holidays!$A$5:$A$60,0)),"")</f>
        <v/>
      </c>
      <c r="E108" s="31"/>
      <c r="F108" s="32"/>
      <c r="G108" s="32"/>
      <c r="H108" s="32"/>
      <c r="I108" s="32"/>
      <c r="J108" s="31"/>
      <c r="K108" s="33" t="str">
        <f aca="false">IF(E108&lt;&gt;"",E108,IF(U108,"Present",IF(C108="Holiday","Holiday","Weekend")))</f>
        <v>Present</v>
      </c>
      <c r="L108" s="34" t="n">
        <f aca="false">IF(OR(K108="Present",K108="Manual Work",K108="Partial Vacation",K108="Partial Sick Leave"),IF(ISNUMBER(F108),F108,IF(AND(K108="Present",U108),Settings!$B$6,"")),"")</f>
        <v>0.333333333333333</v>
      </c>
      <c r="M108" s="34" t="n">
        <f aca="false">IF(OR(K108="Present",K108="Manual Work",K108="Partial Vacation",K108="Partial Sick Leave"),IF(ISNUMBER(G108),G108,IF(AND(K108="Present",U108),V108,"")),"")</f>
        <v>0.6875</v>
      </c>
      <c r="N108" s="14" t="n">
        <f aca="false">IF(AND(ISNUMBER(L108),ISNUMBER(M108)),MAX(0,(M108-L108)*24),0)</f>
        <v>8.5</v>
      </c>
      <c r="O108" s="14" t="n">
        <f aca="false">IF(NOT(U108),0,IF(K108="Vacation",IF(C108="Eve",Settings!$B$9*Settings!$B$11,W108),IF(K108="Partial Vacation",IF(AND(ISNUMBER(H108),ISNUMBER(I108)),MAX(0,(I108-H108)*24),0),0)))</f>
        <v>0</v>
      </c>
      <c r="P108" s="14" t="n">
        <f aca="false">IF(NOT(U108),0,IF(K108="Sick Leave",W108,IF(K108="Partial Sick Leave",IF(AND(ISNUMBER(H108),ISNUMBER(I108)),MAX(0,(I108-H108)*24),0),0)))</f>
        <v>0</v>
      </c>
      <c r="Q108" s="14" t="n">
        <f aca="false">IF(NOT(U108),0,IF(K108="Vacation",IF(C108="Eve",Settings!$B$11,1),IF(K108="Partial Vacation",O108/Settings!$B$9,0)))</f>
        <v>0</v>
      </c>
      <c r="R108" s="14" t="n">
        <f aca="false">IF(NOT(U108),0,IF(K108="Sick Leave",1,IF(K108="Partial Sick Leave",P108/Settings!$B$9,0)))</f>
        <v>0</v>
      </c>
      <c r="S108" s="35" t="str">
        <f aca="false">IF(AND(OR(E108="Vacation",E108="Sick Leave",E108="Partial Vacation",E108="Partial Sick Leave"),NOT(U108)),"Leave not allowed on this day",IF(AND(E108="Manual Work",OR(NOT(ISNUMBER(F108)),NOT(ISNUMBER(G108)))),"Enter start and end",IF(AND(OR(E108="Partial Vacation",E108="Partial Sick Leave"),OR(NOT(ISNUMBER(H108)),NOT(ISNUMBER(I108)))),"Enter leave from and to",IF(AND(ISNUMBER(F108),ISNUMBER(G108),G108&lt;=F108),"End is before start",IF(AND(ISNUMBER(H108),ISNUMBER(I108),I108&lt;=H108),"Leave end is before start",IF(AND(ISNUMBER(F108),ISNUMBER(G108),ISNUMBER(H108),ISNUMBER(I108),F108&lt;I108,H108&lt;G108),"Work and leave hours overlap",IF(AND(E108&lt;&gt;"",WEEKDAY(A108)=7),"Saturday - administrator only","")))))))</f>
        <v/>
      </c>
      <c r="T108" s="36" t="n">
        <f aca="false">MONTH(A108)</f>
        <v>4</v>
      </c>
      <c r="U108" s="37" t="b">
        <f aca="false">OR(C108="Workday",C108="Eve")</f>
        <v>1</v>
      </c>
      <c r="V108" s="34" t="n">
        <f aca="false">IF(C108="Eve",Settings!$B$8,Settings!$B$7)</f>
        <v>0.6875</v>
      </c>
      <c r="W108" s="14" t="n">
        <f aca="false">IF(U108,(V108-Settings!$B$6)*24,0)</f>
        <v>8.5</v>
      </c>
    </row>
    <row r="109" customFormat="false" ht="15" hidden="false" customHeight="false" outlineLevel="0" collapsed="false">
      <c r="A109" s="29" t="n">
        <v>46125</v>
      </c>
      <c r="B109" s="30" t="str">
        <f aca="false">CHOOSE(WEEKDAY(A109),"Sun","Mon","Tue","Wed","Thu","Fri","Sat")</f>
        <v>Mon</v>
      </c>
      <c r="C109" s="30" t="str">
        <f aca="false">IF(IFERROR(INDEX(Holidays!$D$5:$D$60,MATCH(A109,Holidays!$A$5:$A$60,0)),"")="Holiday","Holiday",IF(WEEKDAY(A109)&gt;=6,"Weekend",IF(IFERROR(INDEX(Holidays!$D$5:$D$60,MATCH(A109,Holidays!$A$5:$A$60,0)),"")="Eve","Eve","Workday")))</f>
        <v>Workday</v>
      </c>
      <c r="D109" s="18" t="str">
        <f aca="false">IFERROR(INDEX(Holidays!$C$5:$C$60,MATCH(A109,Holidays!$A$5:$A$60,0)),"")</f>
        <v/>
      </c>
      <c r="E109" s="31"/>
      <c r="F109" s="32"/>
      <c r="G109" s="32"/>
      <c r="H109" s="32"/>
      <c r="I109" s="32"/>
      <c r="J109" s="31"/>
      <c r="K109" s="33" t="str">
        <f aca="false">IF(E109&lt;&gt;"",E109,IF(U109,"Present",IF(C109="Holiday","Holiday","Weekend")))</f>
        <v>Present</v>
      </c>
      <c r="L109" s="34" t="n">
        <f aca="false">IF(OR(K109="Present",K109="Manual Work",K109="Partial Vacation",K109="Partial Sick Leave"),IF(ISNUMBER(F109),F109,IF(AND(K109="Present",U109),Settings!$B$6,"")),"")</f>
        <v>0.333333333333333</v>
      </c>
      <c r="M109" s="34" t="n">
        <f aca="false">IF(OR(K109="Present",K109="Manual Work",K109="Partial Vacation",K109="Partial Sick Leave"),IF(ISNUMBER(G109),G109,IF(AND(K109="Present",U109),V109,"")),"")</f>
        <v>0.6875</v>
      </c>
      <c r="N109" s="14" t="n">
        <f aca="false">IF(AND(ISNUMBER(L109),ISNUMBER(M109)),MAX(0,(M109-L109)*24),0)</f>
        <v>8.5</v>
      </c>
      <c r="O109" s="14" t="n">
        <f aca="false">IF(NOT(U109),0,IF(K109="Vacation",IF(C109="Eve",Settings!$B$9*Settings!$B$11,W109),IF(K109="Partial Vacation",IF(AND(ISNUMBER(H109),ISNUMBER(I109)),MAX(0,(I109-H109)*24),0),0)))</f>
        <v>0</v>
      </c>
      <c r="P109" s="14" t="n">
        <f aca="false">IF(NOT(U109),0,IF(K109="Sick Leave",W109,IF(K109="Partial Sick Leave",IF(AND(ISNUMBER(H109),ISNUMBER(I109)),MAX(0,(I109-H109)*24),0),0)))</f>
        <v>0</v>
      </c>
      <c r="Q109" s="14" t="n">
        <f aca="false">IF(NOT(U109),0,IF(K109="Vacation",IF(C109="Eve",Settings!$B$11,1),IF(K109="Partial Vacation",O109/Settings!$B$9,0)))</f>
        <v>0</v>
      </c>
      <c r="R109" s="14" t="n">
        <f aca="false">IF(NOT(U109),0,IF(K109="Sick Leave",1,IF(K109="Partial Sick Leave",P109/Settings!$B$9,0)))</f>
        <v>0</v>
      </c>
      <c r="S109" s="35" t="str">
        <f aca="false">IF(AND(OR(E109="Vacation",E109="Sick Leave",E109="Partial Vacation",E109="Partial Sick Leave"),NOT(U109)),"Leave not allowed on this day",IF(AND(E109="Manual Work",OR(NOT(ISNUMBER(F109)),NOT(ISNUMBER(G109)))),"Enter start and end",IF(AND(OR(E109="Partial Vacation",E109="Partial Sick Leave"),OR(NOT(ISNUMBER(H109)),NOT(ISNUMBER(I109)))),"Enter leave from and to",IF(AND(ISNUMBER(F109),ISNUMBER(G109),G109&lt;=F109),"End is before start",IF(AND(ISNUMBER(H109),ISNUMBER(I109),I109&lt;=H109),"Leave end is before start",IF(AND(ISNUMBER(F109),ISNUMBER(G109),ISNUMBER(H109),ISNUMBER(I109),F109&lt;I109,H109&lt;G109),"Work and leave hours overlap",IF(AND(E109&lt;&gt;"",WEEKDAY(A109)=7),"Saturday - administrator only","")))))))</f>
        <v/>
      </c>
      <c r="T109" s="36" t="n">
        <f aca="false">MONTH(A109)</f>
        <v>4</v>
      </c>
      <c r="U109" s="37" t="b">
        <f aca="false">OR(C109="Workday",C109="Eve")</f>
        <v>1</v>
      </c>
      <c r="V109" s="34" t="n">
        <f aca="false">IF(C109="Eve",Settings!$B$8,Settings!$B$7)</f>
        <v>0.6875</v>
      </c>
      <c r="W109" s="14" t="n">
        <f aca="false">IF(U109,(V109-Settings!$B$6)*24,0)</f>
        <v>8.5</v>
      </c>
    </row>
    <row r="110" customFormat="false" ht="15" hidden="false" customHeight="false" outlineLevel="0" collapsed="false">
      <c r="A110" s="29" t="n">
        <v>46126</v>
      </c>
      <c r="B110" s="30" t="str">
        <f aca="false">CHOOSE(WEEKDAY(A110),"Sun","Mon","Tue","Wed","Thu","Fri","Sat")</f>
        <v>Tue</v>
      </c>
      <c r="C110" s="30" t="str">
        <f aca="false">IF(IFERROR(INDEX(Holidays!$D$5:$D$60,MATCH(A110,Holidays!$A$5:$A$60,0)),"")="Holiday","Holiday",IF(WEEKDAY(A110)&gt;=6,"Weekend",IF(IFERROR(INDEX(Holidays!$D$5:$D$60,MATCH(A110,Holidays!$A$5:$A$60,0)),"")="Eve","Eve","Workday")))</f>
        <v>Workday</v>
      </c>
      <c r="D110" s="18" t="str">
        <f aca="false">IFERROR(INDEX(Holidays!$C$5:$C$60,MATCH(A110,Holidays!$A$5:$A$60,0)),"")</f>
        <v/>
      </c>
      <c r="E110" s="31"/>
      <c r="F110" s="32"/>
      <c r="G110" s="32"/>
      <c r="H110" s="32"/>
      <c r="I110" s="32"/>
      <c r="J110" s="31"/>
      <c r="K110" s="33" t="str">
        <f aca="false">IF(E110&lt;&gt;"",E110,IF(U110,"Present",IF(C110="Holiday","Holiday","Weekend")))</f>
        <v>Present</v>
      </c>
      <c r="L110" s="34" t="n">
        <f aca="false">IF(OR(K110="Present",K110="Manual Work",K110="Partial Vacation",K110="Partial Sick Leave"),IF(ISNUMBER(F110),F110,IF(AND(K110="Present",U110),Settings!$B$6,"")),"")</f>
        <v>0.333333333333333</v>
      </c>
      <c r="M110" s="34" t="n">
        <f aca="false">IF(OR(K110="Present",K110="Manual Work",K110="Partial Vacation",K110="Partial Sick Leave"),IF(ISNUMBER(G110),G110,IF(AND(K110="Present",U110),V110,"")),"")</f>
        <v>0.6875</v>
      </c>
      <c r="N110" s="14" t="n">
        <f aca="false">IF(AND(ISNUMBER(L110),ISNUMBER(M110)),MAX(0,(M110-L110)*24),0)</f>
        <v>8.5</v>
      </c>
      <c r="O110" s="14" t="n">
        <f aca="false">IF(NOT(U110),0,IF(K110="Vacation",IF(C110="Eve",Settings!$B$9*Settings!$B$11,W110),IF(K110="Partial Vacation",IF(AND(ISNUMBER(H110),ISNUMBER(I110)),MAX(0,(I110-H110)*24),0),0)))</f>
        <v>0</v>
      </c>
      <c r="P110" s="14" t="n">
        <f aca="false">IF(NOT(U110),0,IF(K110="Sick Leave",W110,IF(K110="Partial Sick Leave",IF(AND(ISNUMBER(H110),ISNUMBER(I110)),MAX(0,(I110-H110)*24),0),0)))</f>
        <v>0</v>
      </c>
      <c r="Q110" s="14" t="n">
        <f aca="false">IF(NOT(U110),0,IF(K110="Vacation",IF(C110="Eve",Settings!$B$11,1),IF(K110="Partial Vacation",O110/Settings!$B$9,0)))</f>
        <v>0</v>
      </c>
      <c r="R110" s="14" t="n">
        <f aca="false">IF(NOT(U110),0,IF(K110="Sick Leave",1,IF(K110="Partial Sick Leave",P110/Settings!$B$9,0)))</f>
        <v>0</v>
      </c>
      <c r="S110" s="35" t="str">
        <f aca="false">IF(AND(OR(E110="Vacation",E110="Sick Leave",E110="Partial Vacation",E110="Partial Sick Leave"),NOT(U110)),"Leave not allowed on this day",IF(AND(E110="Manual Work",OR(NOT(ISNUMBER(F110)),NOT(ISNUMBER(G110)))),"Enter start and end",IF(AND(OR(E110="Partial Vacation",E110="Partial Sick Leave"),OR(NOT(ISNUMBER(H110)),NOT(ISNUMBER(I110)))),"Enter leave from and to",IF(AND(ISNUMBER(F110),ISNUMBER(G110),G110&lt;=F110),"End is before start",IF(AND(ISNUMBER(H110),ISNUMBER(I110),I110&lt;=H110),"Leave end is before start",IF(AND(ISNUMBER(F110),ISNUMBER(G110),ISNUMBER(H110),ISNUMBER(I110),F110&lt;I110,H110&lt;G110),"Work and leave hours overlap",IF(AND(E110&lt;&gt;"",WEEKDAY(A110)=7),"Saturday - administrator only","")))))))</f>
        <v/>
      </c>
      <c r="T110" s="36" t="n">
        <f aca="false">MONTH(A110)</f>
        <v>4</v>
      </c>
      <c r="U110" s="37" t="b">
        <f aca="false">OR(C110="Workday",C110="Eve")</f>
        <v>1</v>
      </c>
      <c r="V110" s="34" t="n">
        <f aca="false">IF(C110="Eve",Settings!$B$8,Settings!$B$7)</f>
        <v>0.6875</v>
      </c>
      <c r="W110" s="14" t="n">
        <f aca="false">IF(U110,(V110-Settings!$B$6)*24,0)</f>
        <v>8.5</v>
      </c>
    </row>
    <row r="111" customFormat="false" ht="15" hidden="false" customHeight="false" outlineLevel="0" collapsed="false">
      <c r="A111" s="29" t="n">
        <v>46127</v>
      </c>
      <c r="B111" s="30" t="str">
        <f aca="false">CHOOSE(WEEKDAY(A111),"Sun","Mon","Tue","Wed","Thu","Fri","Sat")</f>
        <v>Wed</v>
      </c>
      <c r="C111" s="30" t="str">
        <f aca="false">IF(IFERROR(INDEX(Holidays!$D$5:$D$60,MATCH(A111,Holidays!$A$5:$A$60,0)),"")="Holiday","Holiday",IF(WEEKDAY(A111)&gt;=6,"Weekend",IF(IFERROR(INDEX(Holidays!$D$5:$D$60,MATCH(A111,Holidays!$A$5:$A$60,0)),"")="Eve","Eve","Workday")))</f>
        <v>Workday</v>
      </c>
      <c r="D111" s="18" t="str">
        <f aca="false">IFERROR(INDEX(Holidays!$C$5:$C$60,MATCH(A111,Holidays!$A$5:$A$60,0)),"")</f>
        <v/>
      </c>
      <c r="E111" s="31"/>
      <c r="F111" s="32"/>
      <c r="G111" s="32"/>
      <c r="H111" s="32"/>
      <c r="I111" s="32"/>
      <c r="J111" s="31"/>
      <c r="K111" s="33" t="str">
        <f aca="false">IF(E111&lt;&gt;"",E111,IF(U111,"Present",IF(C111="Holiday","Holiday","Weekend")))</f>
        <v>Present</v>
      </c>
      <c r="L111" s="34" t="n">
        <f aca="false">IF(OR(K111="Present",K111="Manual Work",K111="Partial Vacation",K111="Partial Sick Leave"),IF(ISNUMBER(F111),F111,IF(AND(K111="Present",U111),Settings!$B$6,"")),"")</f>
        <v>0.333333333333333</v>
      </c>
      <c r="M111" s="34" t="n">
        <f aca="false">IF(OR(K111="Present",K111="Manual Work",K111="Partial Vacation",K111="Partial Sick Leave"),IF(ISNUMBER(G111),G111,IF(AND(K111="Present",U111),V111,"")),"")</f>
        <v>0.6875</v>
      </c>
      <c r="N111" s="14" t="n">
        <f aca="false">IF(AND(ISNUMBER(L111),ISNUMBER(M111)),MAX(0,(M111-L111)*24),0)</f>
        <v>8.5</v>
      </c>
      <c r="O111" s="14" t="n">
        <f aca="false">IF(NOT(U111),0,IF(K111="Vacation",IF(C111="Eve",Settings!$B$9*Settings!$B$11,W111),IF(K111="Partial Vacation",IF(AND(ISNUMBER(H111),ISNUMBER(I111)),MAX(0,(I111-H111)*24),0),0)))</f>
        <v>0</v>
      </c>
      <c r="P111" s="14" t="n">
        <f aca="false">IF(NOT(U111),0,IF(K111="Sick Leave",W111,IF(K111="Partial Sick Leave",IF(AND(ISNUMBER(H111),ISNUMBER(I111)),MAX(0,(I111-H111)*24),0),0)))</f>
        <v>0</v>
      </c>
      <c r="Q111" s="14" t="n">
        <f aca="false">IF(NOT(U111),0,IF(K111="Vacation",IF(C111="Eve",Settings!$B$11,1),IF(K111="Partial Vacation",O111/Settings!$B$9,0)))</f>
        <v>0</v>
      </c>
      <c r="R111" s="14" t="n">
        <f aca="false">IF(NOT(U111),0,IF(K111="Sick Leave",1,IF(K111="Partial Sick Leave",P111/Settings!$B$9,0)))</f>
        <v>0</v>
      </c>
      <c r="S111" s="35" t="str">
        <f aca="false">IF(AND(OR(E111="Vacation",E111="Sick Leave",E111="Partial Vacation",E111="Partial Sick Leave"),NOT(U111)),"Leave not allowed on this day",IF(AND(E111="Manual Work",OR(NOT(ISNUMBER(F111)),NOT(ISNUMBER(G111)))),"Enter start and end",IF(AND(OR(E111="Partial Vacation",E111="Partial Sick Leave"),OR(NOT(ISNUMBER(H111)),NOT(ISNUMBER(I111)))),"Enter leave from and to",IF(AND(ISNUMBER(F111),ISNUMBER(G111),G111&lt;=F111),"End is before start",IF(AND(ISNUMBER(H111),ISNUMBER(I111),I111&lt;=H111),"Leave end is before start",IF(AND(ISNUMBER(F111),ISNUMBER(G111),ISNUMBER(H111),ISNUMBER(I111),F111&lt;I111,H111&lt;G111),"Work and leave hours overlap",IF(AND(E111&lt;&gt;"",WEEKDAY(A111)=7),"Saturday - administrator only","")))))))</f>
        <v/>
      </c>
      <c r="T111" s="36" t="n">
        <f aca="false">MONTH(A111)</f>
        <v>4</v>
      </c>
      <c r="U111" s="37" t="b">
        <f aca="false">OR(C111="Workday",C111="Eve")</f>
        <v>1</v>
      </c>
      <c r="V111" s="34" t="n">
        <f aca="false">IF(C111="Eve",Settings!$B$8,Settings!$B$7)</f>
        <v>0.6875</v>
      </c>
      <c r="W111" s="14" t="n">
        <f aca="false">IF(U111,(V111-Settings!$B$6)*24,0)</f>
        <v>8.5</v>
      </c>
    </row>
    <row r="112" customFormat="false" ht="15" hidden="false" customHeight="false" outlineLevel="0" collapsed="false">
      <c r="A112" s="29" t="n">
        <v>46128</v>
      </c>
      <c r="B112" s="30" t="str">
        <f aca="false">CHOOSE(WEEKDAY(A112),"Sun","Mon","Tue","Wed","Thu","Fri","Sat")</f>
        <v>Thu</v>
      </c>
      <c r="C112" s="30" t="str">
        <f aca="false">IF(IFERROR(INDEX(Holidays!$D$5:$D$60,MATCH(A112,Holidays!$A$5:$A$60,0)),"")="Holiday","Holiday",IF(WEEKDAY(A112)&gt;=6,"Weekend",IF(IFERROR(INDEX(Holidays!$D$5:$D$60,MATCH(A112,Holidays!$A$5:$A$60,0)),"")="Eve","Eve","Workday")))</f>
        <v>Workday</v>
      </c>
      <c r="D112" s="18" t="str">
        <f aca="false">IFERROR(INDEX(Holidays!$C$5:$C$60,MATCH(A112,Holidays!$A$5:$A$60,0)),"")</f>
        <v/>
      </c>
      <c r="E112" s="31"/>
      <c r="F112" s="32"/>
      <c r="G112" s="32"/>
      <c r="H112" s="32"/>
      <c r="I112" s="32"/>
      <c r="J112" s="31"/>
      <c r="K112" s="33" t="str">
        <f aca="false">IF(E112&lt;&gt;"",E112,IF(U112,"Present",IF(C112="Holiday","Holiday","Weekend")))</f>
        <v>Present</v>
      </c>
      <c r="L112" s="34" t="n">
        <f aca="false">IF(OR(K112="Present",K112="Manual Work",K112="Partial Vacation",K112="Partial Sick Leave"),IF(ISNUMBER(F112),F112,IF(AND(K112="Present",U112),Settings!$B$6,"")),"")</f>
        <v>0.333333333333333</v>
      </c>
      <c r="M112" s="34" t="n">
        <f aca="false">IF(OR(K112="Present",K112="Manual Work",K112="Partial Vacation",K112="Partial Sick Leave"),IF(ISNUMBER(G112),G112,IF(AND(K112="Present",U112),V112,"")),"")</f>
        <v>0.6875</v>
      </c>
      <c r="N112" s="14" t="n">
        <f aca="false">IF(AND(ISNUMBER(L112),ISNUMBER(M112)),MAX(0,(M112-L112)*24),0)</f>
        <v>8.5</v>
      </c>
      <c r="O112" s="14" t="n">
        <f aca="false">IF(NOT(U112),0,IF(K112="Vacation",IF(C112="Eve",Settings!$B$9*Settings!$B$11,W112),IF(K112="Partial Vacation",IF(AND(ISNUMBER(H112),ISNUMBER(I112)),MAX(0,(I112-H112)*24),0),0)))</f>
        <v>0</v>
      </c>
      <c r="P112" s="14" t="n">
        <f aca="false">IF(NOT(U112),0,IF(K112="Sick Leave",W112,IF(K112="Partial Sick Leave",IF(AND(ISNUMBER(H112),ISNUMBER(I112)),MAX(0,(I112-H112)*24),0),0)))</f>
        <v>0</v>
      </c>
      <c r="Q112" s="14" t="n">
        <f aca="false">IF(NOT(U112),0,IF(K112="Vacation",IF(C112="Eve",Settings!$B$11,1),IF(K112="Partial Vacation",O112/Settings!$B$9,0)))</f>
        <v>0</v>
      </c>
      <c r="R112" s="14" t="n">
        <f aca="false">IF(NOT(U112),0,IF(K112="Sick Leave",1,IF(K112="Partial Sick Leave",P112/Settings!$B$9,0)))</f>
        <v>0</v>
      </c>
      <c r="S112" s="35" t="str">
        <f aca="false">IF(AND(OR(E112="Vacation",E112="Sick Leave",E112="Partial Vacation",E112="Partial Sick Leave"),NOT(U112)),"Leave not allowed on this day",IF(AND(E112="Manual Work",OR(NOT(ISNUMBER(F112)),NOT(ISNUMBER(G112)))),"Enter start and end",IF(AND(OR(E112="Partial Vacation",E112="Partial Sick Leave"),OR(NOT(ISNUMBER(H112)),NOT(ISNUMBER(I112)))),"Enter leave from and to",IF(AND(ISNUMBER(F112),ISNUMBER(G112),G112&lt;=F112),"End is before start",IF(AND(ISNUMBER(H112),ISNUMBER(I112),I112&lt;=H112),"Leave end is before start",IF(AND(ISNUMBER(F112),ISNUMBER(G112),ISNUMBER(H112),ISNUMBER(I112),F112&lt;I112,H112&lt;G112),"Work and leave hours overlap",IF(AND(E112&lt;&gt;"",WEEKDAY(A112)=7),"Saturday - administrator only","")))))))</f>
        <v/>
      </c>
      <c r="T112" s="36" t="n">
        <f aca="false">MONTH(A112)</f>
        <v>4</v>
      </c>
      <c r="U112" s="37" t="b">
        <f aca="false">OR(C112="Workday",C112="Eve")</f>
        <v>1</v>
      </c>
      <c r="V112" s="34" t="n">
        <f aca="false">IF(C112="Eve",Settings!$B$8,Settings!$B$7)</f>
        <v>0.6875</v>
      </c>
      <c r="W112" s="14" t="n">
        <f aca="false">IF(U112,(V112-Settings!$B$6)*24,0)</f>
        <v>8.5</v>
      </c>
    </row>
    <row r="113" customFormat="false" ht="15" hidden="false" customHeight="false" outlineLevel="0" collapsed="false">
      <c r="A113" s="29" t="n">
        <v>46129</v>
      </c>
      <c r="B113" s="30" t="str">
        <f aca="false">CHOOSE(WEEKDAY(A113),"Sun","Mon","Tue","Wed","Thu","Fri","Sat")</f>
        <v>Fri</v>
      </c>
      <c r="C113" s="30" t="str">
        <f aca="false">IF(IFERROR(INDEX(Holidays!$D$5:$D$60,MATCH(A113,Holidays!$A$5:$A$60,0)),"")="Holiday","Holiday",IF(WEEKDAY(A113)&gt;=6,"Weekend",IF(IFERROR(INDEX(Holidays!$D$5:$D$60,MATCH(A113,Holidays!$A$5:$A$60,0)),"")="Eve","Eve","Workday")))</f>
        <v>Weekend</v>
      </c>
      <c r="D113" s="18" t="str">
        <f aca="false">IFERROR(INDEX(Holidays!$C$5:$C$60,MATCH(A113,Holidays!$A$5:$A$60,0)),"")</f>
        <v/>
      </c>
      <c r="E113" s="31"/>
      <c r="F113" s="32"/>
      <c r="G113" s="32"/>
      <c r="H113" s="32"/>
      <c r="I113" s="32"/>
      <c r="J113" s="31"/>
      <c r="K113" s="33" t="str">
        <f aca="false">IF(E113&lt;&gt;"",E113,IF(U113,"Present",IF(C113="Holiday","Holiday","Weekend")))</f>
        <v>Weekend</v>
      </c>
      <c r="L113" s="34" t="str">
        <f aca="false">IF(OR(K113="Present",K113="Manual Work",K113="Partial Vacation",K113="Partial Sick Leave"),IF(ISNUMBER(F113),F113,IF(AND(K113="Present",U113),Settings!$B$6,"")),"")</f>
        <v/>
      </c>
      <c r="M113" s="34" t="str">
        <f aca="false">IF(OR(K113="Present",K113="Manual Work",K113="Partial Vacation",K113="Partial Sick Leave"),IF(ISNUMBER(G113),G113,IF(AND(K113="Present",U113),V113,"")),"")</f>
        <v/>
      </c>
      <c r="N113" s="14" t="n">
        <f aca="false">IF(AND(ISNUMBER(L113),ISNUMBER(M113)),MAX(0,(M113-L113)*24),0)</f>
        <v>0</v>
      </c>
      <c r="O113" s="14" t="n">
        <f aca="false">IF(NOT(U113),0,IF(K113="Vacation",IF(C113="Eve",Settings!$B$9*Settings!$B$11,W113),IF(K113="Partial Vacation",IF(AND(ISNUMBER(H113),ISNUMBER(I113)),MAX(0,(I113-H113)*24),0),0)))</f>
        <v>0</v>
      </c>
      <c r="P113" s="14" t="n">
        <f aca="false">IF(NOT(U113),0,IF(K113="Sick Leave",W113,IF(K113="Partial Sick Leave",IF(AND(ISNUMBER(H113),ISNUMBER(I113)),MAX(0,(I113-H113)*24),0),0)))</f>
        <v>0</v>
      </c>
      <c r="Q113" s="14" t="n">
        <f aca="false">IF(NOT(U113),0,IF(K113="Vacation",IF(C113="Eve",Settings!$B$11,1),IF(K113="Partial Vacation",O113/Settings!$B$9,0)))</f>
        <v>0</v>
      </c>
      <c r="R113" s="14" t="n">
        <f aca="false">IF(NOT(U113),0,IF(K113="Sick Leave",1,IF(K113="Partial Sick Leave",P113/Settings!$B$9,0)))</f>
        <v>0</v>
      </c>
      <c r="S113" s="35" t="str">
        <f aca="false">IF(AND(OR(E113="Vacation",E113="Sick Leave",E113="Partial Vacation",E113="Partial Sick Leave"),NOT(U113)),"Leave not allowed on this day",IF(AND(E113="Manual Work",OR(NOT(ISNUMBER(F113)),NOT(ISNUMBER(G113)))),"Enter start and end",IF(AND(OR(E113="Partial Vacation",E113="Partial Sick Leave"),OR(NOT(ISNUMBER(H113)),NOT(ISNUMBER(I113)))),"Enter leave from and to",IF(AND(ISNUMBER(F113),ISNUMBER(G113),G113&lt;=F113),"End is before start",IF(AND(ISNUMBER(H113),ISNUMBER(I113),I113&lt;=H113),"Leave end is before start",IF(AND(ISNUMBER(F113),ISNUMBER(G113),ISNUMBER(H113),ISNUMBER(I113),F113&lt;I113,H113&lt;G113),"Work and leave hours overlap",IF(AND(E113&lt;&gt;"",WEEKDAY(A113)=7),"Saturday - administrator only","")))))))</f>
        <v/>
      </c>
      <c r="T113" s="36" t="n">
        <f aca="false">MONTH(A113)</f>
        <v>4</v>
      </c>
      <c r="U113" s="37" t="b">
        <f aca="false">OR(C113="Workday",C113="Eve")</f>
        <v>0</v>
      </c>
      <c r="V113" s="34" t="n">
        <f aca="false">IF(C113="Eve",Settings!$B$8,Settings!$B$7)</f>
        <v>0.6875</v>
      </c>
      <c r="W113" s="14" t="n">
        <f aca="false">IF(U113,(V113-Settings!$B$6)*24,0)</f>
        <v>0</v>
      </c>
    </row>
    <row r="114" customFormat="false" ht="15" hidden="false" customHeight="false" outlineLevel="0" collapsed="false">
      <c r="A114" s="29" t="n">
        <v>46130</v>
      </c>
      <c r="B114" s="30" t="str">
        <f aca="false">CHOOSE(WEEKDAY(A114),"Sun","Mon","Tue","Wed","Thu","Fri","Sat")</f>
        <v>Sat</v>
      </c>
      <c r="C114" s="30" t="str">
        <f aca="false">IF(IFERROR(INDEX(Holidays!$D$5:$D$60,MATCH(A114,Holidays!$A$5:$A$60,0)),"")="Holiday","Holiday",IF(WEEKDAY(A114)&gt;=6,"Weekend",IF(IFERROR(INDEX(Holidays!$D$5:$D$60,MATCH(A114,Holidays!$A$5:$A$60,0)),"")="Eve","Eve","Workday")))</f>
        <v>Weekend</v>
      </c>
      <c r="D114" s="18" t="str">
        <f aca="false">IFERROR(INDEX(Holidays!$C$5:$C$60,MATCH(A114,Holidays!$A$5:$A$60,0)),"")</f>
        <v/>
      </c>
      <c r="E114" s="31"/>
      <c r="F114" s="32"/>
      <c r="G114" s="32"/>
      <c r="H114" s="32"/>
      <c r="I114" s="32"/>
      <c r="J114" s="31"/>
      <c r="K114" s="33" t="str">
        <f aca="false">IF(E114&lt;&gt;"",E114,IF(U114,"Present",IF(C114="Holiday","Holiday","Weekend")))</f>
        <v>Weekend</v>
      </c>
      <c r="L114" s="34" t="str">
        <f aca="false">IF(OR(K114="Present",K114="Manual Work",K114="Partial Vacation",K114="Partial Sick Leave"),IF(ISNUMBER(F114),F114,IF(AND(K114="Present",U114),Settings!$B$6,"")),"")</f>
        <v/>
      </c>
      <c r="M114" s="34" t="str">
        <f aca="false">IF(OR(K114="Present",K114="Manual Work",K114="Partial Vacation",K114="Partial Sick Leave"),IF(ISNUMBER(G114),G114,IF(AND(K114="Present",U114),V114,"")),"")</f>
        <v/>
      </c>
      <c r="N114" s="14" t="n">
        <f aca="false">IF(AND(ISNUMBER(L114),ISNUMBER(M114)),MAX(0,(M114-L114)*24),0)</f>
        <v>0</v>
      </c>
      <c r="O114" s="14" t="n">
        <f aca="false">IF(NOT(U114),0,IF(K114="Vacation",IF(C114="Eve",Settings!$B$9*Settings!$B$11,W114),IF(K114="Partial Vacation",IF(AND(ISNUMBER(H114),ISNUMBER(I114)),MAX(0,(I114-H114)*24),0),0)))</f>
        <v>0</v>
      </c>
      <c r="P114" s="14" t="n">
        <f aca="false">IF(NOT(U114),0,IF(K114="Sick Leave",W114,IF(K114="Partial Sick Leave",IF(AND(ISNUMBER(H114),ISNUMBER(I114)),MAX(0,(I114-H114)*24),0),0)))</f>
        <v>0</v>
      </c>
      <c r="Q114" s="14" t="n">
        <f aca="false">IF(NOT(U114),0,IF(K114="Vacation",IF(C114="Eve",Settings!$B$11,1),IF(K114="Partial Vacation",O114/Settings!$B$9,0)))</f>
        <v>0</v>
      </c>
      <c r="R114" s="14" t="n">
        <f aca="false">IF(NOT(U114),0,IF(K114="Sick Leave",1,IF(K114="Partial Sick Leave",P114/Settings!$B$9,0)))</f>
        <v>0</v>
      </c>
      <c r="S114" s="35" t="str">
        <f aca="false">IF(AND(OR(E114="Vacation",E114="Sick Leave",E114="Partial Vacation",E114="Partial Sick Leave"),NOT(U114)),"Leave not allowed on this day",IF(AND(E114="Manual Work",OR(NOT(ISNUMBER(F114)),NOT(ISNUMBER(G114)))),"Enter start and end",IF(AND(OR(E114="Partial Vacation",E114="Partial Sick Leave"),OR(NOT(ISNUMBER(H114)),NOT(ISNUMBER(I114)))),"Enter leave from and to",IF(AND(ISNUMBER(F114),ISNUMBER(G114),G114&lt;=F114),"End is before start",IF(AND(ISNUMBER(H114),ISNUMBER(I114),I114&lt;=H114),"Leave end is before start",IF(AND(ISNUMBER(F114),ISNUMBER(G114),ISNUMBER(H114),ISNUMBER(I114),F114&lt;I114,H114&lt;G114),"Work and leave hours overlap",IF(AND(E114&lt;&gt;"",WEEKDAY(A114)=7),"Saturday - administrator only","")))))))</f>
        <v/>
      </c>
      <c r="T114" s="36" t="n">
        <f aca="false">MONTH(A114)</f>
        <v>4</v>
      </c>
      <c r="U114" s="37" t="b">
        <f aca="false">OR(C114="Workday",C114="Eve")</f>
        <v>0</v>
      </c>
      <c r="V114" s="34" t="n">
        <f aca="false">IF(C114="Eve",Settings!$B$8,Settings!$B$7)</f>
        <v>0.6875</v>
      </c>
      <c r="W114" s="14" t="n">
        <f aca="false">IF(U114,(V114-Settings!$B$6)*24,0)</f>
        <v>0</v>
      </c>
    </row>
    <row r="115" customFormat="false" ht="15" hidden="false" customHeight="false" outlineLevel="0" collapsed="false">
      <c r="A115" s="29" t="n">
        <v>46131</v>
      </c>
      <c r="B115" s="30" t="str">
        <f aca="false">CHOOSE(WEEKDAY(A115),"Sun","Mon","Tue","Wed","Thu","Fri","Sat")</f>
        <v>Sun</v>
      </c>
      <c r="C115" s="30" t="str">
        <f aca="false">IF(IFERROR(INDEX(Holidays!$D$5:$D$60,MATCH(A115,Holidays!$A$5:$A$60,0)),"")="Holiday","Holiday",IF(WEEKDAY(A115)&gt;=6,"Weekend",IF(IFERROR(INDEX(Holidays!$D$5:$D$60,MATCH(A115,Holidays!$A$5:$A$60,0)),"")="Eve","Eve","Workday")))</f>
        <v>Workday</v>
      </c>
      <c r="D115" s="18" t="str">
        <f aca="false">IFERROR(INDEX(Holidays!$C$5:$C$60,MATCH(A115,Holidays!$A$5:$A$60,0)),"")</f>
        <v/>
      </c>
      <c r="E115" s="31"/>
      <c r="F115" s="32"/>
      <c r="G115" s="32"/>
      <c r="H115" s="32"/>
      <c r="I115" s="32"/>
      <c r="J115" s="31"/>
      <c r="K115" s="33" t="str">
        <f aca="false">IF(E115&lt;&gt;"",E115,IF(U115,"Present",IF(C115="Holiday","Holiday","Weekend")))</f>
        <v>Present</v>
      </c>
      <c r="L115" s="34" t="n">
        <f aca="false">IF(OR(K115="Present",K115="Manual Work",K115="Partial Vacation",K115="Partial Sick Leave"),IF(ISNUMBER(F115),F115,IF(AND(K115="Present",U115),Settings!$B$6,"")),"")</f>
        <v>0.333333333333333</v>
      </c>
      <c r="M115" s="34" t="n">
        <f aca="false">IF(OR(K115="Present",K115="Manual Work",K115="Partial Vacation",K115="Partial Sick Leave"),IF(ISNUMBER(G115),G115,IF(AND(K115="Present",U115),V115,"")),"")</f>
        <v>0.6875</v>
      </c>
      <c r="N115" s="14" t="n">
        <f aca="false">IF(AND(ISNUMBER(L115),ISNUMBER(M115)),MAX(0,(M115-L115)*24),0)</f>
        <v>8.5</v>
      </c>
      <c r="O115" s="14" t="n">
        <f aca="false">IF(NOT(U115),0,IF(K115="Vacation",IF(C115="Eve",Settings!$B$9*Settings!$B$11,W115),IF(K115="Partial Vacation",IF(AND(ISNUMBER(H115),ISNUMBER(I115)),MAX(0,(I115-H115)*24),0),0)))</f>
        <v>0</v>
      </c>
      <c r="P115" s="14" t="n">
        <f aca="false">IF(NOT(U115),0,IF(K115="Sick Leave",W115,IF(K115="Partial Sick Leave",IF(AND(ISNUMBER(H115),ISNUMBER(I115)),MAX(0,(I115-H115)*24),0),0)))</f>
        <v>0</v>
      </c>
      <c r="Q115" s="14" t="n">
        <f aca="false">IF(NOT(U115),0,IF(K115="Vacation",IF(C115="Eve",Settings!$B$11,1),IF(K115="Partial Vacation",O115/Settings!$B$9,0)))</f>
        <v>0</v>
      </c>
      <c r="R115" s="14" t="n">
        <f aca="false">IF(NOT(U115),0,IF(K115="Sick Leave",1,IF(K115="Partial Sick Leave",P115/Settings!$B$9,0)))</f>
        <v>0</v>
      </c>
      <c r="S115" s="35" t="str">
        <f aca="false">IF(AND(OR(E115="Vacation",E115="Sick Leave",E115="Partial Vacation",E115="Partial Sick Leave"),NOT(U115)),"Leave not allowed on this day",IF(AND(E115="Manual Work",OR(NOT(ISNUMBER(F115)),NOT(ISNUMBER(G115)))),"Enter start and end",IF(AND(OR(E115="Partial Vacation",E115="Partial Sick Leave"),OR(NOT(ISNUMBER(H115)),NOT(ISNUMBER(I115)))),"Enter leave from and to",IF(AND(ISNUMBER(F115),ISNUMBER(G115),G115&lt;=F115),"End is before start",IF(AND(ISNUMBER(H115),ISNUMBER(I115),I115&lt;=H115),"Leave end is before start",IF(AND(ISNUMBER(F115),ISNUMBER(G115),ISNUMBER(H115),ISNUMBER(I115),F115&lt;I115,H115&lt;G115),"Work and leave hours overlap",IF(AND(E115&lt;&gt;"",WEEKDAY(A115)=7),"Saturday - administrator only","")))))))</f>
        <v/>
      </c>
      <c r="T115" s="36" t="n">
        <f aca="false">MONTH(A115)</f>
        <v>4</v>
      </c>
      <c r="U115" s="37" t="b">
        <f aca="false">OR(C115="Workday",C115="Eve")</f>
        <v>1</v>
      </c>
      <c r="V115" s="34" t="n">
        <f aca="false">IF(C115="Eve",Settings!$B$8,Settings!$B$7)</f>
        <v>0.6875</v>
      </c>
      <c r="W115" s="14" t="n">
        <f aca="false">IF(U115,(V115-Settings!$B$6)*24,0)</f>
        <v>8.5</v>
      </c>
    </row>
    <row r="116" customFormat="false" ht="15" hidden="false" customHeight="false" outlineLevel="0" collapsed="false">
      <c r="A116" s="29" t="n">
        <v>46132</v>
      </c>
      <c r="B116" s="30" t="str">
        <f aca="false">CHOOSE(WEEKDAY(A116),"Sun","Mon","Tue","Wed","Thu","Fri","Sat")</f>
        <v>Mon</v>
      </c>
      <c r="C116" s="30" t="str">
        <f aca="false">IF(IFERROR(INDEX(Holidays!$D$5:$D$60,MATCH(A116,Holidays!$A$5:$A$60,0)),"")="Holiday","Holiday",IF(WEEKDAY(A116)&gt;=6,"Weekend",IF(IFERROR(INDEX(Holidays!$D$5:$D$60,MATCH(A116,Holidays!$A$5:$A$60,0)),"")="Eve","Eve","Workday")))</f>
        <v>Workday</v>
      </c>
      <c r="D116" s="18" t="str">
        <f aca="false">IFERROR(INDEX(Holidays!$C$5:$C$60,MATCH(A116,Holidays!$A$5:$A$60,0)),"")</f>
        <v/>
      </c>
      <c r="E116" s="31"/>
      <c r="F116" s="32"/>
      <c r="G116" s="32"/>
      <c r="H116" s="32"/>
      <c r="I116" s="32"/>
      <c r="J116" s="31"/>
      <c r="K116" s="33" t="str">
        <f aca="false">IF(E116&lt;&gt;"",E116,IF(U116,"Present",IF(C116="Holiday","Holiday","Weekend")))</f>
        <v>Present</v>
      </c>
      <c r="L116" s="34" t="n">
        <f aca="false">IF(OR(K116="Present",K116="Manual Work",K116="Partial Vacation",K116="Partial Sick Leave"),IF(ISNUMBER(F116),F116,IF(AND(K116="Present",U116),Settings!$B$6,"")),"")</f>
        <v>0.333333333333333</v>
      </c>
      <c r="M116" s="34" t="n">
        <f aca="false">IF(OR(K116="Present",K116="Manual Work",K116="Partial Vacation",K116="Partial Sick Leave"),IF(ISNUMBER(G116),G116,IF(AND(K116="Present",U116),V116,"")),"")</f>
        <v>0.6875</v>
      </c>
      <c r="N116" s="14" t="n">
        <f aca="false">IF(AND(ISNUMBER(L116),ISNUMBER(M116)),MAX(0,(M116-L116)*24),0)</f>
        <v>8.5</v>
      </c>
      <c r="O116" s="14" t="n">
        <f aca="false">IF(NOT(U116),0,IF(K116="Vacation",IF(C116="Eve",Settings!$B$9*Settings!$B$11,W116),IF(K116="Partial Vacation",IF(AND(ISNUMBER(H116),ISNUMBER(I116)),MAX(0,(I116-H116)*24),0),0)))</f>
        <v>0</v>
      </c>
      <c r="P116" s="14" t="n">
        <f aca="false">IF(NOT(U116),0,IF(K116="Sick Leave",W116,IF(K116="Partial Sick Leave",IF(AND(ISNUMBER(H116),ISNUMBER(I116)),MAX(0,(I116-H116)*24),0),0)))</f>
        <v>0</v>
      </c>
      <c r="Q116" s="14" t="n">
        <f aca="false">IF(NOT(U116),0,IF(K116="Vacation",IF(C116="Eve",Settings!$B$11,1),IF(K116="Partial Vacation",O116/Settings!$B$9,0)))</f>
        <v>0</v>
      </c>
      <c r="R116" s="14" t="n">
        <f aca="false">IF(NOT(U116),0,IF(K116="Sick Leave",1,IF(K116="Partial Sick Leave",P116/Settings!$B$9,0)))</f>
        <v>0</v>
      </c>
      <c r="S116" s="35" t="str">
        <f aca="false">IF(AND(OR(E116="Vacation",E116="Sick Leave",E116="Partial Vacation",E116="Partial Sick Leave"),NOT(U116)),"Leave not allowed on this day",IF(AND(E116="Manual Work",OR(NOT(ISNUMBER(F116)),NOT(ISNUMBER(G116)))),"Enter start and end",IF(AND(OR(E116="Partial Vacation",E116="Partial Sick Leave"),OR(NOT(ISNUMBER(H116)),NOT(ISNUMBER(I116)))),"Enter leave from and to",IF(AND(ISNUMBER(F116),ISNUMBER(G116),G116&lt;=F116),"End is before start",IF(AND(ISNUMBER(H116),ISNUMBER(I116),I116&lt;=H116),"Leave end is before start",IF(AND(ISNUMBER(F116),ISNUMBER(G116),ISNUMBER(H116),ISNUMBER(I116),F116&lt;I116,H116&lt;G116),"Work and leave hours overlap",IF(AND(E116&lt;&gt;"",WEEKDAY(A116)=7),"Saturday - administrator only","")))))))</f>
        <v/>
      </c>
      <c r="T116" s="36" t="n">
        <f aca="false">MONTH(A116)</f>
        <v>4</v>
      </c>
      <c r="U116" s="37" t="b">
        <f aca="false">OR(C116="Workday",C116="Eve")</f>
        <v>1</v>
      </c>
      <c r="V116" s="34" t="n">
        <f aca="false">IF(C116="Eve",Settings!$B$8,Settings!$B$7)</f>
        <v>0.6875</v>
      </c>
      <c r="W116" s="14" t="n">
        <f aca="false">IF(U116,(V116-Settings!$B$6)*24,0)</f>
        <v>8.5</v>
      </c>
    </row>
    <row r="117" customFormat="false" ht="15" hidden="false" customHeight="false" outlineLevel="0" collapsed="false">
      <c r="A117" s="29" t="n">
        <v>46133</v>
      </c>
      <c r="B117" s="30" t="str">
        <f aca="false">CHOOSE(WEEKDAY(A117),"Sun","Mon","Tue","Wed","Thu","Fri","Sat")</f>
        <v>Tue</v>
      </c>
      <c r="C117" s="30" t="str">
        <f aca="false">IF(IFERROR(INDEX(Holidays!$D$5:$D$60,MATCH(A117,Holidays!$A$5:$A$60,0)),"")="Holiday","Holiday",IF(WEEKDAY(A117)&gt;=6,"Weekend",IF(IFERROR(INDEX(Holidays!$D$5:$D$60,MATCH(A117,Holidays!$A$5:$A$60,0)),"")="Eve","Eve","Workday")))</f>
        <v>Workday</v>
      </c>
      <c r="D117" s="18" t="str">
        <f aca="false">IFERROR(INDEX(Holidays!$C$5:$C$60,MATCH(A117,Holidays!$A$5:$A$60,0)),"")</f>
        <v/>
      </c>
      <c r="E117" s="31"/>
      <c r="F117" s="32"/>
      <c r="G117" s="32"/>
      <c r="H117" s="32"/>
      <c r="I117" s="32"/>
      <c r="J117" s="31"/>
      <c r="K117" s="33" t="str">
        <f aca="false">IF(E117&lt;&gt;"",E117,IF(U117,"Present",IF(C117="Holiday","Holiday","Weekend")))</f>
        <v>Present</v>
      </c>
      <c r="L117" s="34" t="n">
        <f aca="false">IF(OR(K117="Present",K117="Manual Work",K117="Partial Vacation",K117="Partial Sick Leave"),IF(ISNUMBER(F117),F117,IF(AND(K117="Present",U117),Settings!$B$6,"")),"")</f>
        <v>0.333333333333333</v>
      </c>
      <c r="M117" s="34" t="n">
        <f aca="false">IF(OR(K117="Present",K117="Manual Work",K117="Partial Vacation",K117="Partial Sick Leave"),IF(ISNUMBER(G117),G117,IF(AND(K117="Present",U117),V117,"")),"")</f>
        <v>0.6875</v>
      </c>
      <c r="N117" s="14" t="n">
        <f aca="false">IF(AND(ISNUMBER(L117),ISNUMBER(M117)),MAX(0,(M117-L117)*24),0)</f>
        <v>8.5</v>
      </c>
      <c r="O117" s="14" t="n">
        <f aca="false">IF(NOT(U117),0,IF(K117="Vacation",IF(C117="Eve",Settings!$B$9*Settings!$B$11,W117),IF(K117="Partial Vacation",IF(AND(ISNUMBER(H117),ISNUMBER(I117)),MAX(0,(I117-H117)*24),0),0)))</f>
        <v>0</v>
      </c>
      <c r="P117" s="14" t="n">
        <f aca="false">IF(NOT(U117),0,IF(K117="Sick Leave",W117,IF(K117="Partial Sick Leave",IF(AND(ISNUMBER(H117),ISNUMBER(I117)),MAX(0,(I117-H117)*24),0),0)))</f>
        <v>0</v>
      </c>
      <c r="Q117" s="14" t="n">
        <f aca="false">IF(NOT(U117),0,IF(K117="Vacation",IF(C117="Eve",Settings!$B$11,1),IF(K117="Partial Vacation",O117/Settings!$B$9,0)))</f>
        <v>0</v>
      </c>
      <c r="R117" s="14" t="n">
        <f aca="false">IF(NOT(U117),0,IF(K117="Sick Leave",1,IF(K117="Partial Sick Leave",P117/Settings!$B$9,0)))</f>
        <v>0</v>
      </c>
      <c r="S117" s="35" t="str">
        <f aca="false">IF(AND(OR(E117="Vacation",E117="Sick Leave",E117="Partial Vacation",E117="Partial Sick Leave"),NOT(U117)),"Leave not allowed on this day",IF(AND(E117="Manual Work",OR(NOT(ISNUMBER(F117)),NOT(ISNUMBER(G117)))),"Enter start and end",IF(AND(OR(E117="Partial Vacation",E117="Partial Sick Leave"),OR(NOT(ISNUMBER(H117)),NOT(ISNUMBER(I117)))),"Enter leave from and to",IF(AND(ISNUMBER(F117),ISNUMBER(G117),G117&lt;=F117),"End is before start",IF(AND(ISNUMBER(H117),ISNUMBER(I117),I117&lt;=H117),"Leave end is before start",IF(AND(ISNUMBER(F117),ISNUMBER(G117),ISNUMBER(H117),ISNUMBER(I117),F117&lt;I117,H117&lt;G117),"Work and leave hours overlap",IF(AND(E117&lt;&gt;"",WEEKDAY(A117)=7),"Saturday - administrator only","")))))))</f>
        <v/>
      </c>
      <c r="T117" s="36" t="n">
        <f aca="false">MONTH(A117)</f>
        <v>4</v>
      </c>
      <c r="U117" s="37" t="b">
        <f aca="false">OR(C117="Workday",C117="Eve")</f>
        <v>1</v>
      </c>
      <c r="V117" s="34" t="n">
        <f aca="false">IF(C117="Eve",Settings!$B$8,Settings!$B$7)</f>
        <v>0.6875</v>
      </c>
      <c r="W117" s="14" t="n">
        <f aca="false">IF(U117,(V117-Settings!$B$6)*24,0)</f>
        <v>8.5</v>
      </c>
    </row>
    <row r="118" customFormat="false" ht="15" hidden="false" customHeight="false" outlineLevel="0" collapsed="false">
      <c r="A118" s="29" t="n">
        <v>46134</v>
      </c>
      <c r="B118" s="30" t="str">
        <f aca="false">CHOOSE(WEEKDAY(A118),"Sun","Mon","Tue","Wed","Thu","Fri","Sat")</f>
        <v>Wed</v>
      </c>
      <c r="C118" s="30" t="str">
        <f aca="false">IF(IFERROR(INDEX(Holidays!$D$5:$D$60,MATCH(A118,Holidays!$A$5:$A$60,0)),"")="Holiday","Holiday",IF(WEEKDAY(A118)&gt;=6,"Weekend",IF(IFERROR(INDEX(Holidays!$D$5:$D$60,MATCH(A118,Holidays!$A$5:$A$60,0)),"")="Eve","Eve","Workday")))</f>
        <v>Holiday</v>
      </c>
      <c r="D118" s="18" t="str">
        <f aca="false">IFERROR(INDEX(Holidays!$C$5:$C$60,MATCH(A118,Holidays!$A$5:$A$60,0)),"")</f>
        <v>Independence Day</v>
      </c>
      <c r="E118" s="31"/>
      <c r="F118" s="32"/>
      <c r="G118" s="32"/>
      <c r="H118" s="32"/>
      <c r="I118" s="32"/>
      <c r="J118" s="31"/>
      <c r="K118" s="33" t="str">
        <f aca="false">IF(E118&lt;&gt;"",E118,IF(U118,"Present",IF(C118="Holiday","Holiday","Weekend")))</f>
        <v>Holiday</v>
      </c>
      <c r="L118" s="34" t="str">
        <f aca="false">IF(OR(K118="Present",K118="Manual Work",K118="Partial Vacation",K118="Partial Sick Leave"),IF(ISNUMBER(F118),F118,IF(AND(K118="Present",U118),Settings!$B$6,"")),"")</f>
        <v/>
      </c>
      <c r="M118" s="34" t="str">
        <f aca="false">IF(OR(K118="Present",K118="Manual Work",K118="Partial Vacation",K118="Partial Sick Leave"),IF(ISNUMBER(G118),G118,IF(AND(K118="Present",U118),V118,"")),"")</f>
        <v/>
      </c>
      <c r="N118" s="14" t="n">
        <f aca="false">IF(AND(ISNUMBER(L118),ISNUMBER(M118)),MAX(0,(M118-L118)*24),0)</f>
        <v>0</v>
      </c>
      <c r="O118" s="14" t="n">
        <f aca="false">IF(NOT(U118),0,IF(K118="Vacation",IF(C118="Eve",Settings!$B$9*Settings!$B$11,W118),IF(K118="Partial Vacation",IF(AND(ISNUMBER(H118),ISNUMBER(I118)),MAX(0,(I118-H118)*24),0),0)))</f>
        <v>0</v>
      </c>
      <c r="P118" s="14" t="n">
        <f aca="false">IF(NOT(U118),0,IF(K118="Sick Leave",W118,IF(K118="Partial Sick Leave",IF(AND(ISNUMBER(H118),ISNUMBER(I118)),MAX(0,(I118-H118)*24),0),0)))</f>
        <v>0</v>
      </c>
      <c r="Q118" s="14" t="n">
        <f aca="false">IF(NOT(U118),0,IF(K118="Vacation",IF(C118="Eve",Settings!$B$11,1),IF(K118="Partial Vacation",O118/Settings!$B$9,0)))</f>
        <v>0</v>
      </c>
      <c r="R118" s="14" t="n">
        <f aca="false">IF(NOT(U118),0,IF(K118="Sick Leave",1,IF(K118="Partial Sick Leave",P118/Settings!$B$9,0)))</f>
        <v>0</v>
      </c>
      <c r="S118" s="35" t="str">
        <f aca="false">IF(AND(OR(E118="Vacation",E118="Sick Leave",E118="Partial Vacation",E118="Partial Sick Leave"),NOT(U118)),"Leave not allowed on this day",IF(AND(E118="Manual Work",OR(NOT(ISNUMBER(F118)),NOT(ISNUMBER(G118)))),"Enter start and end",IF(AND(OR(E118="Partial Vacation",E118="Partial Sick Leave"),OR(NOT(ISNUMBER(H118)),NOT(ISNUMBER(I118)))),"Enter leave from and to",IF(AND(ISNUMBER(F118),ISNUMBER(G118),G118&lt;=F118),"End is before start",IF(AND(ISNUMBER(H118),ISNUMBER(I118),I118&lt;=H118),"Leave end is before start",IF(AND(ISNUMBER(F118),ISNUMBER(G118),ISNUMBER(H118),ISNUMBER(I118),F118&lt;I118,H118&lt;G118),"Work and leave hours overlap",IF(AND(E118&lt;&gt;"",WEEKDAY(A118)=7),"Saturday - administrator only","")))))))</f>
        <v/>
      </c>
      <c r="T118" s="36" t="n">
        <f aca="false">MONTH(A118)</f>
        <v>4</v>
      </c>
      <c r="U118" s="37" t="b">
        <f aca="false">OR(C118="Workday",C118="Eve")</f>
        <v>0</v>
      </c>
      <c r="V118" s="34" t="n">
        <f aca="false">IF(C118="Eve",Settings!$B$8,Settings!$B$7)</f>
        <v>0.6875</v>
      </c>
      <c r="W118" s="14" t="n">
        <f aca="false">IF(U118,(V118-Settings!$B$6)*24,0)</f>
        <v>0</v>
      </c>
    </row>
    <row r="119" customFormat="false" ht="15" hidden="false" customHeight="false" outlineLevel="0" collapsed="false">
      <c r="A119" s="29" t="n">
        <v>46135</v>
      </c>
      <c r="B119" s="30" t="str">
        <f aca="false">CHOOSE(WEEKDAY(A119),"Sun","Mon","Tue","Wed","Thu","Fri","Sat")</f>
        <v>Thu</v>
      </c>
      <c r="C119" s="30" t="str">
        <f aca="false">IF(IFERROR(INDEX(Holidays!$D$5:$D$60,MATCH(A119,Holidays!$A$5:$A$60,0)),"")="Holiday","Holiday",IF(WEEKDAY(A119)&gt;=6,"Weekend",IF(IFERROR(INDEX(Holidays!$D$5:$D$60,MATCH(A119,Holidays!$A$5:$A$60,0)),"")="Eve","Eve","Workday")))</f>
        <v>Workday</v>
      </c>
      <c r="D119" s="18" t="str">
        <f aca="false">IFERROR(INDEX(Holidays!$C$5:$C$60,MATCH(A119,Holidays!$A$5:$A$60,0)),"")</f>
        <v/>
      </c>
      <c r="E119" s="31"/>
      <c r="F119" s="32"/>
      <c r="G119" s="32"/>
      <c r="H119" s="32"/>
      <c r="I119" s="32"/>
      <c r="J119" s="31"/>
      <c r="K119" s="33" t="str">
        <f aca="false">IF(E119&lt;&gt;"",E119,IF(U119,"Present",IF(C119="Holiday","Holiday","Weekend")))</f>
        <v>Present</v>
      </c>
      <c r="L119" s="34" t="n">
        <f aca="false">IF(OR(K119="Present",K119="Manual Work",K119="Partial Vacation",K119="Partial Sick Leave"),IF(ISNUMBER(F119),F119,IF(AND(K119="Present",U119),Settings!$B$6,"")),"")</f>
        <v>0.333333333333333</v>
      </c>
      <c r="M119" s="34" t="n">
        <f aca="false">IF(OR(K119="Present",K119="Manual Work",K119="Partial Vacation",K119="Partial Sick Leave"),IF(ISNUMBER(G119),G119,IF(AND(K119="Present",U119),V119,"")),"")</f>
        <v>0.6875</v>
      </c>
      <c r="N119" s="14" t="n">
        <f aca="false">IF(AND(ISNUMBER(L119),ISNUMBER(M119)),MAX(0,(M119-L119)*24),0)</f>
        <v>8.5</v>
      </c>
      <c r="O119" s="14" t="n">
        <f aca="false">IF(NOT(U119),0,IF(K119="Vacation",IF(C119="Eve",Settings!$B$9*Settings!$B$11,W119),IF(K119="Partial Vacation",IF(AND(ISNUMBER(H119),ISNUMBER(I119)),MAX(0,(I119-H119)*24),0),0)))</f>
        <v>0</v>
      </c>
      <c r="P119" s="14" t="n">
        <f aca="false">IF(NOT(U119),0,IF(K119="Sick Leave",W119,IF(K119="Partial Sick Leave",IF(AND(ISNUMBER(H119),ISNUMBER(I119)),MAX(0,(I119-H119)*24),0),0)))</f>
        <v>0</v>
      </c>
      <c r="Q119" s="14" t="n">
        <f aca="false">IF(NOT(U119),0,IF(K119="Vacation",IF(C119="Eve",Settings!$B$11,1),IF(K119="Partial Vacation",O119/Settings!$B$9,0)))</f>
        <v>0</v>
      </c>
      <c r="R119" s="14" t="n">
        <f aca="false">IF(NOT(U119),0,IF(K119="Sick Leave",1,IF(K119="Partial Sick Leave",P119/Settings!$B$9,0)))</f>
        <v>0</v>
      </c>
      <c r="S119" s="35" t="str">
        <f aca="false">IF(AND(OR(E119="Vacation",E119="Sick Leave",E119="Partial Vacation",E119="Partial Sick Leave"),NOT(U119)),"Leave not allowed on this day",IF(AND(E119="Manual Work",OR(NOT(ISNUMBER(F119)),NOT(ISNUMBER(G119)))),"Enter start and end",IF(AND(OR(E119="Partial Vacation",E119="Partial Sick Leave"),OR(NOT(ISNUMBER(H119)),NOT(ISNUMBER(I119)))),"Enter leave from and to",IF(AND(ISNUMBER(F119),ISNUMBER(G119),G119&lt;=F119),"End is before start",IF(AND(ISNUMBER(H119),ISNUMBER(I119),I119&lt;=H119),"Leave end is before start",IF(AND(ISNUMBER(F119),ISNUMBER(G119),ISNUMBER(H119),ISNUMBER(I119),F119&lt;I119,H119&lt;G119),"Work and leave hours overlap",IF(AND(E119&lt;&gt;"",WEEKDAY(A119)=7),"Saturday - administrator only","")))))))</f>
        <v/>
      </c>
      <c r="T119" s="36" t="n">
        <f aca="false">MONTH(A119)</f>
        <v>4</v>
      </c>
      <c r="U119" s="37" t="b">
        <f aca="false">OR(C119="Workday",C119="Eve")</f>
        <v>1</v>
      </c>
      <c r="V119" s="34" t="n">
        <f aca="false">IF(C119="Eve",Settings!$B$8,Settings!$B$7)</f>
        <v>0.6875</v>
      </c>
      <c r="W119" s="14" t="n">
        <f aca="false">IF(U119,(V119-Settings!$B$6)*24,0)</f>
        <v>8.5</v>
      </c>
    </row>
    <row r="120" customFormat="false" ht="15" hidden="false" customHeight="false" outlineLevel="0" collapsed="false">
      <c r="A120" s="29" t="n">
        <v>46136</v>
      </c>
      <c r="B120" s="30" t="str">
        <f aca="false">CHOOSE(WEEKDAY(A120),"Sun","Mon","Tue","Wed","Thu","Fri","Sat")</f>
        <v>Fri</v>
      </c>
      <c r="C120" s="30" t="str">
        <f aca="false">IF(IFERROR(INDEX(Holidays!$D$5:$D$60,MATCH(A120,Holidays!$A$5:$A$60,0)),"")="Holiday","Holiday",IF(WEEKDAY(A120)&gt;=6,"Weekend",IF(IFERROR(INDEX(Holidays!$D$5:$D$60,MATCH(A120,Holidays!$A$5:$A$60,0)),"")="Eve","Eve","Workday")))</f>
        <v>Weekend</v>
      </c>
      <c r="D120" s="18" t="str">
        <f aca="false">IFERROR(INDEX(Holidays!$C$5:$C$60,MATCH(A120,Holidays!$A$5:$A$60,0)),"")</f>
        <v/>
      </c>
      <c r="E120" s="31"/>
      <c r="F120" s="32"/>
      <c r="G120" s="32"/>
      <c r="H120" s="32"/>
      <c r="I120" s="32"/>
      <c r="J120" s="31"/>
      <c r="K120" s="33" t="str">
        <f aca="false">IF(E120&lt;&gt;"",E120,IF(U120,"Present",IF(C120="Holiday","Holiday","Weekend")))</f>
        <v>Weekend</v>
      </c>
      <c r="L120" s="34" t="str">
        <f aca="false">IF(OR(K120="Present",K120="Manual Work",K120="Partial Vacation",K120="Partial Sick Leave"),IF(ISNUMBER(F120),F120,IF(AND(K120="Present",U120),Settings!$B$6,"")),"")</f>
        <v/>
      </c>
      <c r="M120" s="34" t="str">
        <f aca="false">IF(OR(K120="Present",K120="Manual Work",K120="Partial Vacation",K120="Partial Sick Leave"),IF(ISNUMBER(G120),G120,IF(AND(K120="Present",U120),V120,"")),"")</f>
        <v/>
      </c>
      <c r="N120" s="14" t="n">
        <f aca="false">IF(AND(ISNUMBER(L120),ISNUMBER(M120)),MAX(0,(M120-L120)*24),0)</f>
        <v>0</v>
      </c>
      <c r="O120" s="14" t="n">
        <f aca="false">IF(NOT(U120),0,IF(K120="Vacation",IF(C120="Eve",Settings!$B$9*Settings!$B$11,W120),IF(K120="Partial Vacation",IF(AND(ISNUMBER(H120),ISNUMBER(I120)),MAX(0,(I120-H120)*24),0),0)))</f>
        <v>0</v>
      </c>
      <c r="P120" s="14" t="n">
        <f aca="false">IF(NOT(U120),0,IF(K120="Sick Leave",W120,IF(K120="Partial Sick Leave",IF(AND(ISNUMBER(H120),ISNUMBER(I120)),MAX(0,(I120-H120)*24),0),0)))</f>
        <v>0</v>
      </c>
      <c r="Q120" s="14" t="n">
        <f aca="false">IF(NOT(U120),0,IF(K120="Vacation",IF(C120="Eve",Settings!$B$11,1),IF(K120="Partial Vacation",O120/Settings!$B$9,0)))</f>
        <v>0</v>
      </c>
      <c r="R120" s="14" t="n">
        <f aca="false">IF(NOT(U120),0,IF(K120="Sick Leave",1,IF(K120="Partial Sick Leave",P120/Settings!$B$9,0)))</f>
        <v>0</v>
      </c>
      <c r="S120" s="35" t="str">
        <f aca="false">IF(AND(OR(E120="Vacation",E120="Sick Leave",E120="Partial Vacation",E120="Partial Sick Leave"),NOT(U120)),"Leave not allowed on this day",IF(AND(E120="Manual Work",OR(NOT(ISNUMBER(F120)),NOT(ISNUMBER(G120)))),"Enter start and end",IF(AND(OR(E120="Partial Vacation",E120="Partial Sick Leave"),OR(NOT(ISNUMBER(H120)),NOT(ISNUMBER(I120)))),"Enter leave from and to",IF(AND(ISNUMBER(F120),ISNUMBER(G120),G120&lt;=F120),"End is before start",IF(AND(ISNUMBER(H120),ISNUMBER(I120),I120&lt;=H120),"Leave end is before start",IF(AND(ISNUMBER(F120),ISNUMBER(G120),ISNUMBER(H120),ISNUMBER(I120),F120&lt;I120,H120&lt;G120),"Work and leave hours overlap",IF(AND(E120&lt;&gt;"",WEEKDAY(A120)=7),"Saturday - administrator only","")))))))</f>
        <v/>
      </c>
      <c r="T120" s="36" t="n">
        <f aca="false">MONTH(A120)</f>
        <v>4</v>
      </c>
      <c r="U120" s="37" t="b">
        <f aca="false">OR(C120="Workday",C120="Eve")</f>
        <v>0</v>
      </c>
      <c r="V120" s="34" t="n">
        <f aca="false">IF(C120="Eve",Settings!$B$8,Settings!$B$7)</f>
        <v>0.6875</v>
      </c>
      <c r="W120" s="14" t="n">
        <f aca="false">IF(U120,(V120-Settings!$B$6)*24,0)</f>
        <v>0</v>
      </c>
    </row>
    <row r="121" customFormat="false" ht="15" hidden="false" customHeight="false" outlineLevel="0" collapsed="false">
      <c r="A121" s="29" t="n">
        <v>46137</v>
      </c>
      <c r="B121" s="30" t="str">
        <f aca="false">CHOOSE(WEEKDAY(A121),"Sun","Mon","Tue","Wed","Thu","Fri","Sat")</f>
        <v>Sat</v>
      </c>
      <c r="C121" s="30" t="str">
        <f aca="false">IF(IFERROR(INDEX(Holidays!$D$5:$D$60,MATCH(A121,Holidays!$A$5:$A$60,0)),"")="Holiday","Holiday",IF(WEEKDAY(A121)&gt;=6,"Weekend",IF(IFERROR(INDEX(Holidays!$D$5:$D$60,MATCH(A121,Holidays!$A$5:$A$60,0)),"")="Eve","Eve","Workday")))</f>
        <v>Weekend</v>
      </c>
      <c r="D121" s="18" t="str">
        <f aca="false">IFERROR(INDEX(Holidays!$C$5:$C$60,MATCH(A121,Holidays!$A$5:$A$60,0)),"")</f>
        <v/>
      </c>
      <c r="E121" s="31"/>
      <c r="F121" s="32"/>
      <c r="G121" s="32"/>
      <c r="H121" s="32"/>
      <c r="I121" s="32"/>
      <c r="J121" s="31"/>
      <c r="K121" s="33" t="str">
        <f aca="false">IF(E121&lt;&gt;"",E121,IF(U121,"Present",IF(C121="Holiday","Holiday","Weekend")))</f>
        <v>Weekend</v>
      </c>
      <c r="L121" s="34" t="str">
        <f aca="false">IF(OR(K121="Present",K121="Manual Work",K121="Partial Vacation",K121="Partial Sick Leave"),IF(ISNUMBER(F121),F121,IF(AND(K121="Present",U121),Settings!$B$6,"")),"")</f>
        <v/>
      </c>
      <c r="M121" s="34" t="str">
        <f aca="false">IF(OR(K121="Present",K121="Manual Work",K121="Partial Vacation",K121="Partial Sick Leave"),IF(ISNUMBER(G121),G121,IF(AND(K121="Present",U121),V121,"")),"")</f>
        <v/>
      </c>
      <c r="N121" s="14" t="n">
        <f aca="false">IF(AND(ISNUMBER(L121),ISNUMBER(M121)),MAX(0,(M121-L121)*24),0)</f>
        <v>0</v>
      </c>
      <c r="O121" s="14" t="n">
        <f aca="false">IF(NOT(U121),0,IF(K121="Vacation",IF(C121="Eve",Settings!$B$9*Settings!$B$11,W121),IF(K121="Partial Vacation",IF(AND(ISNUMBER(H121),ISNUMBER(I121)),MAX(0,(I121-H121)*24),0),0)))</f>
        <v>0</v>
      </c>
      <c r="P121" s="14" t="n">
        <f aca="false">IF(NOT(U121),0,IF(K121="Sick Leave",W121,IF(K121="Partial Sick Leave",IF(AND(ISNUMBER(H121),ISNUMBER(I121)),MAX(0,(I121-H121)*24),0),0)))</f>
        <v>0</v>
      </c>
      <c r="Q121" s="14" t="n">
        <f aca="false">IF(NOT(U121),0,IF(K121="Vacation",IF(C121="Eve",Settings!$B$11,1),IF(K121="Partial Vacation",O121/Settings!$B$9,0)))</f>
        <v>0</v>
      </c>
      <c r="R121" s="14" t="n">
        <f aca="false">IF(NOT(U121),0,IF(K121="Sick Leave",1,IF(K121="Partial Sick Leave",P121/Settings!$B$9,0)))</f>
        <v>0</v>
      </c>
      <c r="S121" s="35" t="str">
        <f aca="false">IF(AND(OR(E121="Vacation",E121="Sick Leave",E121="Partial Vacation",E121="Partial Sick Leave"),NOT(U121)),"Leave not allowed on this day",IF(AND(E121="Manual Work",OR(NOT(ISNUMBER(F121)),NOT(ISNUMBER(G121)))),"Enter start and end",IF(AND(OR(E121="Partial Vacation",E121="Partial Sick Leave"),OR(NOT(ISNUMBER(H121)),NOT(ISNUMBER(I121)))),"Enter leave from and to",IF(AND(ISNUMBER(F121),ISNUMBER(G121),G121&lt;=F121),"End is before start",IF(AND(ISNUMBER(H121),ISNUMBER(I121),I121&lt;=H121),"Leave end is before start",IF(AND(ISNUMBER(F121),ISNUMBER(G121),ISNUMBER(H121),ISNUMBER(I121),F121&lt;I121,H121&lt;G121),"Work and leave hours overlap",IF(AND(E121&lt;&gt;"",WEEKDAY(A121)=7),"Saturday - administrator only","")))))))</f>
        <v/>
      </c>
      <c r="T121" s="36" t="n">
        <f aca="false">MONTH(A121)</f>
        <v>4</v>
      </c>
      <c r="U121" s="37" t="b">
        <f aca="false">OR(C121="Workday",C121="Eve")</f>
        <v>0</v>
      </c>
      <c r="V121" s="34" t="n">
        <f aca="false">IF(C121="Eve",Settings!$B$8,Settings!$B$7)</f>
        <v>0.6875</v>
      </c>
      <c r="W121" s="14" t="n">
        <f aca="false">IF(U121,(V121-Settings!$B$6)*24,0)</f>
        <v>0</v>
      </c>
    </row>
    <row r="122" customFormat="false" ht="15" hidden="false" customHeight="false" outlineLevel="0" collapsed="false">
      <c r="A122" s="29" t="n">
        <v>46138</v>
      </c>
      <c r="B122" s="30" t="str">
        <f aca="false">CHOOSE(WEEKDAY(A122),"Sun","Mon","Tue","Wed","Thu","Fri","Sat")</f>
        <v>Sun</v>
      </c>
      <c r="C122" s="30" t="str">
        <f aca="false">IF(IFERROR(INDEX(Holidays!$D$5:$D$60,MATCH(A122,Holidays!$A$5:$A$60,0)),"")="Holiday","Holiday",IF(WEEKDAY(A122)&gt;=6,"Weekend",IF(IFERROR(INDEX(Holidays!$D$5:$D$60,MATCH(A122,Holidays!$A$5:$A$60,0)),"")="Eve","Eve","Workday")))</f>
        <v>Workday</v>
      </c>
      <c r="D122" s="18" t="str">
        <f aca="false">IFERROR(INDEX(Holidays!$C$5:$C$60,MATCH(A122,Holidays!$A$5:$A$60,0)),"")</f>
        <v/>
      </c>
      <c r="E122" s="31"/>
      <c r="F122" s="32"/>
      <c r="G122" s="32"/>
      <c r="H122" s="32"/>
      <c r="I122" s="32"/>
      <c r="J122" s="31"/>
      <c r="K122" s="33" t="str">
        <f aca="false">IF(E122&lt;&gt;"",E122,IF(U122,"Present",IF(C122="Holiday","Holiday","Weekend")))</f>
        <v>Present</v>
      </c>
      <c r="L122" s="34" t="n">
        <f aca="false">IF(OR(K122="Present",K122="Manual Work",K122="Partial Vacation",K122="Partial Sick Leave"),IF(ISNUMBER(F122),F122,IF(AND(K122="Present",U122),Settings!$B$6,"")),"")</f>
        <v>0.333333333333333</v>
      </c>
      <c r="M122" s="34" t="n">
        <f aca="false">IF(OR(K122="Present",K122="Manual Work",K122="Partial Vacation",K122="Partial Sick Leave"),IF(ISNUMBER(G122),G122,IF(AND(K122="Present",U122),V122,"")),"")</f>
        <v>0.6875</v>
      </c>
      <c r="N122" s="14" t="n">
        <f aca="false">IF(AND(ISNUMBER(L122),ISNUMBER(M122)),MAX(0,(M122-L122)*24),0)</f>
        <v>8.5</v>
      </c>
      <c r="O122" s="14" t="n">
        <f aca="false">IF(NOT(U122),0,IF(K122="Vacation",IF(C122="Eve",Settings!$B$9*Settings!$B$11,W122),IF(K122="Partial Vacation",IF(AND(ISNUMBER(H122),ISNUMBER(I122)),MAX(0,(I122-H122)*24),0),0)))</f>
        <v>0</v>
      </c>
      <c r="P122" s="14" t="n">
        <f aca="false">IF(NOT(U122),0,IF(K122="Sick Leave",W122,IF(K122="Partial Sick Leave",IF(AND(ISNUMBER(H122),ISNUMBER(I122)),MAX(0,(I122-H122)*24),0),0)))</f>
        <v>0</v>
      </c>
      <c r="Q122" s="14" t="n">
        <f aca="false">IF(NOT(U122),0,IF(K122="Vacation",IF(C122="Eve",Settings!$B$11,1),IF(K122="Partial Vacation",O122/Settings!$B$9,0)))</f>
        <v>0</v>
      </c>
      <c r="R122" s="14" t="n">
        <f aca="false">IF(NOT(U122),0,IF(K122="Sick Leave",1,IF(K122="Partial Sick Leave",P122/Settings!$B$9,0)))</f>
        <v>0</v>
      </c>
      <c r="S122" s="35" t="str">
        <f aca="false">IF(AND(OR(E122="Vacation",E122="Sick Leave",E122="Partial Vacation",E122="Partial Sick Leave"),NOT(U122)),"Leave not allowed on this day",IF(AND(E122="Manual Work",OR(NOT(ISNUMBER(F122)),NOT(ISNUMBER(G122)))),"Enter start and end",IF(AND(OR(E122="Partial Vacation",E122="Partial Sick Leave"),OR(NOT(ISNUMBER(H122)),NOT(ISNUMBER(I122)))),"Enter leave from and to",IF(AND(ISNUMBER(F122),ISNUMBER(G122),G122&lt;=F122),"End is before start",IF(AND(ISNUMBER(H122),ISNUMBER(I122),I122&lt;=H122),"Leave end is before start",IF(AND(ISNUMBER(F122),ISNUMBER(G122),ISNUMBER(H122),ISNUMBER(I122),F122&lt;I122,H122&lt;G122),"Work and leave hours overlap",IF(AND(E122&lt;&gt;"",WEEKDAY(A122)=7),"Saturday - administrator only","")))))))</f>
        <v/>
      </c>
      <c r="T122" s="36" t="n">
        <f aca="false">MONTH(A122)</f>
        <v>4</v>
      </c>
      <c r="U122" s="37" t="b">
        <f aca="false">OR(C122="Workday",C122="Eve")</f>
        <v>1</v>
      </c>
      <c r="V122" s="34" t="n">
        <f aca="false">IF(C122="Eve",Settings!$B$8,Settings!$B$7)</f>
        <v>0.6875</v>
      </c>
      <c r="W122" s="14" t="n">
        <f aca="false">IF(U122,(V122-Settings!$B$6)*24,0)</f>
        <v>8.5</v>
      </c>
    </row>
    <row r="123" customFormat="false" ht="15" hidden="false" customHeight="false" outlineLevel="0" collapsed="false">
      <c r="A123" s="29" t="n">
        <v>46139</v>
      </c>
      <c r="B123" s="30" t="str">
        <f aca="false">CHOOSE(WEEKDAY(A123),"Sun","Mon","Tue","Wed","Thu","Fri","Sat")</f>
        <v>Mon</v>
      </c>
      <c r="C123" s="30" t="str">
        <f aca="false">IF(IFERROR(INDEX(Holidays!$D$5:$D$60,MATCH(A123,Holidays!$A$5:$A$60,0)),"")="Holiday","Holiday",IF(WEEKDAY(A123)&gt;=6,"Weekend",IF(IFERROR(INDEX(Holidays!$D$5:$D$60,MATCH(A123,Holidays!$A$5:$A$60,0)),"")="Eve","Eve","Workday")))</f>
        <v>Workday</v>
      </c>
      <c r="D123" s="18" t="str">
        <f aca="false">IFERROR(INDEX(Holidays!$C$5:$C$60,MATCH(A123,Holidays!$A$5:$A$60,0)),"")</f>
        <v/>
      </c>
      <c r="E123" s="31"/>
      <c r="F123" s="32"/>
      <c r="G123" s="32"/>
      <c r="H123" s="32"/>
      <c r="I123" s="32"/>
      <c r="J123" s="31"/>
      <c r="K123" s="33" t="str">
        <f aca="false">IF(E123&lt;&gt;"",E123,IF(U123,"Present",IF(C123="Holiday","Holiday","Weekend")))</f>
        <v>Present</v>
      </c>
      <c r="L123" s="34" t="n">
        <f aca="false">IF(OR(K123="Present",K123="Manual Work",K123="Partial Vacation",K123="Partial Sick Leave"),IF(ISNUMBER(F123),F123,IF(AND(K123="Present",U123),Settings!$B$6,"")),"")</f>
        <v>0.333333333333333</v>
      </c>
      <c r="M123" s="34" t="n">
        <f aca="false">IF(OR(K123="Present",K123="Manual Work",K123="Partial Vacation",K123="Partial Sick Leave"),IF(ISNUMBER(G123),G123,IF(AND(K123="Present",U123),V123,"")),"")</f>
        <v>0.6875</v>
      </c>
      <c r="N123" s="14" t="n">
        <f aca="false">IF(AND(ISNUMBER(L123),ISNUMBER(M123)),MAX(0,(M123-L123)*24),0)</f>
        <v>8.5</v>
      </c>
      <c r="O123" s="14" t="n">
        <f aca="false">IF(NOT(U123),0,IF(K123="Vacation",IF(C123="Eve",Settings!$B$9*Settings!$B$11,W123),IF(K123="Partial Vacation",IF(AND(ISNUMBER(H123),ISNUMBER(I123)),MAX(0,(I123-H123)*24),0),0)))</f>
        <v>0</v>
      </c>
      <c r="P123" s="14" t="n">
        <f aca="false">IF(NOT(U123),0,IF(K123="Sick Leave",W123,IF(K123="Partial Sick Leave",IF(AND(ISNUMBER(H123),ISNUMBER(I123)),MAX(0,(I123-H123)*24),0),0)))</f>
        <v>0</v>
      </c>
      <c r="Q123" s="14" t="n">
        <f aca="false">IF(NOT(U123),0,IF(K123="Vacation",IF(C123="Eve",Settings!$B$11,1),IF(K123="Partial Vacation",O123/Settings!$B$9,0)))</f>
        <v>0</v>
      </c>
      <c r="R123" s="14" t="n">
        <f aca="false">IF(NOT(U123),0,IF(K123="Sick Leave",1,IF(K123="Partial Sick Leave",P123/Settings!$B$9,0)))</f>
        <v>0</v>
      </c>
      <c r="S123" s="35" t="str">
        <f aca="false">IF(AND(OR(E123="Vacation",E123="Sick Leave",E123="Partial Vacation",E123="Partial Sick Leave"),NOT(U123)),"Leave not allowed on this day",IF(AND(E123="Manual Work",OR(NOT(ISNUMBER(F123)),NOT(ISNUMBER(G123)))),"Enter start and end",IF(AND(OR(E123="Partial Vacation",E123="Partial Sick Leave"),OR(NOT(ISNUMBER(H123)),NOT(ISNUMBER(I123)))),"Enter leave from and to",IF(AND(ISNUMBER(F123),ISNUMBER(G123),G123&lt;=F123),"End is before start",IF(AND(ISNUMBER(H123),ISNUMBER(I123),I123&lt;=H123),"Leave end is before start",IF(AND(ISNUMBER(F123),ISNUMBER(G123),ISNUMBER(H123),ISNUMBER(I123),F123&lt;I123,H123&lt;G123),"Work and leave hours overlap",IF(AND(E123&lt;&gt;"",WEEKDAY(A123)=7),"Saturday - administrator only","")))))))</f>
        <v/>
      </c>
      <c r="T123" s="36" t="n">
        <f aca="false">MONTH(A123)</f>
        <v>4</v>
      </c>
      <c r="U123" s="37" t="b">
        <f aca="false">OR(C123="Workday",C123="Eve")</f>
        <v>1</v>
      </c>
      <c r="V123" s="34" t="n">
        <f aca="false">IF(C123="Eve",Settings!$B$8,Settings!$B$7)</f>
        <v>0.6875</v>
      </c>
      <c r="W123" s="14" t="n">
        <f aca="false">IF(U123,(V123-Settings!$B$6)*24,0)</f>
        <v>8.5</v>
      </c>
    </row>
    <row r="124" customFormat="false" ht="15" hidden="false" customHeight="false" outlineLevel="0" collapsed="false">
      <c r="A124" s="29" t="n">
        <v>46140</v>
      </c>
      <c r="B124" s="30" t="str">
        <f aca="false">CHOOSE(WEEKDAY(A124),"Sun","Mon","Tue","Wed","Thu","Fri","Sat")</f>
        <v>Tue</v>
      </c>
      <c r="C124" s="30" t="str">
        <f aca="false">IF(IFERROR(INDEX(Holidays!$D$5:$D$60,MATCH(A124,Holidays!$A$5:$A$60,0)),"")="Holiday","Holiday",IF(WEEKDAY(A124)&gt;=6,"Weekend",IF(IFERROR(INDEX(Holidays!$D$5:$D$60,MATCH(A124,Holidays!$A$5:$A$60,0)),"")="Eve","Eve","Workday")))</f>
        <v>Workday</v>
      </c>
      <c r="D124" s="18" t="str">
        <f aca="false">IFERROR(INDEX(Holidays!$C$5:$C$60,MATCH(A124,Holidays!$A$5:$A$60,0)),"")</f>
        <v/>
      </c>
      <c r="E124" s="31"/>
      <c r="F124" s="32"/>
      <c r="G124" s="32"/>
      <c r="H124" s="32"/>
      <c r="I124" s="32"/>
      <c r="J124" s="31"/>
      <c r="K124" s="33" t="str">
        <f aca="false">IF(E124&lt;&gt;"",E124,IF(U124,"Present",IF(C124="Holiday","Holiday","Weekend")))</f>
        <v>Present</v>
      </c>
      <c r="L124" s="34" t="n">
        <f aca="false">IF(OR(K124="Present",K124="Manual Work",K124="Partial Vacation",K124="Partial Sick Leave"),IF(ISNUMBER(F124),F124,IF(AND(K124="Present",U124),Settings!$B$6,"")),"")</f>
        <v>0.333333333333333</v>
      </c>
      <c r="M124" s="34" t="n">
        <f aca="false">IF(OR(K124="Present",K124="Manual Work",K124="Partial Vacation",K124="Partial Sick Leave"),IF(ISNUMBER(G124),G124,IF(AND(K124="Present",U124),V124,"")),"")</f>
        <v>0.6875</v>
      </c>
      <c r="N124" s="14" t="n">
        <f aca="false">IF(AND(ISNUMBER(L124),ISNUMBER(M124)),MAX(0,(M124-L124)*24),0)</f>
        <v>8.5</v>
      </c>
      <c r="O124" s="14" t="n">
        <f aca="false">IF(NOT(U124),0,IF(K124="Vacation",IF(C124="Eve",Settings!$B$9*Settings!$B$11,W124),IF(K124="Partial Vacation",IF(AND(ISNUMBER(H124),ISNUMBER(I124)),MAX(0,(I124-H124)*24),0),0)))</f>
        <v>0</v>
      </c>
      <c r="P124" s="14" t="n">
        <f aca="false">IF(NOT(U124),0,IF(K124="Sick Leave",W124,IF(K124="Partial Sick Leave",IF(AND(ISNUMBER(H124),ISNUMBER(I124)),MAX(0,(I124-H124)*24),0),0)))</f>
        <v>0</v>
      </c>
      <c r="Q124" s="14" t="n">
        <f aca="false">IF(NOT(U124),0,IF(K124="Vacation",IF(C124="Eve",Settings!$B$11,1),IF(K124="Partial Vacation",O124/Settings!$B$9,0)))</f>
        <v>0</v>
      </c>
      <c r="R124" s="14" t="n">
        <f aca="false">IF(NOT(U124),0,IF(K124="Sick Leave",1,IF(K124="Partial Sick Leave",P124/Settings!$B$9,0)))</f>
        <v>0</v>
      </c>
      <c r="S124" s="35" t="str">
        <f aca="false">IF(AND(OR(E124="Vacation",E124="Sick Leave",E124="Partial Vacation",E124="Partial Sick Leave"),NOT(U124)),"Leave not allowed on this day",IF(AND(E124="Manual Work",OR(NOT(ISNUMBER(F124)),NOT(ISNUMBER(G124)))),"Enter start and end",IF(AND(OR(E124="Partial Vacation",E124="Partial Sick Leave"),OR(NOT(ISNUMBER(H124)),NOT(ISNUMBER(I124)))),"Enter leave from and to",IF(AND(ISNUMBER(F124),ISNUMBER(G124),G124&lt;=F124),"End is before start",IF(AND(ISNUMBER(H124),ISNUMBER(I124),I124&lt;=H124),"Leave end is before start",IF(AND(ISNUMBER(F124),ISNUMBER(G124),ISNUMBER(H124),ISNUMBER(I124),F124&lt;I124,H124&lt;G124),"Work and leave hours overlap",IF(AND(E124&lt;&gt;"",WEEKDAY(A124)=7),"Saturday - administrator only","")))))))</f>
        <v/>
      </c>
      <c r="T124" s="36" t="n">
        <f aca="false">MONTH(A124)</f>
        <v>4</v>
      </c>
      <c r="U124" s="37" t="b">
        <f aca="false">OR(C124="Workday",C124="Eve")</f>
        <v>1</v>
      </c>
      <c r="V124" s="34" t="n">
        <f aca="false">IF(C124="Eve",Settings!$B$8,Settings!$B$7)</f>
        <v>0.6875</v>
      </c>
      <c r="W124" s="14" t="n">
        <f aca="false">IF(U124,(V124-Settings!$B$6)*24,0)</f>
        <v>8.5</v>
      </c>
    </row>
    <row r="125" customFormat="false" ht="15" hidden="false" customHeight="false" outlineLevel="0" collapsed="false">
      <c r="A125" s="29" t="n">
        <v>46141</v>
      </c>
      <c r="B125" s="30" t="str">
        <f aca="false">CHOOSE(WEEKDAY(A125),"Sun","Mon","Tue","Wed","Thu","Fri","Sat")</f>
        <v>Wed</v>
      </c>
      <c r="C125" s="30" t="str">
        <f aca="false">IF(IFERROR(INDEX(Holidays!$D$5:$D$60,MATCH(A125,Holidays!$A$5:$A$60,0)),"")="Holiday","Holiday",IF(WEEKDAY(A125)&gt;=6,"Weekend",IF(IFERROR(INDEX(Holidays!$D$5:$D$60,MATCH(A125,Holidays!$A$5:$A$60,0)),"")="Eve","Eve","Workday")))</f>
        <v>Workday</v>
      </c>
      <c r="D125" s="18" t="str">
        <f aca="false">IFERROR(INDEX(Holidays!$C$5:$C$60,MATCH(A125,Holidays!$A$5:$A$60,0)),"")</f>
        <v/>
      </c>
      <c r="E125" s="31"/>
      <c r="F125" s="32"/>
      <c r="G125" s="32"/>
      <c r="H125" s="32"/>
      <c r="I125" s="32"/>
      <c r="J125" s="31"/>
      <c r="K125" s="33" t="str">
        <f aca="false">IF(E125&lt;&gt;"",E125,IF(U125,"Present",IF(C125="Holiday","Holiday","Weekend")))</f>
        <v>Present</v>
      </c>
      <c r="L125" s="34" t="n">
        <f aca="false">IF(OR(K125="Present",K125="Manual Work",K125="Partial Vacation",K125="Partial Sick Leave"),IF(ISNUMBER(F125),F125,IF(AND(K125="Present",U125),Settings!$B$6,"")),"")</f>
        <v>0.333333333333333</v>
      </c>
      <c r="M125" s="34" t="n">
        <f aca="false">IF(OR(K125="Present",K125="Manual Work",K125="Partial Vacation",K125="Partial Sick Leave"),IF(ISNUMBER(G125),G125,IF(AND(K125="Present",U125),V125,"")),"")</f>
        <v>0.6875</v>
      </c>
      <c r="N125" s="14" t="n">
        <f aca="false">IF(AND(ISNUMBER(L125),ISNUMBER(M125)),MAX(0,(M125-L125)*24),0)</f>
        <v>8.5</v>
      </c>
      <c r="O125" s="14" t="n">
        <f aca="false">IF(NOT(U125),0,IF(K125="Vacation",IF(C125="Eve",Settings!$B$9*Settings!$B$11,W125),IF(K125="Partial Vacation",IF(AND(ISNUMBER(H125),ISNUMBER(I125)),MAX(0,(I125-H125)*24),0),0)))</f>
        <v>0</v>
      </c>
      <c r="P125" s="14" t="n">
        <f aca="false">IF(NOT(U125),0,IF(K125="Sick Leave",W125,IF(K125="Partial Sick Leave",IF(AND(ISNUMBER(H125),ISNUMBER(I125)),MAX(0,(I125-H125)*24),0),0)))</f>
        <v>0</v>
      </c>
      <c r="Q125" s="14" t="n">
        <f aca="false">IF(NOT(U125),0,IF(K125="Vacation",IF(C125="Eve",Settings!$B$11,1),IF(K125="Partial Vacation",O125/Settings!$B$9,0)))</f>
        <v>0</v>
      </c>
      <c r="R125" s="14" t="n">
        <f aca="false">IF(NOT(U125),0,IF(K125="Sick Leave",1,IF(K125="Partial Sick Leave",P125/Settings!$B$9,0)))</f>
        <v>0</v>
      </c>
      <c r="S125" s="35" t="str">
        <f aca="false">IF(AND(OR(E125="Vacation",E125="Sick Leave",E125="Partial Vacation",E125="Partial Sick Leave"),NOT(U125)),"Leave not allowed on this day",IF(AND(E125="Manual Work",OR(NOT(ISNUMBER(F125)),NOT(ISNUMBER(G125)))),"Enter start and end",IF(AND(OR(E125="Partial Vacation",E125="Partial Sick Leave"),OR(NOT(ISNUMBER(H125)),NOT(ISNUMBER(I125)))),"Enter leave from and to",IF(AND(ISNUMBER(F125),ISNUMBER(G125),G125&lt;=F125),"End is before start",IF(AND(ISNUMBER(H125),ISNUMBER(I125),I125&lt;=H125),"Leave end is before start",IF(AND(ISNUMBER(F125),ISNUMBER(G125),ISNUMBER(H125),ISNUMBER(I125),F125&lt;I125,H125&lt;G125),"Work and leave hours overlap",IF(AND(E125&lt;&gt;"",WEEKDAY(A125)=7),"Saturday - administrator only","")))))))</f>
        <v/>
      </c>
      <c r="T125" s="36" t="n">
        <f aca="false">MONTH(A125)</f>
        <v>4</v>
      </c>
      <c r="U125" s="37" t="b">
        <f aca="false">OR(C125="Workday",C125="Eve")</f>
        <v>1</v>
      </c>
      <c r="V125" s="34" t="n">
        <f aca="false">IF(C125="Eve",Settings!$B$8,Settings!$B$7)</f>
        <v>0.6875</v>
      </c>
      <c r="W125" s="14" t="n">
        <f aca="false">IF(U125,(V125-Settings!$B$6)*24,0)</f>
        <v>8.5</v>
      </c>
    </row>
    <row r="126" customFormat="false" ht="15" hidden="false" customHeight="false" outlineLevel="0" collapsed="false">
      <c r="A126" s="29" t="n">
        <v>46142</v>
      </c>
      <c r="B126" s="30" t="str">
        <f aca="false">CHOOSE(WEEKDAY(A126),"Sun","Mon","Tue","Wed","Thu","Fri","Sat")</f>
        <v>Thu</v>
      </c>
      <c r="C126" s="30" t="str">
        <f aca="false">IF(IFERROR(INDEX(Holidays!$D$5:$D$60,MATCH(A126,Holidays!$A$5:$A$60,0)),"")="Holiday","Holiday",IF(WEEKDAY(A126)&gt;=6,"Weekend",IF(IFERROR(INDEX(Holidays!$D$5:$D$60,MATCH(A126,Holidays!$A$5:$A$60,0)),"")="Eve","Eve","Workday")))</f>
        <v>Workday</v>
      </c>
      <c r="D126" s="18" t="str">
        <f aca="false">IFERROR(INDEX(Holidays!$C$5:$C$60,MATCH(A126,Holidays!$A$5:$A$60,0)),"")</f>
        <v/>
      </c>
      <c r="E126" s="31"/>
      <c r="F126" s="32"/>
      <c r="G126" s="32"/>
      <c r="H126" s="32"/>
      <c r="I126" s="32"/>
      <c r="J126" s="31"/>
      <c r="K126" s="33" t="str">
        <f aca="false">IF(E126&lt;&gt;"",E126,IF(U126,"Present",IF(C126="Holiday","Holiday","Weekend")))</f>
        <v>Present</v>
      </c>
      <c r="L126" s="34" t="n">
        <f aca="false">IF(OR(K126="Present",K126="Manual Work",K126="Partial Vacation",K126="Partial Sick Leave"),IF(ISNUMBER(F126),F126,IF(AND(K126="Present",U126),Settings!$B$6,"")),"")</f>
        <v>0.333333333333333</v>
      </c>
      <c r="M126" s="34" t="n">
        <f aca="false">IF(OR(K126="Present",K126="Manual Work",K126="Partial Vacation",K126="Partial Sick Leave"),IF(ISNUMBER(G126),G126,IF(AND(K126="Present",U126),V126,"")),"")</f>
        <v>0.6875</v>
      </c>
      <c r="N126" s="14" t="n">
        <f aca="false">IF(AND(ISNUMBER(L126),ISNUMBER(M126)),MAX(0,(M126-L126)*24),0)</f>
        <v>8.5</v>
      </c>
      <c r="O126" s="14" t="n">
        <f aca="false">IF(NOT(U126),0,IF(K126="Vacation",IF(C126="Eve",Settings!$B$9*Settings!$B$11,W126),IF(K126="Partial Vacation",IF(AND(ISNUMBER(H126),ISNUMBER(I126)),MAX(0,(I126-H126)*24),0),0)))</f>
        <v>0</v>
      </c>
      <c r="P126" s="14" t="n">
        <f aca="false">IF(NOT(U126),0,IF(K126="Sick Leave",W126,IF(K126="Partial Sick Leave",IF(AND(ISNUMBER(H126),ISNUMBER(I126)),MAX(0,(I126-H126)*24),0),0)))</f>
        <v>0</v>
      </c>
      <c r="Q126" s="14" t="n">
        <f aca="false">IF(NOT(U126),0,IF(K126="Vacation",IF(C126="Eve",Settings!$B$11,1),IF(K126="Partial Vacation",O126/Settings!$B$9,0)))</f>
        <v>0</v>
      </c>
      <c r="R126" s="14" t="n">
        <f aca="false">IF(NOT(U126),0,IF(K126="Sick Leave",1,IF(K126="Partial Sick Leave",P126/Settings!$B$9,0)))</f>
        <v>0</v>
      </c>
      <c r="S126" s="35" t="str">
        <f aca="false">IF(AND(OR(E126="Vacation",E126="Sick Leave",E126="Partial Vacation",E126="Partial Sick Leave"),NOT(U126)),"Leave not allowed on this day",IF(AND(E126="Manual Work",OR(NOT(ISNUMBER(F126)),NOT(ISNUMBER(G126)))),"Enter start and end",IF(AND(OR(E126="Partial Vacation",E126="Partial Sick Leave"),OR(NOT(ISNUMBER(H126)),NOT(ISNUMBER(I126)))),"Enter leave from and to",IF(AND(ISNUMBER(F126),ISNUMBER(G126),G126&lt;=F126),"End is before start",IF(AND(ISNUMBER(H126),ISNUMBER(I126),I126&lt;=H126),"Leave end is before start",IF(AND(ISNUMBER(F126),ISNUMBER(G126),ISNUMBER(H126),ISNUMBER(I126),F126&lt;I126,H126&lt;G126),"Work and leave hours overlap",IF(AND(E126&lt;&gt;"",WEEKDAY(A126)=7),"Saturday - administrator only","")))))))</f>
        <v/>
      </c>
      <c r="T126" s="36" t="n">
        <f aca="false">MONTH(A126)</f>
        <v>4</v>
      </c>
      <c r="U126" s="37" t="b">
        <f aca="false">OR(C126="Workday",C126="Eve")</f>
        <v>1</v>
      </c>
      <c r="V126" s="34" t="n">
        <f aca="false">IF(C126="Eve",Settings!$B$8,Settings!$B$7)</f>
        <v>0.6875</v>
      </c>
      <c r="W126" s="14" t="n">
        <f aca="false">IF(U126,(V126-Settings!$B$6)*24,0)</f>
        <v>8.5</v>
      </c>
    </row>
    <row r="127" customFormat="false" ht="15" hidden="false" customHeight="false" outlineLevel="0" collapsed="false">
      <c r="A127" s="29" t="n">
        <v>46143</v>
      </c>
      <c r="B127" s="30" t="str">
        <f aca="false">CHOOSE(WEEKDAY(A127),"Sun","Mon","Tue","Wed","Thu","Fri","Sat")</f>
        <v>Fri</v>
      </c>
      <c r="C127" s="30" t="str">
        <f aca="false">IF(IFERROR(INDEX(Holidays!$D$5:$D$60,MATCH(A127,Holidays!$A$5:$A$60,0)),"")="Holiday","Holiday",IF(WEEKDAY(A127)&gt;=6,"Weekend",IF(IFERROR(INDEX(Holidays!$D$5:$D$60,MATCH(A127,Holidays!$A$5:$A$60,0)),"")="Eve","Eve","Workday")))</f>
        <v>Weekend</v>
      </c>
      <c r="D127" s="18" t="str">
        <f aca="false">IFERROR(INDEX(Holidays!$C$5:$C$60,MATCH(A127,Holidays!$A$5:$A$60,0)),"")</f>
        <v/>
      </c>
      <c r="E127" s="31"/>
      <c r="F127" s="32"/>
      <c r="G127" s="32"/>
      <c r="H127" s="32"/>
      <c r="I127" s="32"/>
      <c r="J127" s="31"/>
      <c r="K127" s="33" t="str">
        <f aca="false">IF(E127&lt;&gt;"",E127,IF(U127,"Present",IF(C127="Holiday","Holiday","Weekend")))</f>
        <v>Weekend</v>
      </c>
      <c r="L127" s="34" t="str">
        <f aca="false">IF(OR(K127="Present",K127="Manual Work",K127="Partial Vacation",K127="Partial Sick Leave"),IF(ISNUMBER(F127),F127,IF(AND(K127="Present",U127),Settings!$B$6,"")),"")</f>
        <v/>
      </c>
      <c r="M127" s="34" t="str">
        <f aca="false">IF(OR(K127="Present",K127="Manual Work",K127="Partial Vacation",K127="Partial Sick Leave"),IF(ISNUMBER(G127),G127,IF(AND(K127="Present",U127),V127,"")),"")</f>
        <v/>
      </c>
      <c r="N127" s="14" t="n">
        <f aca="false">IF(AND(ISNUMBER(L127),ISNUMBER(M127)),MAX(0,(M127-L127)*24),0)</f>
        <v>0</v>
      </c>
      <c r="O127" s="14" t="n">
        <f aca="false">IF(NOT(U127),0,IF(K127="Vacation",IF(C127="Eve",Settings!$B$9*Settings!$B$11,W127),IF(K127="Partial Vacation",IF(AND(ISNUMBER(H127),ISNUMBER(I127)),MAX(0,(I127-H127)*24),0),0)))</f>
        <v>0</v>
      </c>
      <c r="P127" s="14" t="n">
        <f aca="false">IF(NOT(U127),0,IF(K127="Sick Leave",W127,IF(K127="Partial Sick Leave",IF(AND(ISNUMBER(H127),ISNUMBER(I127)),MAX(0,(I127-H127)*24),0),0)))</f>
        <v>0</v>
      </c>
      <c r="Q127" s="14" t="n">
        <f aca="false">IF(NOT(U127),0,IF(K127="Vacation",IF(C127="Eve",Settings!$B$11,1),IF(K127="Partial Vacation",O127/Settings!$B$9,0)))</f>
        <v>0</v>
      </c>
      <c r="R127" s="14" t="n">
        <f aca="false">IF(NOT(U127),0,IF(K127="Sick Leave",1,IF(K127="Partial Sick Leave",P127/Settings!$B$9,0)))</f>
        <v>0</v>
      </c>
      <c r="S127" s="35" t="str">
        <f aca="false">IF(AND(OR(E127="Vacation",E127="Sick Leave",E127="Partial Vacation",E127="Partial Sick Leave"),NOT(U127)),"Leave not allowed on this day",IF(AND(E127="Manual Work",OR(NOT(ISNUMBER(F127)),NOT(ISNUMBER(G127)))),"Enter start and end",IF(AND(OR(E127="Partial Vacation",E127="Partial Sick Leave"),OR(NOT(ISNUMBER(H127)),NOT(ISNUMBER(I127)))),"Enter leave from and to",IF(AND(ISNUMBER(F127),ISNUMBER(G127),G127&lt;=F127),"End is before start",IF(AND(ISNUMBER(H127),ISNUMBER(I127),I127&lt;=H127),"Leave end is before start",IF(AND(ISNUMBER(F127),ISNUMBER(G127),ISNUMBER(H127),ISNUMBER(I127),F127&lt;I127,H127&lt;G127),"Work and leave hours overlap",IF(AND(E127&lt;&gt;"",WEEKDAY(A127)=7),"Saturday - administrator only","")))))))</f>
        <v/>
      </c>
      <c r="T127" s="36" t="n">
        <f aca="false">MONTH(A127)</f>
        <v>5</v>
      </c>
      <c r="U127" s="37" t="b">
        <f aca="false">OR(C127="Workday",C127="Eve")</f>
        <v>0</v>
      </c>
      <c r="V127" s="34" t="n">
        <f aca="false">IF(C127="Eve",Settings!$B$8,Settings!$B$7)</f>
        <v>0.6875</v>
      </c>
      <c r="W127" s="14" t="n">
        <f aca="false">IF(U127,(V127-Settings!$B$6)*24,0)</f>
        <v>0</v>
      </c>
    </row>
    <row r="128" customFormat="false" ht="15" hidden="false" customHeight="false" outlineLevel="0" collapsed="false">
      <c r="A128" s="29" t="n">
        <v>46144</v>
      </c>
      <c r="B128" s="30" t="str">
        <f aca="false">CHOOSE(WEEKDAY(A128),"Sun","Mon","Tue","Wed","Thu","Fri","Sat")</f>
        <v>Sat</v>
      </c>
      <c r="C128" s="30" t="str">
        <f aca="false">IF(IFERROR(INDEX(Holidays!$D$5:$D$60,MATCH(A128,Holidays!$A$5:$A$60,0)),"")="Holiday","Holiday",IF(WEEKDAY(A128)&gt;=6,"Weekend",IF(IFERROR(INDEX(Holidays!$D$5:$D$60,MATCH(A128,Holidays!$A$5:$A$60,0)),"")="Eve","Eve","Workday")))</f>
        <v>Weekend</v>
      </c>
      <c r="D128" s="18" t="str">
        <f aca="false">IFERROR(INDEX(Holidays!$C$5:$C$60,MATCH(A128,Holidays!$A$5:$A$60,0)),"")</f>
        <v/>
      </c>
      <c r="E128" s="31"/>
      <c r="F128" s="32"/>
      <c r="G128" s="32"/>
      <c r="H128" s="32"/>
      <c r="I128" s="32"/>
      <c r="J128" s="31"/>
      <c r="K128" s="33" t="str">
        <f aca="false">IF(E128&lt;&gt;"",E128,IF(U128,"Present",IF(C128="Holiday","Holiday","Weekend")))</f>
        <v>Weekend</v>
      </c>
      <c r="L128" s="34" t="str">
        <f aca="false">IF(OR(K128="Present",K128="Manual Work",K128="Partial Vacation",K128="Partial Sick Leave"),IF(ISNUMBER(F128),F128,IF(AND(K128="Present",U128),Settings!$B$6,"")),"")</f>
        <v/>
      </c>
      <c r="M128" s="34" t="str">
        <f aca="false">IF(OR(K128="Present",K128="Manual Work",K128="Partial Vacation",K128="Partial Sick Leave"),IF(ISNUMBER(G128),G128,IF(AND(K128="Present",U128),V128,"")),"")</f>
        <v/>
      </c>
      <c r="N128" s="14" t="n">
        <f aca="false">IF(AND(ISNUMBER(L128),ISNUMBER(M128)),MAX(0,(M128-L128)*24),0)</f>
        <v>0</v>
      </c>
      <c r="O128" s="14" t="n">
        <f aca="false">IF(NOT(U128),0,IF(K128="Vacation",IF(C128="Eve",Settings!$B$9*Settings!$B$11,W128),IF(K128="Partial Vacation",IF(AND(ISNUMBER(H128),ISNUMBER(I128)),MAX(0,(I128-H128)*24),0),0)))</f>
        <v>0</v>
      </c>
      <c r="P128" s="14" t="n">
        <f aca="false">IF(NOT(U128),0,IF(K128="Sick Leave",W128,IF(K128="Partial Sick Leave",IF(AND(ISNUMBER(H128),ISNUMBER(I128)),MAX(0,(I128-H128)*24),0),0)))</f>
        <v>0</v>
      </c>
      <c r="Q128" s="14" t="n">
        <f aca="false">IF(NOT(U128),0,IF(K128="Vacation",IF(C128="Eve",Settings!$B$11,1),IF(K128="Partial Vacation",O128/Settings!$B$9,0)))</f>
        <v>0</v>
      </c>
      <c r="R128" s="14" t="n">
        <f aca="false">IF(NOT(U128),0,IF(K128="Sick Leave",1,IF(K128="Partial Sick Leave",P128/Settings!$B$9,0)))</f>
        <v>0</v>
      </c>
      <c r="S128" s="35" t="str">
        <f aca="false">IF(AND(OR(E128="Vacation",E128="Sick Leave",E128="Partial Vacation",E128="Partial Sick Leave"),NOT(U128)),"Leave not allowed on this day",IF(AND(E128="Manual Work",OR(NOT(ISNUMBER(F128)),NOT(ISNUMBER(G128)))),"Enter start and end",IF(AND(OR(E128="Partial Vacation",E128="Partial Sick Leave"),OR(NOT(ISNUMBER(H128)),NOT(ISNUMBER(I128)))),"Enter leave from and to",IF(AND(ISNUMBER(F128),ISNUMBER(G128),G128&lt;=F128),"End is before start",IF(AND(ISNUMBER(H128),ISNUMBER(I128),I128&lt;=H128),"Leave end is before start",IF(AND(ISNUMBER(F128),ISNUMBER(G128),ISNUMBER(H128),ISNUMBER(I128),F128&lt;I128,H128&lt;G128),"Work and leave hours overlap",IF(AND(E128&lt;&gt;"",WEEKDAY(A128)=7),"Saturday - administrator only","")))))))</f>
        <v/>
      </c>
      <c r="T128" s="36" t="n">
        <f aca="false">MONTH(A128)</f>
        <v>5</v>
      </c>
      <c r="U128" s="37" t="b">
        <f aca="false">OR(C128="Workday",C128="Eve")</f>
        <v>0</v>
      </c>
      <c r="V128" s="34" t="n">
        <f aca="false">IF(C128="Eve",Settings!$B$8,Settings!$B$7)</f>
        <v>0.6875</v>
      </c>
      <c r="W128" s="14" t="n">
        <f aca="false">IF(U128,(V128-Settings!$B$6)*24,0)</f>
        <v>0</v>
      </c>
    </row>
    <row r="129" customFormat="false" ht="15" hidden="false" customHeight="false" outlineLevel="0" collapsed="false">
      <c r="A129" s="29" t="n">
        <v>46145</v>
      </c>
      <c r="B129" s="30" t="str">
        <f aca="false">CHOOSE(WEEKDAY(A129),"Sun","Mon","Tue","Wed","Thu","Fri","Sat")</f>
        <v>Sun</v>
      </c>
      <c r="C129" s="30" t="str">
        <f aca="false">IF(IFERROR(INDEX(Holidays!$D$5:$D$60,MATCH(A129,Holidays!$A$5:$A$60,0)),"")="Holiday","Holiday",IF(WEEKDAY(A129)&gt;=6,"Weekend",IF(IFERROR(INDEX(Holidays!$D$5:$D$60,MATCH(A129,Holidays!$A$5:$A$60,0)),"")="Eve","Eve","Workday")))</f>
        <v>Workday</v>
      </c>
      <c r="D129" s="18" t="str">
        <f aca="false">IFERROR(INDEX(Holidays!$C$5:$C$60,MATCH(A129,Holidays!$A$5:$A$60,0)),"")</f>
        <v/>
      </c>
      <c r="E129" s="31"/>
      <c r="F129" s="32"/>
      <c r="G129" s="32"/>
      <c r="H129" s="32"/>
      <c r="I129" s="32"/>
      <c r="J129" s="31"/>
      <c r="K129" s="33" t="str">
        <f aca="false">IF(E129&lt;&gt;"",E129,IF(U129,"Present",IF(C129="Holiday","Holiday","Weekend")))</f>
        <v>Present</v>
      </c>
      <c r="L129" s="34" t="n">
        <f aca="false">IF(OR(K129="Present",K129="Manual Work",K129="Partial Vacation",K129="Partial Sick Leave"),IF(ISNUMBER(F129),F129,IF(AND(K129="Present",U129),Settings!$B$6,"")),"")</f>
        <v>0.333333333333333</v>
      </c>
      <c r="M129" s="34" t="n">
        <f aca="false">IF(OR(K129="Present",K129="Manual Work",K129="Partial Vacation",K129="Partial Sick Leave"),IF(ISNUMBER(G129),G129,IF(AND(K129="Present",U129),V129,"")),"")</f>
        <v>0.6875</v>
      </c>
      <c r="N129" s="14" t="n">
        <f aca="false">IF(AND(ISNUMBER(L129),ISNUMBER(M129)),MAX(0,(M129-L129)*24),0)</f>
        <v>8.5</v>
      </c>
      <c r="O129" s="14" t="n">
        <f aca="false">IF(NOT(U129),0,IF(K129="Vacation",IF(C129="Eve",Settings!$B$9*Settings!$B$11,W129),IF(K129="Partial Vacation",IF(AND(ISNUMBER(H129),ISNUMBER(I129)),MAX(0,(I129-H129)*24),0),0)))</f>
        <v>0</v>
      </c>
      <c r="P129" s="14" t="n">
        <f aca="false">IF(NOT(U129),0,IF(K129="Sick Leave",W129,IF(K129="Partial Sick Leave",IF(AND(ISNUMBER(H129),ISNUMBER(I129)),MAX(0,(I129-H129)*24),0),0)))</f>
        <v>0</v>
      </c>
      <c r="Q129" s="14" t="n">
        <f aca="false">IF(NOT(U129),0,IF(K129="Vacation",IF(C129="Eve",Settings!$B$11,1),IF(K129="Partial Vacation",O129/Settings!$B$9,0)))</f>
        <v>0</v>
      </c>
      <c r="R129" s="14" t="n">
        <f aca="false">IF(NOT(U129),0,IF(K129="Sick Leave",1,IF(K129="Partial Sick Leave",P129/Settings!$B$9,0)))</f>
        <v>0</v>
      </c>
      <c r="S129" s="35" t="str">
        <f aca="false">IF(AND(OR(E129="Vacation",E129="Sick Leave",E129="Partial Vacation",E129="Partial Sick Leave"),NOT(U129)),"Leave not allowed on this day",IF(AND(E129="Manual Work",OR(NOT(ISNUMBER(F129)),NOT(ISNUMBER(G129)))),"Enter start and end",IF(AND(OR(E129="Partial Vacation",E129="Partial Sick Leave"),OR(NOT(ISNUMBER(H129)),NOT(ISNUMBER(I129)))),"Enter leave from and to",IF(AND(ISNUMBER(F129),ISNUMBER(G129),G129&lt;=F129),"End is before start",IF(AND(ISNUMBER(H129),ISNUMBER(I129),I129&lt;=H129),"Leave end is before start",IF(AND(ISNUMBER(F129),ISNUMBER(G129),ISNUMBER(H129),ISNUMBER(I129),F129&lt;I129,H129&lt;G129),"Work and leave hours overlap",IF(AND(E129&lt;&gt;"",WEEKDAY(A129)=7),"Saturday - administrator only","")))))))</f>
        <v/>
      </c>
      <c r="T129" s="36" t="n">
        <f aca="false">MONTH(A129)</f>
        <v>5</v>
      </c>
      <c r="U129" s="37" t="b">
        <f aca="false">OR(C129="Workday",C129="Eve")</f>
        <v>1</v>
      </c>
      <c r="V129" s="34" t="n">
        <f aca="false">IF(C129="Eve",Settings!$B$8,Settings!$B$7)</f>
        <v>0.6875</v>
      </c>
      <c r="W129" s="14" t="n">
        <f aca="false">IF(U129,(V129-Settings!$B$6)*24,0)</f>
        <v>8.5</v>
      </c>
    </row>
    <row r="130" customFormat="false" ht="15" hidden="false" customHeight="false" outlineLevel="0" collapsed="false">
      <c r="A130" s="29" t="n">
        <v>46146</v>
      </c>
      <c r="B130" s="30" t="str">
        <f aca="false">CHOOSE(WEEKDAY(A130),"Sun","Mon","Tue","Wed","Thu","Fri","Sat")</f>
        <v>Mon</v>
      </c>
      <c r="C130" s="30" t="str">
        <f aca="false">IF(IFERROR(INDEX(Holidays!$D$5:$D$60,MATCH(A130,Holidays!$A$5:$A$60,0)),"")="Holiday","Holiday",IF(WEEKDAY(A130)&gt;=6,"Weekend",IF(IFERROR(INDEX(Holidays!$D$5:$D$60,MATCH(A130,Holidays!$A$5:$A$60,0)),"")="Eve","Eve","Workday")))</f>
        <v>Workday</v>
      </c>
      <c r="D130" s="18" t="str">
        <f aca="false">IFERROR(INDEX(Holidays!$C$5:$C$60,MATCH(A130,Holidays!$A$5:$A$60,0)),"")</f>
        <v/>
      </c>
      <c r="E130" s="31"/>
      <c r="F130" s="32"/>
      <c r="G130" s="32"/>
      <c r="H130" s="32"/>
      <c r="I130" s="32"/>
      <c r="J130" s="31"/>
      <c r="K130" s="33" t="str">
        <f aca="false">IF(E130&lt;&gt;"",E130,IF(U130,"Present",IF(C130="Holiday","Holiday","Weekend")))</f>
        <v>Present</v>
      </c>
      <c r="L130" s="34" t="n">
        <f aca="false">IF(OR(K130="Present",K130="Manual Work",K130="Partial Vacation",K130="Partial Sick Leave"),IF(ISNUMBER(F130),F130,IF(AND(K130="Present",U130),Settings!$B$6,"")),"")</f>
        <v>0.333333333333333</v>
      </c>
      <c r="M130" s="34" t="n">
        <f aca="false">IF(OR(K130="Present",K130="Manual Work",K130="Partial Vacation",K130="Partial Sick Leave"),IF(ISNUMBER(G130),G130,IF(AND(K130="Present",U130),V130,"")),"")</f>
        <v>0.6875</v>
      </c>
      <c r="N130" s="14" t="n">
        <f aca="false">IF(AND(ISNUMBER(L130),ISNUMBER(M130)),MAX(0,(M130-L130)*24),0)</f>
        <v>8.5</v>
      </c>
      <c r="O130" s="14" t="n">
        <f aca="false">IF(NOT(U130),0,IF(K130="Vacation",IF(C130="Eve",Settings!$B$9*Settings!$B$11,W130),IF(K130="Partial Vacation",IF(AND(ISNUMBER(H130),ISNUMBER(I130)),MAX(0,(I130-H130)*24),0),0)))</f>
        <v>0</v>
      </c>
      <c r="P130" s="14" t="n">
        <f aca="false">IF(NOT(U130),0,IF(K130="Sick Leave",W130,IF(K130="Partial Sick Leave",IF(AND(ISNUMBER(H130),ISNUMBER(I130)),MAX(0,(I130-H130)*24),0),0)))</f>
        <v>0</v>
      </c>
      <c r="Q130" s="14" t="n">
        <f aca="false">IF(NOT(U130),0,IF(K130="Vacation",IF(C130="Eve",Settings!$B$11,1),IF(K130="Partial Vacation",O130/Settings!$B$9,0)))</f>
        <v>0</v>
      </c>
      <c r="R130" s="14" t="n">
        <f aca="false">IF(NOT(U130),0,IF(K130="Sick Leave",1,IF(K130="Partial Sick Leave",P130/Settings!$B$9,0)))</f>
        <v>0</v>
      </c>
      <c r="S130" s="35" t="str">
        <f aca="false">IF(AND(OR(E130="Vacation",E130="Sick Leave",E130="Partial Vacation",E130="Partial Sick Leave"),NOT(U130)),"Leave not allowed on this day",IF(AND(E130="Manual Work",OR(NOT(ISNUMBER(F130)),NOT(ISNUMBER(G130)))),"Enter start and end",IF(AND(OR(E130="Partial Vacation",E130="Partial Sick Leave"),OR(NOT(ISNUMBER(H130)),NOT(ISNUMBER(I130)))),"Enter leave from and to",IF(AND(ISNUMBER(F130),ISNUMBER(G130),G130&lt;=F130),"End is before start",IF(AND(ISNUMBER(H130),ISNUMBER(I130),I130&lt;=H130),"Leave end is before start",IF(AND(ISNUMBER(F130),ISNUMBER(G130),ISNUMBER(H130),ISNUMBER(I130),F130&lt;I130,H130&lt;G130),"Work and leave hours overlap",IF(AND(E130&lt;&gt;"",WEEKDAY(A130)=7),"Saturday - administrator only","")))))))</f>
        <v/>
      </c>
      <c r="T130" s="36" t="n">
        <f aca="false">MONTH(A130)</f>
        <v>5</v>
      </c>
      <c r="U130" s="37" t="b">
        <f aca="false">OR(C130="Workday",C130="Eve")</f>
        <v>1</v>
      </c>
      <c r="V130" s="34" t="n">
        <f aca="false">IF(C130="Eve",Settings!$B$8,Settings!$B$7)</f>
        <v>0.6875</v>
      </c>
      <c r="W130" s="14" t="n">
        <f aca="false">IF(U130,(V130-Settings!$B$6)*24,0)</f>
        <v>8.5</v>
      </c>
    </row>
    <row r="131" customFormat="false" ht="15" hidden="false" customHeight="false" outlineLevel="0" collapsed="false">
      <c r="A131" s="29" t="n">
        <v>46147</v>
      </c>
      <c r="B131" s="30" t="str">
        <f aca="false">CHOOSE(WEEKDAY(A131),"Sun","Mon","Tue","Wed","Thu","Fri","Sat")</f>
        <v>Tue</v>
      </c>
      <c r="C131" s="30" t="str">
        <f aca="false">IF(IFERROR(INDEX(Holidays!$D$5:$D$60,MATCH(A131,Holidays!$A$5:$A$60,0)),"")="Holiday","Holiday",IF(WEEKDAY(A131)&gt;=6,"Weekend",IF(IFERROR(INDEX(Holidays!$D$5:$D$60,MATCH(A131,Holidays!$A$5:$A$60,0)),"")="Eve","Eve","Workday")))</f>
        <v>Workday</v>
      </c>
      <c r="D131" s="18" t="str">
        <f aca="false">IFERROR(INDEX(Holidays!$C$5:$C$60,MATCH(A131,Holidays!$A$5:$A$60,0)),"")</f>
        <v/>
      </c>
      <c r="E131" s="31"/>
      <c r="F131" s="32"/>
      <c r="G131" s="32"/>
      <c r="H131" s="32"/>
      <c r="I131" s="32"/>
      <c r="J131" s="31"/>
      <c r="K131" s="33" t="str">
        <f aca="false">IF(E131&lt;&gt;"",E131,IF(U131,"Present",IF(C131="Holiday","Holiday","Weekend")))</f>
        <v>Present</v>
      </c>
      <c r="L131" s="34" t="n">
        <f aca="false">IF(OR(K131="Present",K131="Manual Work",K131="Partial Vacation",K131="Partial Sick Leave"),IF(ISNUMBER(F131),F131,IF(AND(K131="Present",U131),Settings!$B$6,"")),"")</f>
        <v>0.333333333333333</v>
      </c>
      <c r="M131" s="34" t="n">
        <f aca="false">IF(OR(K131="Present",K131="Manual Work",K131="Partial Vacation",K131="Partial Sick Leave"),IF(ISNUMBER(G131),G131,IF(AND(K131="Present",U131),V131,"")),"")</f>
        <v>0.6875</v>
      </c>
      <c r="N131" s="14" t="n">
        <f aca="false">IF(AND(ISNUMBER(L131),ISNUMBER(M131)),MAX(0,(M131-L131)*24),0)</f>
        <v>8.5</v>
      </c>
      <c r="O131" s="14" t="n">
        <f aca="false">IF(NOT(U131),0,IF(K131="Vacation",IF(C131="Eve",Settings!$B$9*Settings!$B$11,W131),IF(K131="Partial Vacation",IF(AND(ISNUMBER(H131),ISNUMBER(I131)),MAX(0,(I131-H131)*24),0),0)))</f>
        <v>0</v>
      </c>
      <c r="P131" s="14" t="n">
        <f aca="false">IF(NOT(U131),0,IF(K131="Sick Leave",W131,IF(K131="Partial Sick Leave",IF(AND(ISNUMBER(H131),ISNUMBER(I131)),MAX(0,(I131-H131)*24),0),0)))</f>
        <v>0</v>
      </c>
      <c r="Q131" s="14" t="n">
        <f aca="false">IF(NOT(U131),0,IF(K131="Vacation",IF(C131="Eve",Settings!$B$11,1),IF(K131="Partial Vacation",O131/Settings!$B$9,0)))</f>
        <v>0</v>
      </c>
      <c r="R131" s="14" t="n">
        <f aca="false">IF(NOT(U131),0,IF(K131="Sick Leave",1,IF(K131="Partial Sick Leave",P131/Settings!$B$9,0)))</f>
        <v>0</v>
      </c>
      <c r="S131" s="35" t="str">
        <f aca="false">IF(AND(OR(E131="Vacation",E131="Sick Leave",E131="Partial Vacation",E131="Partial Sick Leave"),NOT(U131)),"Leave not allowed on this day",IF(AND(E131="Manual Work",OR(NOT(ISNUMBER(F131)),NOT(ISNUMBER(G131)))),"Enter start and end",IF(AND(OR(E131="Partial Vacation",E131="Partial Sick Leave"),OR(NOT(ISNUMBER(H131)),NOT(ISNUMBER(I131)))),"Enter leave from and to",IF(AND(ISNUMBER(F131),ISNUMBER(G131),G131&lt;=F131),"End is before start",IF(AND(ISNUMBER(H131),ISNUMBER(I131),I131&lt;=H131),"Leave end is before start",IF(AND(ISNUMBER(F131),ISNUMBER(G131),ISNUMBER(H131),ISNUMBER(I131),F131&lt;I131,H131&lt;G131),"Work and leave hours overlap",IF(AND(E131&lt;&gt;"",WEEKDAY(A131)=7),"Saturday - administrator only","")))))))</f>
        <v/>
      </c>
      <c r="T131" s="36" t="n">
        <f aca="false">MONTH(A131)</f>
        <v>5</v>
      </c>
      <c r="U131" s="37" t="b">
        <f aca="false">OR(C131="Workday",C131="Eve")</f>
        <v>1</v>
      </c>
      <c r="V131" s="34" t="n">
        <f aca="false">IF(C131="Eve",Settings!$B$8,Settings!$B$7)</f>
        <v>0.6875</v>
      </c>
      <c r="W131" s="14" t="n">
        <f aca="false">IF(U131,(V131-Settings!$B$6)*24,0)</f>
        <v>8.5</v>
      </c>
    </row>
    <row r="132" customFormat="false" ht="15" hidden="false" customHeight="false" outlineLevel="0" collapsed="false">
      <c r="A132" s="29" t="n">
        <v>46148</v>
      </c>
      <c r="B132" s="30" t="str">
        <f aca="false">CHOOSE(WEEKDAY(A132),"Sun","Mon","Tue","Wed","Thu","Fri","Sat")</f>
        <v>Wed</v>
      </c>
      <c r="C132" s="30" t="str">
        <f aca="false">IF(IFERROR(INDEX(Holidays!$D$5:$D$60,MATCH(A132,Holidays!$A$5:$A$60,0)),"")="Holiday","Holiday",IF(WEEKDAY(A132)&gt;=6,"Weekend",IF(IFERROR(INDEX(Holidays!$D$5:$D$60,MATCH(A132,Holidays!$A$5:$A$60,0)),"")="Eve","Eve","Workday")))</f>
        <v>Workday</v>
      </c>
      <c r="D132" s="18" t="str">
        <f aca="false">IFERROR(INDEX(Holidays!$C$5:$C$60,MATCH(A132,Holidays!$A$5:$A$60,0)),"")</f>
        <v/>
      </c>
      <c r="E132" s="31"/>
      <c r="F132" s="32"/>
      <c r="G132" s="32"/>
      <c r="H132" s="32"/>
      <c r="I132" s="32"/>
      <c r="J132" s="31"/>
      <c r="K132" s="33" t="str">
        <f aca="false">IF(E132&lt;&gt;"",E132,IF(U132,"Present",IF(C132="Holiday","Holiday","Weekend")))</f>
        <v>Present</v>
      </c>
      <c r="L132" s="34" t="n">
        <f aca="false">IF(OR(K132="Present",K132="Manual Work",K132="Partial Vacation",K132="Partial Sick Leave"),IF(ISNUMBER(F132),F132,IF(AND(K132="Present",U132),Settings!$B$6,"")),"")</f>
        <v>0.333333333333333</v>
      </c>
      <c r="M132" s="34" t="n">
        <f aca="false">IF(OR(K132="Present",K132="Manual Work",K132="Partial Vacation",K132="Partial Sick Leave"),IF(ISNUMBER(G132),G132,IF(AND(K132="Present",U132),V132,"")),"")</f>
        <v>0.6875</v>
      </c>
      <c r="N132" s="14" t="n">
        <f aca="false">IF(AND(ISNUMBER(L132),ISNUMBER(M132)),MAX(0,(M132-L132)*24),0)</f>
        <v>8.5</v>
      </c>
      <c r="O132" s="14" t="n">
        <f aca="false">IF(NOT(U132),0,IF(K132="Vacation",IF(C132="Eve",Settings!$B$9*Settings!$B$11,W132),IF(K132="Partial Vacation",IF(AND(ISNUMBER(H132),ISNUMBER(I132)),MAX(0,(I132-H132)*24),0),0)))</f>
        <v>0</v>
      </c>
      <c r="P132" s="14" t="n">
        <f aca="false">IF(NOT(U132),0,IF(K132="Sick Leave",W132,IF(K132="Partial Sick Leave",IF(AND(ISNUMBER(H132),ISNUMBER(I132)),MAX(0,(I132-H132)*24),0),0)))</f>
        <v>0</v>
      </c>
      <c r="Q132" s="14" t="n">
        <f aca="false">IF(NOT(U132),0,IF(K132="Vacation",IF(C132="Eve",Settings!$B$11,1),IF(K132="Partial Vacation",O132/Settings!$B$9,0)))</f>
        <v>0</v>
      </c>
      <c r="R132" s="14" t="n">
        <f aca="false">IF(NOT(U132),0,IF(K132="Sick Leave",1,IF(K132="Partial Sick Leave",P132/Settings!$B$9,0)))</f>
        <v>0</v>
      </c>
      <c r="S132" s="35" t="str">
        <f aca="false">IF(AND(OR(E132="Vacation",E132="Sick Leave",E132="Partial Vacation",E132="Partial Sick Leave"),NOT(U132)),"Leave not allowed on this day",IF(AND(E132="Manual Work",OR(NOT(ISNUMBER(F132)),NOT(ISNUMBER(G132)))),"Enter start and end",IF(AND(OR(E132="Partial Vacation",E132="Partial Sick Leave"),OR(NOT(ISNUMBER(H132)),NOT(ISNUMBER(I132)))),"Enter leave from and to",IF(AND(ISNUMBER(F132),ISNUMBER(G132),G132&lt;=F132),"End is before start",IF(AND(ISNUMBER(H132),ISNUMBER(I132),I132&lt;=H132),"Leave end is before start",IF(AND(ISNUMBER(F132),ISNUMBER(G132),ISNUMBER(H132),ISNUMBER(I132),F132&lt;I132,H132&lt;G132),"Work and leave hours overlap",IF(AND(E132&lt;&gt;"",WEEKDAY(A132)=7),"Saturday - administrator only","")))))))</f>
        <v/>
      </c>
      <c r="T132" s="36" t="n">
        <f aca="false">MONTH(A132)</f>
        <v>5</v>
      </c>
      <c r="U132" s="37" t="b">
        <f aca="false">OR(C132="Workday",C132="Eve")</f>
        <v>1</v>
      </c>
      <c r="V132" s="34" t="n">
        <f aca="false">IF(C132="Eve",Settings!$B$8,Settings!$B$7)</f>
        <v>0.6875</v>
      </c>
      <c r="W132" s="14" t="n">
        <f aca="false">IF(U132,(V132-Settings!$B$6)*24,0)</f>
        <v>8.5</v>
      </c>
    </row>
    <row r="133" customFormat="false" ht="15" hidden="false" customHeight="false" outlineLevel="0" collapsed="false">
      <c r="A133" s="29" t="n">
        <v>46149</v>
      </c>
      <c r="B133" s="30" t="str">
        <f aca="false">CHOOSE(WEEKDAY(A133),"Sun","Mon","Tue","Wed","Thu","Fri","Sat")</f>
        <v>Thu</v>
      </c>
      <c r="C133" s="30" t="str">
        <f aca="false">IF(IFERROR(INDEX(Holidays!$D$5:$D$60,MATCH(A133,Holidays!$A$5:$A$60,0)),"")="Holiday","Holiday",IF(WEEKDAY(A133)&gt;=6,"Weekend",IF(IFERROR(INDEX(Holidays!$D$5:$D$60,MATCH(A133,Holidays!$A$5:$A$60,0)),"")="Eve","Eve","Workday")))</f>
        <v>Workday</v>
      </c>
      <c r="D133" s="18" t="str">
        <f aca="false">IFERROR(INDEX(Holidays!$C$5:$C$60,MATCH(A133,Holidays!$A$5:$A$60,0)),"")</f>
        <v/>
      </c>
      <c r="E133" s="31"/>
      <c r="F133" s="32"/>
      <c r="G133" s="32"/>
      <c r="H133" s="32"/>
      <c r="I133" s="32"/>
      <c r="J133" s="31"/>
      <c r="K133" s="33" t="str">
        <f aca="false">IF(E133&lt;&gt;"",E133,IF(U133,"Present",IF(C133="Holiday","Holiday","Weekend")))</f>
        <v>Present</v>
      </c>
      <c r="L133" s="34" t="n">
        <f aca="false">IF(OR(K133="Present",K133="Manual Work",K133="Partial Vacation",K133="Partial Sick Leave"),IF(ISNUMBER(F133),F133,IF(AND(K133="Present",U133),Settings!$B$6,"")),"")</f>
        <v>0.333333333333333</v>
      </c>
      <c r="M133" s="34" t="n">
        <f aca="false">IF(OR(K133="Present",K133="Manual Work",K133="Partial Vacation",K133="Partial Sick Leave"),IF(ISNUMBER(G133),G133,IF(AND(K133="Present",U133),V133,"")),"")</f>
        <v>0.6875</v>
      </c>
      <c r="N133" s="14" t="n">
        <f aca="false">IF(AND(ISNUMBER(L133),ISNUMBER(M133)),MAX(0,(M133-L133)*24),0)</f>
        <v>8.5</v>
      </c>
      <c r="O133" s="14" t="n">
        <f aca="false">IF(NOT(U133),0,IF(K133="Vacation",IF(C133="Eve",Settings!$B$9*Settings!$B$11,W133),IF(K133="Partial Vacation",IF(AND(ISNUMBER(H133),ISNUMBER(I133)),MAX(0,(I133-H133)*24),0),0)))</f>
        <v>0</v>
      </c>
      <c r="P133" s="14" t="n">
        <f aca="false">IF(NOT(U133),0,IF(K133="Sick Leave",W133,IF(K133="Partial Sick Leave",IF(AND(ISNUMBER(H133),ISNUMBER(I133)),MAX(0,(I133-H133)*24),0),0)))</f>
        <v>0</v>
      </c>
      <c r="Q133" s="14" t="n">
        <f aca="false">IF(NOT(U133),0,IF(K133="Vacation",IF(C133="Eve",Settings!$B$11,1),IF(K133="Partial Vacation",O133/Settings!$B$9,0)))</f>
        <v>0</v>
      </c>
      <c r="R133" s="14" t="n">
        <f aca="false">IF(NOT(U133),0,IF(K133="Sick Leave",1,IF(K133="Partial Sick Leave",P133/Settings!$B$9,0)))</f>
        <v>0</v>
      </c>
      <c r="S133" s="35" t="str">
        <f aca="false">IF(AND(OR(E133="Vacation",E133="Sick Leave",E133="Partial Vacation",E133="Partial Sick Leave"),NOT(U133)),"Leave not allowed on this day",IF(AND(E133="Manual Work",OR(NOT(ISNUMBER(F133)),NOT(ISNUMBER(G133)))),"Enter start and end",IF(AND(OR(E133="Partial Vacation",E133="Partial Sick Leave"),OR(NOT(ISNUMBER(H133)),NOT(ISNUMBER(I133)))),"Enter leave from and to",IF(AND(ISNUMBER(F133),ISNUMBER(G133),G133&lt;=F133),"End is before start",IF(AND(ISNUMBER(H133),ISNUMBER(I133),I133&lt;=H133),"Leave end is before start",IF(AND(ISNUMBER(F133),ISNUMBER(G133),ISNUMBER(H133),ISNUMBER(I133),F133&lt;I133,H133&lt;G133),"Work and leave hours overlap",IF(AND(E133&lt;&gt;"",WEEKDAY(A133)=7),"Saturday - administrator only","")))))))</f>
        <v/>
      </c>
      <c r="T133" s="36" t="n">
        <f aca="false">MONTH(A133)</f>
        <v>5</v>
      </c>
      <c r="U133" s="37" t="b">
        <f aca="false">OR(C133="Workday",C133="Eve")</f>
        <v>1</v>
      </c>
      <c r="V133" s="34" t="n">
        <f aca="false">IF(C133="Eve",Settings!$B$8,Settings!$B$7)</f>
        <v>0.6875</v>
      </c>
      <c r="W133" s="14" t="n">
        <f aca="false">IF(U133,(V133-Settings!$B$6)*24,0)</f>
        <v>8.5</v>
      </c>
    </row>
    <row r="134" customFormat="false" ht="15" hidden="false" customHeight="false" outlineLevel="0" collapsed="false">
      <c r="A134" s="29" t="n">
        <v>46150</v>
      </c>
      <c r="B134" s="30" t="str">
        <f aca="false">CHOOSE(WEEKDAY(A134),"Sun","Mon","Tue","Wed","Thu","Fri","Sat")</f>
        <v>Fri</v>
      </c>
      <c r="C134" s="30" t="str">
        <f aca="false">IF(IFERROR(INDEX(Holidays!$D$5:$D$60,MATCH(A134,Holidays!$A$5:$A$60,0)),"")="Holiday","Holiday",IF(WEEKDAY(A134)&gt;=6,"Weekend",IF(IFERROR(INDEX(Holidays!$D$5:$D$60,MATCH(A134,Holidays!$A$5:$A$60,0)),"")="Eve","Eve","Workday")))</f>
        <v>Weekend</v>
      </c>
      <c r="D134" s="18" t="str">
        <f aca="false">IFERROR(INDEX(Holidays!$C$5:$C$60,MATCH(A134,Holidays!$A$5:$A$60,0)),"")</f>
        <v/>
      </c>
      <c r="E134" s="31"/>
      <c r="F134" s="32"/>
      <c r="G134" s="32"/>
      <c r="H134" s="32"/>
      <c r="I134" s="32"/>
      <c r="J134" s="31"/>
      <c r="K134" s="33" t="str">
        <f aca="false">IF(E134&lt;&gt;"",E134,IF(U134,"Present",IF(C134="Holiday","Holiday","Weekend")))</f>
        <v>Weekend</v>
      </c>
      <c r="L134" s="34" t="str">
        <f aca="false">IF(OR(K134="Present",K134="Manual Work",K134="Partial Vacation",K134="Partial Sick Leave"),IF(ISNUMBER(F134),F134,IF(AND(K134="Present",U134),Settings!$B$6,"")),"")</f>
        <v/>
      </c>
      <c r="M134" s="34" t="str">
        <f aca="false">IF(OR(K134="Present",K134="Manual Work",K134="Partial Vacation",K134="Partial Sick Leave"),IF(ISNUMBER(G134),G134,IF(AND(K134="Present",U134),V134,"")),"")</f>
        <v/>
      </c>
      <c r="N134" s="14" t="n">
        <f aca="false">IF(AND(ISNUMBER(L134),ISNUMBER(M134)),MAX(0,(M134-L134)*24),0)</f>
        <v>0</v>
      </c>
      <c r="O134" s="14" t="n">
        <f aca="false">IF(NOT(U134),0,IF(K134="Vacation",IF(C134="Eve",Settings!$B$9*Settings!$B$11,W134),IF(K134="Partial Vacation",IF(AND(ISNUMBER(H134),ISNUMBER(I134)),MAX(0,(I134-H134)*24),0),0)))</f>
        <v>0</v>
      </c>
      <c r="P134" s="14" t="n">
        <f aca="false">IF(NOT(U134),0,IF(K134="Sick Leave",W134,IF(K134="Partial Sick Leave",IF(AND(ISNUMBER(H134),ISNUMBER(I134)),MAX(0,(I134-H134)*24),0),0)))</f>
        <v>0</v>
      </c>
      <c r="Q134" s="14" t="n">
        <f aca="false">IF(NOT(U134),0,IF(K134="Vacation",IF(C134="Eve",Settings!$B$11,1),IF(K134="Partial Vacation",O134/Settings!$B$9,0)))</f>
        <v>0</v>
      </c>
      <c r="R134" s="14" t="n">
        <f aca="false">IF(NOT(U134),0,IF(K134="Sick Leave",1,IF(K134="Partial Sick Leave",P134/Settings!$B$9,0)))</f>
        <v>0</v>
      </c>
      <c r="S134" s="35" t="str">
        <f aca="false">IF(AND(OR(E134="Vacation",E134="Sick Leave",E134="Partial Vacation",E134="Partial Sick Leave"),NOT(U134)),"Leave not allowed on this day",IF(AND(E134="Manual Work",OR(NOT(ISNUMBER(F134)),NOT(ISNUMBER(G134)))),"Enter start and end",IF(AND(OR(E134="Partial Vacation",E134="Partial Sick Leave"),OR(NOT(ISNUMBER(H134)),NOT(ISNUMBER(I134)))),"Enter leave from and to",IF(AND(ISNUMBER(F134),ISNUMBER(G134),G134&lt;=F134),"End is before start",IF(AND(ISNUMBER(H134),ISNUMBER(I134),I134&lt;=H134),"Leave end is before start",IF(AND(ISNUMBER(F134),ISNUMBER(G134),ISNUMBER(H134),ISNUMBER(I134),F134&lt;I134,H134&lt;G134),"Work and leave hours overlap",IF(AND(E134&lt;&gt;"",WEEKDAY(A134)=7),"Saturday - administrator only","")))))))</f>
        <v/>
      </c>
      <c r="T134" s="36" t="n">
        <f aca="false">MONTH(A134)</f>
        <v>5</v>
      </c>
      <c r="U134" s="37" t="b">
        <f aca="false">OR(C134="Workday",C134="Eve")</f>
        <v>0</v>
      </c>
      <c r="V134" s="34" t="n">
        <f aca="false">IF(C134="Eve",Settings!$B$8,Settings!$B$7)</f>
        <v>0.6875</v>
      </c>
      <c r="W134" s="14" t="n">
        <f aca="false">IF(U134,(V134-Settings!$B$6)*24,0)</f>
        <v>0</v>
      </c>
    </row>
    <row r="135" customFormat="false" ht="15" hidden="false" customHeight="false" outlineLevel="0" collapsed="false">
      <c r="A135" s="29" t="n">
        <v>46151</v>
      </c>
      <c r="B135" s="30" t="str">
        <f aca="false">CHOOSE(WEEKDAY(A135),"Sun","Mon","Tue","Wed","Thu","Fri","Sat")</f>
        <v>Sat</v>
      </c>
      <c r="C135" s="30" t="str">
        <f aca="false">IF(IFERROR(INDEX(Holidays!$D$5:$D$60,MATCH(A135,Holidays!$A$5:$A$60,0)),"")="Holiday","Holiday",IF(WEEKDAY(A135)&gt;=6,"Weekend",IF(IFERROR(INDEX(Holidays!$D$5:$D$60,MATCH(A135,Holidays!$A$5:$A$60,0)),"")="Eve","Eve","Workday")))</f>
        <v>Weekend</v>
      </c>
      <c r="D135" s="18" t="str">
        <f aca="false">IFERROR(INDEX(Holidays!$C$5:$C$60,MATCH(A135,Holidays!$A$5:$A$60,0)),"")</f>
        <v/>
      </c>
      <c r="E135" s="31"/>
      <c r="F135" s="32"/>
      <c r="G135" s="32"/>
      <c r="H135" s="32"/>
      <c r="I135" s="32"/>
      <c r="J135" s="31"/>
      <c r="K135" s="33" t="str">
        <f aca="false">IF(E135&lt;&gt;"",E135,IF(U135,"Present",IF(C135="Holiday","Holiday","Weekend")))</f>
        <v>Weekend</v>
      </c>
      <c r="L135" s="34" t="str">
        <f aca="false">IF(OR(K135="Present",K135="Manual Work",K135="Partial Vacation",K135="Partial Sick Leave"),IF(ISNUMBER(F135),F135,IF(AND(K135="Present",U135),Settings!$B$6,"")),"")</f>
        <v/>
      </c>
      <c r="M135" s="34" t="str">
        <f aca="false">IF(OR(K135="Present",K135="Manual Work",K135="Partial Vacation",K135="Partial Sick Leave"),IF(ISNUMBER(G135),G135,IF(AND(K135="Present",U135),V135,"")),"")</f>
        <v/>
      </c>
      <c r="N135" s="14" t="n">
        <f aca="false">IF(AND(ISNUMBER(L135),ISNUMBER(M135)),MAX(0,(M135-L135)*24),0)</f>
        <v>0</v>
      </c>
      <c r="O135" s="14" t="n">
        <f aca="false">IF(NOT(U135),0,IF(K135="Vacation",IF(C135="Eve",Settings!$B$9*Settings!$B$11,W135),IF(K135="Partial Vacation",IF(AND(ISNUMBER(H135),ISNUMBER(I135)),MAX(0,(I135-H135)*24),0),0)))</f>
        <v>0</v>
      </c>
      <c r="P135" s="14" t="n">
        <f aca="false">IF(NOT(U135),0,IF(K135="Sick Leave",W135,IF(K135="Partial Sick Leave",IF(AND(ISNUMBER(H135),ISNUMBER(I135)),MAX(0,(I135-H135)*24),0),0)))</f>
        <v>0</v>
      </c>
      <c r="Q135" s="14" t="n">
        <f aca="false">IF(NOT(U135),0,IF(K135="Vacation",IF(C135="Eve",Settings!$B$11,1),IF(K135="Partial Vacation",O135/Settings!$B$9,0)))</f>
        <v>0</v>
      </c>
      <c r="R135" s="14" t="n">
        <f aca="false">IF(NOT(U135),0,IF(K135="Sick Leave",1,IF(K135="Partial Sick Leave",P135/Settings!$B$9,0)))</f>
        <v>0</v>
      </c>
      <c r="S135" s="35" t="str">
        <f aca="false">IF(AND(OR(E135="Vacation",E135="Sick Leave",E135="Partial Vacation",E135="Partial Sick Leave"),NOT(U135)),"Leave not allowed on this day",IF(AND(E135="Manual Work",OR(NOT(ISNUMBER(F135)),NOT(ISNUMBER(G135)))),"Enter start and end",IF(AND(OR(E135="Partial Vacation",E135="Partial Sick Leave"),OR(NOT(ISNUMBER(H135)),NOT(ISNUMBER(I135)))),"Enter leave from and to",IF(AND(ISNUMBER(F135),ISNUMBER(G135),G135&lt;=F135),"End is before start",IF(AND(ISNUMBER(H135),ISNUMBER(I135),I135&lt;=H135),"Leave end is before start",IF(AND(ISNUMBER(F135),ISNUMBER(G135),ISNUMBER(H135),ISNUMBER(I135),F135&lt;I135,H135&lt;G135),"Work and leave hours overlap",IF(AND(E135&lt;&gt;"",WEEKDAY(A135)=7),"Saturday - administrator only","")))))))</f>
        <v/>
      </c>
      <c r="T135" s="36" t="n">
        <f aca="false">MONTH(A135)</f>
        <v>5</v>
      </c>
      <c r="U135" s="37" t="b">
        <f aca="false">OR(C135="Workday",C135="Eve")</f>
        <v>0</v>
      </c>
      <c r="V135" s="34" t="n">
        <f aca="false">IF(C135="Eve",Settings!$B$8,Settings!$B$7)</f>
        <v>0.6875</v>
      </c>
      <c r="W135" s="14" t="n">
        <f aca="false">IF(U135,(V135-Settings!$B$6)*24,0)</f>
        <v>0</v>
      </c>
    </row>
    <row r="136" customFormat="false" ht="15" hidden="false" customHeight="false" outlineLevel="0" collapsed="false">
      <c r="A136" s="29" t="n">
        <v>46152</v>
      </c>
      <c r="B136" s="30" t="str">
        <f aca="false">CHOOSE(WEEKDAY(A136),"Sun","Mon","Tue","Wed","Thu","Fri","Sat")</f>
        <v>Sun</v>
      </c>
      <c r="C136" s="30" t="str">
        <f aca="false">IF(IFERROR(INDEX(Holidays!$D$5:$D$60,MATCH(A136,Holidays!$A$5:$A$60,0)),"")="Holiday","Holiday",IF(WEEKDAY(A136)&gt;=6,"Weekend",IF(IFERROR(INDEX(Holidays!$D$5:$D$60,MATCH(A136,Holidays!$A$5:$A$60,0)),"")="Eve","Eve","Workday")))</f>
        <v>Workday</v>
      </c>
      <c r="D136" s="18" t="str">
        <f aca="false">IFERROR(INDEX(Holidays!$C$5:$C$60,MATCH(A136,Holidays!$A$5:$A$60,0)),"")</f>
        <v/>
      </c>
      <c r="E136" s="31"/>
      <c r="F136" s="32"/>
      <c r="G136" s="32"/>
      <c r="H136" s="32"/>
      <c r="I136" s="32"/>
      <c r="J136" s="31"/>
      <c r="K136" s="33" t="str">
        <f aca="false">IF(E136&lt;&gt;"",E136,IF(U136,"Present",IF(C136="Holiday","Holiday","Weekend")))</f>
        <v>Present</v>
      </c>
      <c r="L136" s="34" t="n">
        <f aca="false">IF(OR(K136="Present",K136="Manual Work",K136="Partial Vacation",K136="Partial Sick Leave"),IF(ISNUMBER(F136),F136,IF(AND(K136="Present",U136),Settings!$B$6,"")),"")</f>
        <v>0.333333333333333</v>
      </c>
      <c r="M136" s="34" t="n">
        <f aca="false">IF(OR(K136="Present",K136="Manual Work",K136="Partial Vacation",K136="Partial Sick Leave"),IF(ISNUMBER(G136),G136,IF(AND(K136="Present",U136),V136,"")),"")</f>
        <v>0.6875</v>
      </c>
      <c r="N136" s="14" t="n">
        <f aca="false">IF(AND(ISNUMBER(L136),ISNUMBER(M136)),MAX(0,(M136-L136)*24),0)</f>
        <v>8.5</v>
      </c>
      <c r="O136" s="14" t="n">
        <f aca="false">IF(NOT(U136),0,IF(K136="Vacation",IF(C136="Eve",Settings!$B$9*Settings!$B$11,W136),IF(K136="Partial Vacation",IF(AND(ISNUMBER(H136),ISNUMBER(I136)),MAX(0,(I136-H136)*24),0),0)))</f>
        <v>0</v>
      </c>
      <c r="P136" s="14" t="n">
        <f aca="false">IF(NOT(U136),0,IF(K136="Sick Leave",W136,IF(K136="Partial Sick Leave",IF(AND(ISNUMBER(H136),ISNUMBER(I136)),MAX(0,(I136-H136)*24),0),0)))</f>
        <v>0</v>
      </c>
      <c r="Q136" s="14" t="n">
        <f aca="false">IF(NOT(U136),0,IF(K136="Vacation",IF(C136="Eve",Settings!$B$11,1),IF(K136="Partial Vacation",O136/Settings!$B$9,0)))</f>
        <v>0</v>
      </c>
      <c r="R136" s="14" t="n">
        <f aca="false">IF(NOT(U136),0,IF(K136="Sick Leave",1,IF(K136="Partial Sick Leave",P136/Settings!$B$9,0)))</f>
        <v>0</v>
      </c>
      <c r="S136" s="35" t="str">
        <f aca="false">IF(AND(OR(E136="Vacation",E136="Sick Leave",E136="Partial Vacation",E136="Partial Sick Leave"),NOT(U136)),"Leave not allowed on this day",IF(AND(E136="Manual Work",OR(NOT(ISNUMBER(F136)),NOT(ISNUMBER(G136)))),"Enter start and end",IF(AND(OR(E136="Partial Vacation",E136="Partial Sick Leave"),OR(NOT(ISNUMBER(H136)),NOT(ISNUMBER(I136)))),"Enter leave from and to",IF(AND(ISNUMBER(F136),ISNUMBER(G136),G136&lt;=F136),"End is before start",IF(AND(ISNUMBER(H136),ISNUMBER(I136),I136&lt;=H136),"Leave end is before start",IF(AND(ISNUMBER(F136),ISNUMBER(G136),ISNUMBER(H136),ISNUMBER(I136),F136&lt;I136,H136&lt;G136),"Work and leave hours overlap",IF(AND(E136&lt;&gt;"",WEEKDAY(A136)=7),"Saturday - administrator only","")))))))</f>
        <v/>
      </c>
      <c r="T136" s="36" t="n">
        <f aca="false">MONTH(A136)</f>
        <v>5</v>
      </c>
      <c r="U136" s="37" t="b">
        <f aca="false">OR(C136="Workday",C136="Eve")</f>
        <v>1</v>
      </c>
      <c r="V136" s="34" t="n">
        <f aca="false">IF(C136="Eve",Settings!$B$8,Settings!$B$7)</f>
        <v>0.6875</v>
      </c>
      <c r="W136" s="14" t="n">
        <f aca="false">IF(U136,(V136-Settings!$B$6)*24,0)</f>
        <v>8.5</v>
      </c>
    </row>
    <row r="137" customFormat="false" ht="15" hidden="false" customHeight="false" outlineLevel="0" collapsed="false">
      <c r="A137" s="29" t="n">
        <v>46153</v>
      </c>
      <c r="B137" s="30" t="str">
        <f aca="false">CHOOSE(WEEKDAY(A137),"Sun","Mon","Tue","Wed","Thu","Fri","Sat")</f>
        <v>Mon</v>
      </c>
      <c r="C137" s="30" t="str">
        <f aca="false">IF(IFERROR(INDEX(Holidays!$D$5:$D$60,MATCH(A137,Holidays!$A$5:$A$60,0)),"")="Holiday","Holiday",IF(WEEKDAY(A137)&gt;=6,"Weekend",IF(IFERROR(INDEX(Holidays!$D$5:$D$60,MATCH(A137,Holidays!$A$5:$A$60,0)),"")="Eve","Eve","Workday")))</f>
        <v>Workday</v>
      </c>
      <c r="D137" s="18" t="str">
        <f aca="false">IFERROR(INDEX(Holidays!$C$5:$C$60,MATCH(A137,Holidays!$A$5:$A$60,0)),"")</f>
        <v/>
      </c>
      <c r="E137" s="31"/>
      <c r="F137" s="32"/>
      <c r="G137" s="32"/>
      <c r="H137" s="32"/>
      <c r="I137" s="32"/>
      <c r="J137" s="31"/>
      <c r="K137" s="33" t="str">
        <f aca="false">IF(E137&lt;&gt;"",E137,IF(U137,"Present",IF(C137="Holiday","Holiday","Weekend")))</f>
        <v>Present</v>
      </c>
      <c r="L137" s="34" t="n">
        <f aca="false">IF(OR(K137="Present",K137="Manual Work",K137="Partial Vacation",K137="Partial Sick Leave"),IF(ISNUMBER(F137),F137,IF(AND(K137="Present",U137),Settings!$B$6,"")),"")</f>
        <v>0.333333333333333</v>
      </c>
      <c r="M137" s="34" t="n">
        <f aca="false">IF(OR(K137="Present",K137="Manual Work",K137="Partial Vacation",K137="Partial Sick Leave"),IF(ISNUMBER(G137),G137,IF(AND(K137="Present",U137),V137,"")),"")</f>
        <v>0.6875</v>
      </c>
      <c r="N137" s="14" t="n">
        <f aca="false">IF(AND(ISNUMBER(L137),ISNUMBER(M137)),MAX(0,(M137-L137)*24),0)</f>
        <v>8.5</v>
      </c>
      <c r="O137" s="14" t="n">
        <f aca="false">IF(NOT(U137),0,IF(K137="Vacation",IF(C137="Eve",Settings!$B$9*Settings!$B$11,W137),IF(K137="Partial Vacation",IF(AND(ISNUMBER(H137),ISNUMBER(I137)),MAX(0,(I137-H137)*24),0),0)))</f>
        <v>0</v>
      </c>
      <c r="P137" s="14" t="n">
        <f aca="false">IF(NOT(U137),0,IF(K137="Sick Leave",W137,IF(K137="Partial Sick Leave",IF(AND(ISNUMBER(H137),ISNUMBER(I137)),MAX(0,(I137-H137)*24),0),0)))</f>
        <v>0</v>
      </c>
      <c r="Q137" s="14" t="n">
        <f aca="false">IF(NOT(U137),0,IF(K137="Vacation",IF(C137="Eve",Settings!$B$11,1),IF(K137="Partial Vacation",O137/Settings!$B$9,0)))</f>
        <v>0</v>
      </c>
      <c r="R137" s="14" t="n">
        <f aca="false">IF(NOT(U137),0,IF(K137="Sick Leave",1,IF(K137="Partial Sick Leave",P137/Settings!$B$9,0)))</f>
        <v>0</v>
      </c>
      <c r="S137" s="35" t="str">
        <f aca="false">IF(AND(OR(E137="Vacation",E137="Sick Leave",E137="Partial Vacation",E137="Partial Sick Leave"),NOT(U137)),"Leave not allowed on this day",IF(AND(E137="Manual Work",OR(NOT(ISNUMBER(F137)),NOT(ISNUMBER(G137)))),"Enter start and end",IF(AND(OR(E137="Partial Vacation",E137="Partial Sick Leave"),OR(NOT(ISNUMBER(H137)),NOT(ISNUMBER(I137)))),"Enter leave from and to",IF(AND(ISNUMBER(F137),ISNUMBER(G137),G137&lt;=F137),"End is before start",IF(AND(ISNUMBER(H137),ISNUMBER(I137),I137&lt;=H137),"Leave end is before start",IF(AND(ISNUMBER(F137),ISNUMBER(G137),ISNUMBER(H137),ISNUMBER(I137),F137&lt;I137,H137&lt;G137),"Work and leave hours overlap",IF(AND(E137&lt;&gt;"",WEEKDAY(A137)=7),"Saturday - administrator only","")))))))</f>
        <v/>
      </c>
      <c r="T137" s="36" t="n">
        <f aca="false">MONTH(A137)</f>
        <v>5</v>
      </c>
      <c r="U137" s="37" t="b">
        <f aca="false">OR(C137="Workday",C137="Eve")</f>
        <v>1</v>
      </c>
      <c r="V137" s="34" t="n">
        <f aca="false">IF(C137="Eve",Settings!$B$8,Settings!$B$7)</f>
        <v>0.6875</v>
      </c>
      <c r="W137" s="14" t="n">
        <f aca="false">IF(U137,(V137-Settings!$B$6)*24,0)</f>
        <v>8.5</v>
      </c>
    </row>
    <row r="138" customFormat="false" ht="15" hidden="false" customHeight="false" outlineLevel="0" collapsed="false">
      <c r="A138" s="29" t="n">
        <v>46154</v>
      </c>
      <c r="B138" s="30" t="str">
        <f aca="false">CHOOSE(WEEKDAY(A138),"Sun","Mon","Tue","Wed","Thu","Fri","Sat")</f>
        <v>Tue</v>
      </c>
      <c r="C138" s="30" t="str">
        <f aca="false">IF(IFERROR(INDEX(Holidays!$D$5:$D$60,MATCH(A138,Holidays!$A$5:$A$60,0)),"")="Holiday","Holiday",IF(WEEKDAY(A138)&gt;=6,"Weekend",IF(IFERROR(INDEX(Holidays!$D$5:$D$60,MATCH(A138,Holidays!$A$5:$A$60,0)),"")="Eve","Eve","Workday")))</f>
        <v>Workday</v>
      </c>
      <c r="D138" s="18" t="str">
        <f aca="false">IFERROR(INDEX(Holidays!$C$5:$C$60,MATCH(A138,Holidays!$A$5:$A$60,0)),"")</f>
        <v/>
      </c>
      <c r="E138" s="31"/>
      <c r="F138" s="32"/>
      <c r="G138" s="32"/>
      <c r="H138" s="32"/>
      <c r="I138" s="32"/>
      <c r="J138" s="31"/>
      <c r="K138" s="33" t="str">
        <f aca="false">IF(E138&lt;&gt;"",E138,IF(U138,"Present",IF(C138="Holiday","Holiday","Weekend")))</f>
        <v>Present</v>
      </c>
      <c r="L138" s="34" t="n">
        <f aca="false">IF(OR(K138="Present",K138="Manual Work",K138="Partial Vacation",K138="Partial Sick Leave"),IF(ISNUMBER(F138),F138,IF(AND(K138="Present",U138),Settings!$B$6,"")),"")</f>
        <v>0.333333333333333</v>
      </c>
      <c r="M138" s="34" t="n">
        <f aca="false">IF(OR(K138="Present",K138="Manual Work",K138="Partial Vacation",K138="Partial Sick Leave"),IF(ISNUMBER(G138),G138,IF(AND(K138="Present",U138),V138,"")),"")</f>
        <v>0.6875</v>
      </c>
      <c r="N138" s="14" t="n">
        <f aca="false">IF(AND(ISNUMBER(L138),ISNUMBER(M138)),MAX(0,(M138-L138)*24),0)</f>
        <v>8.5</v>
      </c>
      <c r="O138" s="14" t="n">
        <f aca="false">IF(NOT(U138),0,IF(K138="Vacation",IF(C138="Eve",Settings!$B$9*Settings!$B$11,W138),IF(K138="Partial Vacation",IF(AND(ISNUMBER(H138),ISNUMBER(I138)),MAX(0,(I138-H138)*24),0),0)))</f>
        <v>0</v>
      </c>
      <c r="P138" s="14" t="n">
        <f aca="false">IF(NOT(U138),0,IF(K138="Sick Leave",W138,IF(K138="Partial Sick Leave",IF(AND(ISNUMBER(H138),ISNUMBER(I138)),MAX(0,(I138-H138)*24),0),0)))</f>
        <v>0</v>
      </c>
      <c r="Q138" s="14" t="n">
        <f aca="false">IF(NOT(U138),0,IF(K138="Vacation",IF(C138="Eve",Settings!$B$11,1),IF(K138="Partial Vacation",O138/Settings!$B$9,0)))</f>
        <v>0</v>
      </c>
      <c r="R138" s="14" t="n">
        <f aca="false">IF(NOT(U138),0,IF(K138="Sick Leave",1,IF(K138="Partial Sick Leave",P138/Settings!$B$9,0)))</f>
        <v>0</v>
      </c>
      <c r="S138" s="35" t="str">
        <f aca="false">IF(AND(OR(E138="Vacation",E138="Sick Leave",E138="Partial Vacation",E138="Partial Sick Leave"),NOT(U138)),"Leave not allowed on this day",IF(AND(E138="Manual Work",OR(NOT(ISNUMBER(F138)),NOT(ISNUMBER(G138)))),"Enter start and end",IF(AND(OR(E138="Partial Vacation",E138="Partial Sick Leave"),OR(NOT(ISNUMBER(H138)),NOT(ISNUMBER(I138)))),"Enter leave from and to",IF(AND(ISNUMBER(F138),ISNUMBER(G138),G138&lt;=F138),"End is before start",IF(AND(ISNUMBER(H138),ISNUMBER(I138),I138&lt;=H138),"Leave end is before start",IF(AND(ISNUMBER(F138),ISNUMBER(G138),ISNUMBER(H138),ISNUMBER(I138),F138&lt;I138,H138&lt;G138),"Work and leave hours overlap",IF(AND(E138&lt;&gt;"",WEEKDAY(A138)=7),"Saturday - administrator only","")))))))</f>
        <v/>
      </c>
      <c r="T138" s="36" t="n">
        <f aca="false">MONTH(A138)</f>
        <v>5</v>
      </c>
      <c r="U138" s="37" t="b">
        <f aca="false">OR(C138="Workday",C138="Eve")</f>
        <v>1</v>
      </c>
      <c r="V138" s="34" t="n">
        <f aca="false">IF(C138="Eve",Settings!$B$8,Settings!$B$7)</f>
        <v>0.6875</v>
      </c>
      <c r="W138" s="14" t="n">
        <f aca="false">IF(U138,(V138-Settings!$B$6)*24,0)</f>
        <v>8.5</v>
      </c>
    </row>
    <row r="139" customFormat="false" ht="15" hidden="false" customHeight="false" outlineLevel="0" collapsed="false">
      <c r="A139" s="29" t="n">
        <v>46155</v>
      </c>
      <c r="B139" s="30" t="str">
        <f aca="false">CHOOSE(WEEKDAY(A139),"Sun","Mon","Tue","Wed","Thu","Fri","Sat")</f>
        <v>Wed</v>
      </c>
      <c r="C139" s="30" t="str">
        <f aca="false">IF(IFERROR(INDEX(Holidays!$D$5:$D$60,MATCH(A139,Holidays!$A$5:$A$60,0)),"")="Holiday","Holiday",IF(WEEKDAY(A139)&gt;=6,"Weekend",IF(IFERROR(INDEX(Holidays!$D$5:$D$60,MATCH(A139,Holidays!$A$5:$A$60,0)),"")="Eve","Eve","Workday")))</f>
        <v>Workday</v>
      </c>
      <c r="D139" s="18" t="str">
        <f aca="false">IFERROR(INDEX(Holidays!$C$5:$C$60,MATCH(A139,Holidays!$A$5:$A$60,0)),"")</f>
        <v/>
      </c>
      <c r="E139" s="31"/>
      <c r="F139" s="32"/>
      <c r="G139" s="32"/>
      <c r="H139" s="32"/>
      <c r="I139" s="32"/>
      <c r="J139" s="31"/>
      <c r="K139" s="33" t="str">
        <f aca="false">IF(E139&lt;&gt;"",E139,IF(U139,"Present",IF(C139="Holiday","Holiday","Weekend")))</f>
        <v>Present</v>
      </c>
      <c r="L139" s="34" t="n">
        <f aca="false">IF(OR(K139="Present",K139="Manual Work",K139="Partial Vacation",K139="Partial Sick Leave"),IF(ISNUMBER(F139),F139,IF(AND(K139="Present",U139),Settings!$B$6,"")),"")</f>
        <v>0.333333333333333</v>
      </c>
      <c r="M139" s="34" t="n">
        <f aca="false">IF(OR(K139="Present",K139="Manual Work",K139="Partial Vacation",K139="Partial Sick Leave"),IF(ISNUMBER(G139),G139,IF(AND(K139="Present",U139),V139,"")),"")</f>
        <v>0.6875</v>
      </c>
      <c r="N139" s="14" t="n">
        <f aca="false">IF(AND(ISNUMBER(L139),ISNUMBER(M139)),MAX(0,(M139-L139)*24),0)</f>
        <v>8.5</v>
      </c>
      <c r="O139" s="14" t="n">
        <f aca="false">IF(NOT(U139),0,IF(K139="Vacation",IF(C139="Eve",Settings!$B$9*Settings!$B$11,W139),IF(K139="Partial Vacation",IF(AND(ISNUMBER(H139),ISNUMBER(I139)),MAX(0,(I139-H139)*24),0),0)))</f>
        <v>0</v>
      </c>
      <c r="P139" s="14" t="n">
        <f aca="false">IF(NOT(U139),0,IF(K139="Sick Leave",W139,IF(K139="Partial Sick Leave",IF(AND(ISNUMBER(H139),ISNUMBER(I139)),MAX(0,(I139-H139)*24),0),0)))</f>
        <v>0</v>
      </c>
      <c r="Q139" s="14" t="n">
        <f aca="false">IF(NOT(U139),0,IF(K139="Vacation",IF(C139="Eve",Settings!$B$11,1),IF(K139="Partial Vacation",O139/Settings!$B$9,0)))</f>
        <v>0</v>
      </c>
      <c r="R139" s="14" t="n">
        <f aca="false">IF(NOT(U139),0,IF(K139="Sick Leave",1,IF(K139="Partial Sick Leave",P139/Settings!$B$9,0)))</f>
        <v>0</v>
      </c>
      <c r="S139" s="35" t="str">
        <f aca="false">IF(AND(OR(E139="Vacation",E139="Sick Leave",E139="Partial Vacation",E139="Partial Sick Leave"),NOT(U139)),"Leave not allowed on this day",IF(AND(E139="Manual Work",OR(NOT(ISNUMBER(F139)),NOT(ISNUMBER(G139)))),"Enter start and end",IF(AND(OR(E139="Partial Vacation",E139="Partial Sick Leave"),OR(NOT(ISNUMBER(H139)),NOT(ISNUMBER(I139)))),"Enter leave from and to",IF(AND(ISNUMBER(F139),ISNUMBER(G139),G139&lt;=F139),"End is before start",IF(AND(ISNUMBER(H139),ISNUMBER(I139),I139&lt;=H139),"Leave end is before start",IF(AND(ISNUMBER(F139),ISNUMBER(G139),ISNUMBER(H139),ISNUMBER(I139),F139&lt;I139,H139&lt;G139),"Work and leave hours overlap",IF(AND(E139&lt;&gt;"",WEEKDAY(A139)=7),"Saturday - administrator only","")))))))</f>
        <v/>
      </c>
      <c r="T139" s="36" t="n">
        <f aca="false">MONTH(A139)</f>
        <v>5</v>
      </c>
      <c r="U139" s="37" t="b">
        <f aca="false">OR(C139="Workday",C139="Eve")</f>
        <v>1</v>
      </c>
      <c r="V139" s="34" t="n">
        <f aca="false">IF(C139="Eve",Settings!$B$8,Settings!$B$7)</f>
        <v>0.6875</v>
      </c>
      <c r="W139" s="14" t="n">
        <f aca="false">IF(U139,(V139-Settings!$B$6)*24,0)</f>
        <v>8.5</v>
      </c>
    </row>
    <row r="140" customFormat="false" ht="15" hidden="false" customHeight="false" outlineLevel="0" collapsed="false">
      <c r="A140" s="29" t="n">
        <v>46156</v>
      </c>
      <c r="B140" s="30" t="str">
        <f aca="false">CHOOSE(WEEKDAY(A140),"Sun","Mon","Tue","Wed","Thu","Fri","Sat")</f>
        <v>Thu</v>
      </c>
      <c r="C140" s="30" t="str">
        <f aca="false">IF(IFERROR(INDEX(Holidays!$D$5:$D$60,MATCH(A140,Holidays!$A$5:$A$60,0)),"")="Holiday","Holiday",IF(WEEKDAY(A140)&gt;=6,"Weekend",IF(IFERROR(INDEX(Holidays!$D$5:$D$60,MATCH(A140,Holidays!$A$5:$A$60,0)),"")="Eve","Eve","Workday")))</f>
        <v>Workday</v>
      </c>
      <c r="D140" s="18" t="str">
        <f aca="false">IFERROR(INDEX(Holidays!$C$5:$C$60,MATCH(A140,Holidays!$A$5:$A$60,0)),"")</f>
        <v/>
      </c>
      <c r="E140" s="31"/>
      <c r="F140" s="32"/>
      <c r="G140" s="32"/>
      <c r="H140" s="32"/>
      <c r="I140" s="32"/>
      <c r="J140" s="31"/>
      <c r="K140" s="33" t="str">
        <f aca="false">IF(E140&lt;&gt;"",E140,IF(U140,"Present",IF(C140="Holiday","Holiday","Weekend")))</f>
        <v>Present</v>
      </c>
      <c r="L140" s="34" t="n">
        <f aca="false">IF(OR(K140="Present",K140="Manual Work",K140="Partial Vacation",K140="Partial Sick Leave"),IF(ISNUMBER(F140),F140,IF(AND(K140="Present",U140),Settings!$B$6,"")),"")</f>
        <v>0.333333333333333</v>
      </c>
      <c r="M140" s="34" t="n">
        <f aca="false">IF(OR(K140="Present",K140="Manual Work",K140="Partial Vacation",K140="Partial Sick Leave"),IF(ISNUMBER(G140),G140,IF(AND(K140="Present",U140),V140,"")),"")</f>
        <v>0.6875</v>
      </c>
      <c r="N140" s="14" t="n">
        <f aca="false">IF(AND(ISNUMBER(L140),ISNUMBER(M140)),MAX(0,(M140-L140)*24),0)</f>
        <v>8.5</v>
      </c>
      <c r="O140" s="14" t="n">
        <f aca="false">IF(NOT(U140),0,IF(K140="Vacation",IF(C140="Eve",Settings!$B$9*Settings!$B$11,W140),IF(K140="Partial Vacation",IF(AND(ISNUMBER(H140),ISNUMBER(I140)),MAX(0,(I140-H140)*24),0),0)))</f>
        <v>0</v>
      </c>
      <c r="P140" s="14" t="n">
        <f aca="false">IF(NOT(U140),0,IF(K140="Sick Leave",W140,IF(K140="Partial Sick Leave",IF(AND(ISNUMBER(H140),ISNUMBER(I140)),MAX(0,(I140-H140)*24),0),0)))</f>
        <v>0</v>
      </c>
      <c r="Q140" s="14" t="n">
        <f aca="false">IF(NOT(U140),0,IF(K140="Vacation",IF(C140="Eve",Settings!$B$11,1),IF(K140="Partial Vacation",O140/Settings!$B$9,0)))</f>
        <v>0</v>
      </c>
      <c r="R140" s="14" t="n">
        <f aca="false">IF(NOT(U140),0,IF(K140="Sick Leave",1,IF(K140="Partial Sick Leave",P140/Settings!$B$9,0)))</f>
        <v>0</v>
      </c>
      <c r="S140" s="35" t="str">
        <f aca="false">IF(AND(OR(E140="Vacation",E140="Sick Leave",E140="Partial Vacation",E140="Partial Sick Leave"),NOT(U140)),"Leave not allowed on this day",IF(AND(E140="Manual Work",OR(NOT(ISNUMBER(F140)),NOT(ISNUMBER(G140)))),"Enter start and end",IF(AND(OR(E140="Partial Vacation",E140="Partial Sick Leave"),OR(NOT(ISNUMBER(H140)),NOT(ISNUMBER(I140)))),"Enter leave from and to",IF(AND(ISNUMBER(F140),ISNUMBER(G140),G140&lt;=F140),"End is before start",IF(AND(ISNUMBER(H140),ISNUMBER(I140),I140&lt;=H140),"Leave end is before start",IF(AND(ISNUMBER(F140),ISNUMBER(G140),ISNUMBER(H140),ISNUMBER(I140),F140&lt;I140,H140&lt;G140),"Work and leave hours overlap",IF(AND(E140&lt;&gt;"",WEEKDAY(A140)=7),"Saturday - administrator only","")))))))</f>
        <v/>
      </c>
      <c r="T140" s="36" t="n">
        <f aca="false">MONTH(A140)</f>
        <v>5</v>
      </c>
      <c r="U140" s="37" t="b">
        <f aca="false">OR(C140="Workday",C140="Eve")</f>
        <v>1</v>
      </c>
      <c r="V140" s="34" t="n">
        <f aca="false">IF(C140="Eve",Settings!$B$8,Settings!$B$7)</f>
        <v>0.6875</v>
      </c>
      <c r="W140" s="14" t="n">
        <f aca="false">IF(U140,(V140-Settings!$B$6)*24,0)</f>
        <v>8.5</v>
      </c>
    </row>
    <row r="141" customFormat="false" ht="15" hidden="false" customHeight="false" outlineLevel="0" collapsed="false">
      <c r="A141" s="29" t="n">
        <v>46157</v>
      </c>
      <c r="B141" s="30" t="str">
        <f aca="false">CHOOSE(WEEKDAY(A141),"Sun","Mon","Tue","Wed","Thu","Fri","Sat")</f>
        <v>Fri</v>
      </c>
      <c r="C141" s="30" t="str">
        <f aca="false">IF(IFERROR(INDEX(Holidays!$D$5:$D$60,MATCH(A141,Holidays!$A$5:$A$60,0)),"")="Holiday","Holiday",IF(WEEKDAY(A141)&gt;=6,"Weekend",IF(IFERROR(INDEX(Holidays!$D$5:$D$60,MATCH(A141,Holidays!$A$5:$A$60,0)),"")="Eve","Eve","Workday")))</f>
        <v>Weekend</v>
      </c>
      <c r="D141" s="18" t="str">
        <f aca="false">IFERROR(INDEX(Holidays!$C$5:$C$60,MATCH(A141,Holidays!$A$5:$A$60,0)),"")</f>
        <v/>
      </c>
      <c r="E141" s="31"/>
      <c r="F141" s="32"/>
      <c r="G141" s="32"/>
      <c r="H141" s="32"/>
      <c r="I141" s="32"/>
      <c r="J141" s="31"/>
      <c r="K141" s="33" t="str">
        <f aca="false">IF(E141&lt;&gt;"",E141,IF(U141,"Present",IF(C141="Holiday","Holiday","Weekend")))</f>
        <v>Weekend</v>
      </c>
      <c r="L141" s="34" t="str">
        <f aca="false">IF(OR(K141="Present",K141="Manual Work",K141="Partial Vacation",K141="Partial Sick Leave"),IF(ISNUMBER(F141),F141,IF(AND(K141="Present",U141),Settings!$B$6,"")),"")</f>
        <v/>
      </c>
      <c r="M141" s="34" t="str">
        <f aca="false">IF(OR(K141="Present",K141="Manual Work",K141="Partial Vacation",K141="Partial Sick Leave"),IF(ISNUMBER(G141),G141,IF(AND(K141="Present",U141),V141,"")),"")</f>
        <v/>
      </c>
      <c r="N141" s="14" t="n">
        <f aca="false">IF(AND(ISNUMBER(L141),ISNUMBER(M141)),MAX(0,(M141-L141)*24),0)</f>
        <v>0</v>
      </c>
      <c r="O141" s="14" t="n">
        <f aca="false">IF(NOT(U141),0,IF(K141="Vacation",IF(C141="Eve",Settings!$B$9*Settings!$B$11,W141),IF(K141="Partial Vacation",IF(AND(ISNUMBER(H141),ISNUMBER(I141)),MAX(0,(I141-H141)*24),0),0)))</f>
        <v>0</v>
      </c>
      <c r="P141" s="14" t="n">
        <f aca="false">IF(NOT(U141),0,IF(K141="Sick Leave",W141,IF(K141="Partial Sick Leave",IF(AND(ISNUMBER(H141),ISNUMBER(I141)),MAX(0,(I141-H141)*24),0),0)))</f>
        <v>0</v>
      </c>
      <c r="Q141" s="14" t="n">
        <f aca="false">IF(NOT(U141),0,IF(K141="Vacation",IF(C141="Eve",Settings!$B$11,1),IF(K141="Partial Vacation",O141/Settings!$B$9,0)))</f>
        <v>0</v>
      </c>
      <c r="R141" s="14" t="n">
        <f aca="false">IF(NOT(U141),0,IF(K141="Sick Leave",1,IF(K141="Partial Sick Leave",P141/Settings!$B$9,0)))</f>
        <v>0</v>
      </c>
      <c r="S141" s="35" t="str">
        <f aca="false">IF(AND(OR(E141="Vacation",E141="Sick Leave",E141="Partial Vacation",E141="Partial Sick Leave"),NOT(U141)),"Leave not allowed on this day",IF(AND(E141="Manual Work",OR(NOT(ISNUMBER(F141)),NOT(ISNUMBER(G141)))),"Enter start and end",IF(AND(OR(E141="Partial Vacation",E141="Partial Sick Leave"),OR(NOT(ISNUMBER(H141)),NOT(ISNUMBER(I141)))),"Enter leave from and to",IF(AND(ISNUMBER(F141),ISNUMBER(G141),G141&lt;=F141),"End is before start",IF(AND(ISNUMBER(H141),ISNUMBER(I141),I141&lt;=H141),"Leave end is before start",IF(AND(ISNUMBER(F141),ISNUMBER(G141),ISNUMBER(H141),ISNUMBER(I141),F141&lt;I141,H141&lt;G141),"Work and leave hours overlap",IF(AND(E141&lt;&gt;"",WEEKDAY(A141)=7),"Saturday - administrator only","")))))))</f>
        <v/>
      </c>
      <c r="T141" s="36" t="n">
        <f aca="false">MONTH(A141)</f>
        <v>5</v>
      </c>
      <c r="U141" s="37" t="b">
        <f aca="false">OR(C141="Workday",C141="Eve")</f>
        <v>0</v>
      </c>
      <c r="V141" s="34" t="n">
        <f aca="false">IF(C141="Eve",Settings!$B$8,Settings!$B$7)</f>
        <v>0.6875</v>
      </c>
      <c r="W141" s="14" t="n">
        <f aca="false">IF(U141,(V141-Settings!$B$6)*24,0)</f>
        <v>0</v>
      </c>
    </row>
    <row r="142" customFormat="false" ht="15" hidden="false" customHeight="false" outlineLevel="0" collapsed="false">
      <c r="A142" s="29" t="n">
        <v>46158</v>
      </c>
      <c r="B142" s="30" t="str">
        <f aca="false">CHOOSE(WEEKDAY(A142),"Sun","Mon","Tue","Wed","Thu","Fri","Sat")</f>
        <v>Sat</v>
      </c>
      <c r="C142" s="30" t="str">
        <f aca="false">IF(IFERROR(INDEX(Holidays!$D$5:$D$60,MATCH(A142,Holidays!$A$5:$A$60,0)),"")="Holiday","Holiday",IF(WEEKDAY(A142)&gt;=6,"Weekend",IF(IFERROR(INDEX(Holidays!$D$5:$D$60,MATCH(A142,Holidays!$A$5:$A$60,0)),"")="Eve","Eve","Workday")))</f>
        <v>Weekend</v>
      </c>
      <c r="D142" s="18" t="str">
        <f aca="false">IFERROR(INDEX(Holidays!$C$5:$C$60,MATCH(A142,Holidays!$A$5:$A$60,0)),"")</f>
        <v/>
      </c>
      <c r="E142" s="31"/>
      <c r="F142" s="32"/>
      <c r="G142" s="32"/>
      <c r="H142" s="32"/>
      <c r="I142" s="32"/>
      <c r="J142" s="31"/>
      <c r="K142" s="33" t="str">
        <f aca="false">IF(E142&lt;&gt;"",E142,IF(U142,"Present",IF(C142="Holiday","Holiday","Weekend")))</f>
        <v>Weekend</v>
      </c>
      <c r="L142" s="34" t="str">
        <f aca="false">IF(OR(K142="Present",K142="Manual Work",K142="Partial Vacation",K142="Partial Sick Leave"),IF(ISNUMBER(F142),F142,IF(AND(K142="Present",U142),Settings!$B$6,"")),"")</f>
        <v/>
      </c>
      <c r="M142" s="34" t="str">
        <f aca="false">IF(OR(K142="Present",K142="Manual Work",K142="Partial Vacation",K142="Partial Sick Leave"),IF(ISNUMBER(G142),G142,IF(AND(K142="Present",U142),V142,"")),"")</f>
        <v/>
      </c>
      <c r="N142" s="14" t="n">
        <f aca="false">IF(AND(ISNUMBER(L142),ISNUMBER(M142)),MAX(0,(M142-L142)*24),0)</f>
        <v>0</v>
      </c>
      <c r="O142" s="14" t="n">
        <f aca="false">IF(NOT(U142),0,IF(K142="Vacation",IF(C142="Eve",Settings!$B$9*Settings!$B$11,W142),IF(K142="Partial Vacation",IF(AND(ISNUMBER(H142),ISNUMBER(I142)),MAX(0,(I142-H142)*24),0),0)))</f>
        <v>0</v>
      </c>
      <c r="P142" s="14" t="n">
        <f aca="false">IF(NOT(U142),0,IF(K142="Sick Leave",W142,IF(K142="Partial Sick Leave",IF(AND(ISNUMBER(H142),ISNUMBER(I142)),MAX(0,(I142-H142)*24),0),0)))</f>
        <v>0</v>
      </c>
      <c r="Q142" s="14" t="n">
        <f aca="false">IF(NOT(U142),0,IF(K142="Vacation",IF(C142="Eve",Settings!$B$11,1),IF(K142="Partial Vacation",O142/Settings!$B$9,0)))</f>
        <v>0</v>
      </c>
      <c r="R142" s="14" t="n">
        <f aca="false">IF(NOT(U142),0,IF(K142="Sick Leave",1,IF(K142="Partial Sick Leave",P142/Settings!$B$9,0)))</f>
        <v>0</v>
      </c>
      <c r="S142" s="35" t="str">
        <f aca="false">IF(AND(OR(E142="Vacation",E142="Sick Leave",E142="Partial Vacation",E142="Partial Sick Leave"),NOT(U142)),"Leave not allowed on this day",IF(AND(E142="Manual Work",OR(NOT(ISNUMBER(F142)),NOT(ISNUMBER(G142)))),"Enter start and end",IF(AND(OR(E142="Partial Vacation",E142="Partial Sick Leave"),OR(NOT(ISNUMBER(H142)),NOT(ISNUMBER(I142)))),"Enter leave from and to",IF(AND(ISNUMBER(F142),ISNUMBER(G142),G142&lt;=F142),"End is before start",IF(AND(ISNUMBER(H142),ISNUMBER(I142),I142&lt;=H142),"Leave end is before start",IF(AND(ISNUMBER(F142),ISNUMBER(G142),ISNUMBER(H142),ISNUMBER(I142),F142&lt;I142,H142&lt;G142),"Work and leave hours overlap",IF(AND(E142&lt;&gt;"",WEEKDAY(A142)=7),"Saturday - administrator only","")))))))</f>
        <v/>
      </c>
      <c r="T142" s="36" t="n">
        <f aca="false">MONTH(A142)</f>
        <v>5</v>
      </c>
      <c r="U142" s="37" t="b">
        <f aca="false">OR(C142="Workday",C142="Eve")</f>
        <v>0</v>
      </c>
      <c r="V142" s="34" t="n">
        <f aca="false">IF(C142="Eve",Settings!$B$8,Settings!$B$7)</f>
        <v>0.6875</v>
      </c>
      <c r="W142" s="14" t="n">
        <f aca="false">IF(U142,(V142-Settings!$B$6)*24,0)</f>
        <v>0</v>
      </c>
    </row>
    <row r="143" customFormat="false" ht="15" hidden="false" customHeight="false" outlineLevel="0" collapsed="false">
      <c r="A143" s="29" t="n">
        <v>46159</v>
      </c>
      <c r="B143" s="30" t="str">
        <f aca="false">CHOOSE(WEEKDAY(A143),"Sun","Mon","Tue","Wed","Thu","Fri","Sat")</f>
        <v>Sun</v>
      </c>
      <c r="C143" s="30" t="str">
        <f aca="false">IF(IFERROR(INDEX(Holidays!$D$5:$D$60,MATCH(A143,Holidays!$A$5:$A$60,0)),"")="Holiday","Holiday",IF(WEEKDAY(A143)&gt;=6,"Weekend",IF(IFERROR(INDEX(Holidays!$D$5:$D$60,MATCH(A143,Holidays!$A$5:$A$60,0)),"")="Eve","Eve","Workday")))</f>
        <v>Workday</v>
      </c>
      <c r="D143" s="18" t="str">
        <f aca="false">IFERROR(INDEX(Holidays!$C$5:$C$60,MATCH(A143,Holidays!$A$5:$A$60,0)),"")</f>
        <v/>
      </c>
      <c r="E143" s="31"/>
      <c r="F143" s="32"/>
      <c r="G143" s="32"/>
      <c r="H143" s="32"/>
      <c r="I143" s="32"/>
      <c r="J143" s="31"/>
      <c r="K143" s="33" t="str">
        <f aca="false">IF(E143&lt;&gt;"",E143,IF(U143,"Present",IF(C143="Holiday","Holiday","Weekend")))</f>
        <v>Present</v>
      </c>
      <c r="L143" s="34" t="n">
        <f aca="false">IF(OR(K143="Present",K143="Manual Work",K143="Partial Vacation",K143="Partial Sick Leave"),IF(ISNUMBER(F143),F143,IF(AND(K143="Present",U143),Settings!$B$6,"")),"")</f>
        <v>0.333333333333333</v>
      </c>
      <c r="M143" s="34" t="n">
        <f aca="false">IF(OR(K143="Present",K143="Manual Work",K143="Partial Vacation",K143="Partial Sick Leave"),IF(ISNUMBER(G143),G143,IF(AND(K143="Present",U143),V143,"")),"")</f>
        <v>0.6875</v>
      </c>
      <c r="N143" s="14" t="n">
        <f aca="false">IF(AND(ISNUMBER(L143),ISNUMBER(M143)),MAX(0,(M143-L143)*24),0)</f>
        <v>8.5</v>
      </c>
      <c r="O143" s="14" t="n">
        <f aca="false">IF(NOT(U143),0,IF(K143="Vacation",IF(C143="Eve",Settings!$B$9*Settings!$B$11,W143),IF(K143="Partial Vacation",IF(AND(ISNUMBER(H143),ISNUMBER(I143)),MAX(0,(I143-H143)*24),0),0)))</f>
        <v>0</v>
      </c>
      <c r="P143" s="14" t="n">
        <f aca="false">IF(NOT(U143),0,IF(K143="Sick Leave",W143,IF(K143="Partial Sick Leave",IF(AND(ISNUMBER(H143),ISNUMBER(I143)),MAX(0,(I143-H143)*24),0),0)))</f>
        <v>0</v>
      </c>
      <c r="Q143" s="14" t="n">
        <f aca="false">IF(NOT(U143),0,IF(K143="Vacation",IF(C143="Eve",Settings!$B$11,1),IF(K143="Partial Vacation",O143/Settings!$B$9,0)))</f>
        <v>0</v>
      </c>
      <c r="R143" s="14" t="n">
        <f aca="false">IF(NOT(U143),0,IF(K143="Sick Leave",1,IF(K143="Partial Sick Leave",P143/Settings!$B$9,0)))</f>
        <v>0</v>
      </c>
      <c r="S143" s="35" t="str">
        <f aca="false">IF(AND(OR(E143="Vacation",E143="Sick Leave",E143="Partial Vacation",E143="Partial Sick Leave"),NOT(U143)),"Leave not allowed on this day",IF(AND(E143="Manual Work",OR(NOT(ISNUMBER(F143)),NOT(ISNUMBER(G143)))),"Enter start and end",IF(AND(OR(E143="Partial Vacation",E143="Partial Sick Leave"),OR(NOT(ISNUMBER(H143)),NOT(ISNUMBER(I143)))),"Enter leave from and to",IF(AND(ISNUMBER(F143),ISNUMBER(G143),G143&lt;=F143),"End is before start",IF(AND(ISNUMBER(H143),ISNUMBER(I143),I143&lt;=H143),"Leave end is before start",IF(AND(ISNUMBER(F143),ISNUMBER(G143),ISNUMBER(H143),ISNUMBER(I143),F143&lt;I143,H143&lt;G143),"Work and leave hours overlap",IF(AND(E143&lt;&gt;"",WEEKDAY(A143)=7),"Saturday - administrator only","")))))))</f>
        <v/>
      </c>
      <c r="T143" s="36" t="n">
        <f aca="false">MONTH(A143)</f>
        <v>5</v>
      </c>
      <c r="U143" s="37" t="b">
        <f aca="false">OR(C143="Workday",C143="Eve")</f>
        <v>1</v>
      </c>
      <c r="V143" s="34" t="n">
        <f aca="false">IF(C143="Eve",Settings!$B$8,Settings!$B$7)</f>
        <v>0.6875</v>
      </c>
      <c r="W143" s="14" t="n">
        <f aca="false">IF(U143,(V143-Settings!$B$6)*24,0)</f>
        <v>8.5</v>
      </c>
    </row>
    <row r="144" customFormat="false" ht="15" hidden="false" customHeight="false" outlineLevel="0" collapsed="false">
      <c r="A144" s="29" t="n">
        <v>46160</v>
      </c>
      <c r="B144" s="30" t="str">
        <f aca="false">CHOOSE(WEEKDAY(A144),"Sun","Mon","Tue","Wed","Thu","Fri","Sat")</f>
        <v>Mon</v>
      </c>
      <c r="C144" s="30" t="str">
        <f aca="false">IF(IFERROR(INDEX(Holidays!$D$5:$D$60,MATCH(A144,Holidays!$A$5:$A$60,0)),"")="Holiday","Holiday",IF(WEEKDAY(A144)&gt;=6,"Weekend",IF(IFERROR(INDEX(Holidays!$D$5:$D$60,MATCH(A144,Holidays!$A$5:$A$60,0)),"")="Eve","Eve","Workday")))</f>
        <v>Workday</v>
      </c>
      <c r="D144" s="18" t="str">
        <f aca="false">IFERROR(INDEX(Holidays!$C$5:$C$60,MATCH(A144,Holidays!$A$5:$A$60,0)),"")</f>
        <v/>
      </c>
      <c r="E144" s="31"/>
      <c r="F144" s="32"/>
      <c r="G144" s="32"/>
      <c r="H144" s="32"/>
      <c r="I144" s="32"/>
      <c r="J144" s="31"/>
      <c r="K144" s="33" t="str">
        <f aca="false">IF(E144&lt;&gt;"",E144,IF(U144,"Present",IF(C144="Holiday","Holiday","Weekend")))</f>
        <v>Present</v>
      </c>
      <c r="L144" s="34" t="n">
        <f aca="false">IF(OR(K144="Present",K144="Manual Work",K144="Partial Vacation",K144="Partial Sick Leave"),IF(ISNUMBER(F144),F144,IF(AND(K144="Present",U144),Settings!$B$6,"")),"")</f>
        <v>0.333333333333333</v>
      </c>
      <c r="M144" s="34" t="n">
        <f aca="false">IF(OR(K144="Present",K144="Manual Work",K144="Partial Vacation",K144="Partial Sick Leave"),IF(ISNUMBER(G144),G144,IF(AND(K144="Present",U144),V144,"")),"")</f>
        <v>0.6875</v>
      </c>
      <c r="N144" s="14" t="n">
        <f aca="false">IF(AND(ISNUMBER(L144),ISNUMBER(M144)),MAX(0,(M144-L144)*24),0)</f>
        <v>8.5</v>
      </c>
      <c r="O144" s="14" t="n">
        <f aca="false">IF(NOT(U144),0,IF(K144="Vacation",IF(C144="Eve",Settings!$B$9*Settings!$B$11,W144),IF(K144="Partial Vacation",IF(AND(ISNUMBER(H144),ISNUMBER(I144)),MAX(0,(I144-H144)*24),0),0)))</f>
        <v>0</v>
      </c>
      <c r="P144" s="14" t="n">
        <f aca="false">IF(NOT(U144),0,IF(K144="Sick Leave",W144,IF(K144="Partial Sick Leave",IF(AND(ISNUMBER(H144),ISNUMBER(I144)),MAX(0,(I144-H144)*24),0),0)))</f>
        <v>0</v>
      </c>
      <c r="Q144" s="14" t="n">
        <f aca="false">IF(NOT(U144),0,IF(K144="Vacation",IF(C144="Eve",Settings!$B$11,1),IF(K144="Partial Vacation",O144/Settings!$B$9,0)))</f>
        <v>0</v>
      </c>
      <c r="R144" s="14" t="n">
        <f aca="false">IF(NOT(U144),0,IF(K144="Sick Leave",1,IF(K144="Partial Sick Leave",P144/Settings!$B$9,0)))</f>
        <v>0</v>
      </c>
      <c r="S144" s="35" t="str">
        <f aca="false">IF(AND(OR(E144="Vacation",E144="Sick Leave",E144="Partial Vacation",E144="Partial Sick Leave"),NOT(U144)),"Leave not allowed on this day",IF(AND(E144="Manual Work",OR(NOT(ISNUMBER(F144)),NOT(ISNUMBER(G144)))),"Enter start and end",IF(AND(OR(E144="Partial Vacation",E144="Partial Sick Leave"),OR(NOT(ISNUMBER(H144)),NOT(ISNUMBER(I144)))),"Enter leave from and to",IF(AND(ISNUMBER(F144),ISNUMBER(G144),G144&lt;=F144),"End is before start",IF(AND(ISNUMBER(H144),ISNUMBER(I144),I144&lt;=H144),"Leave end is before start",IF(AND(ISNUMBER(F144),ISNUMBER(G144),ISNUMBER(H144),ISNUMBER(I144),F144&lt;I144,H144&lt;G144),"Work and leave hours overlap",IF(AND(E144&lt;&gt;"",WEEKDAY(A144)=7),"Saturday - administrator only","")))))))</f>
        <v/>
      </c>
      <c r="T144" s="36" t="n">
        <f aca="false">MONTH(A144)</f>
        <v>5</v>
      </c>
      <c r="U144" s="37" t="b">
        <f aca="false">OR(C144="Workday",C144="Eve")</f>
        <v>1</v>
      </c>
      <c r="V144" s="34" t="n">
        <f aca="false">IF(C144="Eve",Settings!$B$8,Settings!$B$7)</f>
        <v>0.6875</v>
      </c>
      <c r="W144" s="14" t="n">
        <f aca="false">IF(U144,(V144-Settings!$B$6)*24,0)</f>
        <v>8.5</v>
      </c>
    </row>
    <row r="145" customFormat="false" ht="15" hidden="false" customHeight="false" outlineLevel="0" collapsed="false">
      <c r="A145" s="29" t="n">
        <v>46161</v>
      </c>
      <c r="B145" s="30" t="str">
        <f aca="false">CHOOSE(WEEKDAY(A145),"Sun","Mon","Tue","Wed","Thu","Fri","Sat")</f>
        <v>Tue</v>
      </c>
      <c r="C145" s="30" t="str">
        <f aca="false">IF(IFERROR(INDEX(Holidays!$D$5:$D$60,MATCH(A145,Holidays!$A$5:$A$60,0)),"")="Holiday","Holiday",IF(WEEKDAY(A145)&gt;=6,"Weekend",IF(IFERROR(INDEX(Holidays!$D$5:$D$60,MATCH(A145,Holidays!$A$5:$A$60,0)),"")="Eve","Eve","Workday")))</f>
        <v>Workday</v>
      </c>
      <c r="D145" s="18" t="str">
        <f aca="false">IFERROR(INDEX(Holidays!$C$5:$C$60,MATCH(A145,Holidays!$A$5:$A$60,0)),"")</f>
        <v/>
      </c>
      <c r="E145" s="31"/>
      <c r="F145" s="32"/>
      <c r="G145" s="32"/>
      <c r="H145" s="32"/>
      <c r="I145" s="32"/>
      <c r="J145" s="31"/>
      <c r="K145" s="33" t="str">
        <f aca="false">IF(E145&lt;&gt;"",E145,IF(U145,"Present",IF(C145="Holiday","Holiday","Weekend")))</f>
        <v>Present</v>
      </c>
      <c r="L145" s="34" t="n">
        <f aca="false">IF(OR(K145="Present",K145="Manual Work",K145="Partial Vacation",K145="Partial Sick Leave"),IF(ISNUMBER(F145),F145,IF(AND(K145="Present",U145),Settings!$B$6,"")),"")</f>
        <v>0.333333333333333</v>
      </c>
      <c r="M145" s="34" t="n">
        <f aca="false">IF(OR(K145="Present",K145="Manual Work",K145="Partial Vacation",K145="Partial Sick Leave"),IF(ISNUMBER(G145),G145,IF(AND(K145="Present",U145),V145,"")),"")</f>
        <v>0.6875</v>
      </c>
      <c r="N145" s="14" t="n">
        <f aca="false">IF(AND(ISNUMBER(L145),ISNUMBER(M145)),MAX(0,(M145-L145)*24),0)</f>
        <v>8.5</v>
      </c>
      <c r="O145" s="14" t="n">
        <f aca="false">IF(NOT(U145),0,IF(K145="Vacation",IF(C145="Eve",Settings!$B$9*Settings!$B$11,W145),IF(K145="Partial Vacation",IF(AND(ISNUMBER(H145),ISNUMBER(I145)),MAX(0,(I145-H145)*24),0),0)))</f>
        <v>0</v>
      </c>
      <c r="P145" s="14" t="n">
        <f aca="false">IF(NOT(U145),0,IF(K145="Sick Leave",W145,IF(K145="Partial Sick Leave",IF(AND(ISNUMBER(H145),ISNUMBER(I145)),MAX(0,(I145-H145)*24),0),0)))</f>
        <v>0</v>
      </c>
      <c r="Q145" s="14" t="n">
        <f aca="false">IF(NOT(U145),0,IF(K145="Vacation",IF(C145="Eve",Settings!$B$11,1),IF(K145="Partial Vacation",O145/Settings!$B$9,0)))</f>
        <v>0</v>
      </c>
      <c r="R145" s="14" t="n">
        <f aca="false">IF(NOT(U145),0,IF(K145="Sick Leave",1,IF(K145="Partial Sick Leave",P145/Settings!$B$9,0)))</f>
        <v>0</v>
      </c>
      <c r="S145" s="35" t="str">
        <f aca="false">IF(AND(OR(E145="Vacation",E145="Sick Leave",E145="Partial Vacation",E145="Partial Sick Leave"),NOT(U145)),"Leave not allowed on this day",IF(AND(E145="Manual Work",OR(NOT(ISNUMBER(F145)),NOT(ISNUMBER(G145)))),"Enter start and end",IF(AND(OR(E145="Partial Vacation",E145="Partial Sick Leave"),OR(NOT(ISNUMBER(H145)),NOT(ISNUMBER(I145)))),"Enter leave from and to",IF(AND(ISNUMBER(F145),ISNUMBER(G145),G145&lt;=F145),"End is before start",IF(AND(ISNUMBER(H145),ISNUMBER(I145),I145&lt;=H145),"Leave end is before start",IF(AND(ISNUMBER(F145),ISNUMBER(G145),ISNUMBER(H145),ISNUMBER(I145),F145&lt;I145,H145&lt;G145),"Work and leave hours overlap",IF(AND(E145&lt;&gt;"",WEEKDAY(A145)=7),"Saturday - administrator only","")))))))</f>
        <v/>
      </c>
      <c r="T145" s="36" t="n">
        <f aca="false">MONTH(A145)</f>
        <v>5</v>
      </c>
      <c r="U145" s="37" t="b">
        <f aca="false">OR(C145="Workday",C145="Eve")</f>
        <v>1</v>
      </c>
      <c r="V145" s="34" t="n">
        <f aca="false">IF(C145="Eve",Settings!$B$8,Settings!$B$7)</f>
        <v>0.6875</v>
      </c>
      <c r="W145" s="14" t="n">
        <f aca="false">IF(U145,(V145-Settings!$B$6)*24,0)</f>
        <v>8.5</v>
      </c>
    </row>
    <row r="146" customFormat="false" ht="15" hidden="false" customHeight="false" outlineLevel="0" collapsed="false">
      <c r="A146" s="29" t="n">
        <v>46162</v>
      </c>
      <c r="B146" s="30" t="str">
        <f aca="false">CHOOSE(WEEKDAY(A146),"Sun","Mon","Tue","Wed","Thu","Fri","Sat")</f>
        <v>Wed</v>
      </c>
      <c r="C146" s="30" t="str">
        <f aca="false">IF(IFERROR(INDEX(Holidays!$D$5:$D$60,MATCH(A146,Holidays!$A$5:$A$60,0)),"")="Holiday","Holiday",IF(WEEKDAY(A146)&gt;=6,"Weekend",IF(IFERROR(INDEX(Holidays!$D$5:$D$60,MATCH(A146,Holidays!$A$5:$A$60,0)),"")="Eve","Eve","Workday")))</f>
        <v>Workday</v>
      </c>
      <c r="D146" s="18" t="str">
        <f aca="false">IFERROR(INDEX(Holidays!$C$5:$C$60,MATCH(A146,Holidays!$A$5:$A$60,0)),"")</f>
        <v/>
      </c>
      <c r="E146" s="31"/>
      <c r="F146" s="32"/>
      <c r="G146" s="32"/>
      <c r="H146" s="32"/>
      <c r="I146" s="32"/>
      <c r="J146" s="31"/>
      <c r="K146" s="33" t="str">
        <f aca="false">IF(E146&lt;&gt;"",E146,IF(U146,"Present",IF(C146="Holiday","Holiday","Weekend")))</f>
        <v>Present</v>
      </c>
      <c r="L146" s="34" t="n">
        <f aca="false">IF(OR(K146="Present",K146="Manual Work",K146="Partial Vacation",K146="Partial Sick Leave"),IF(ISNUMBER(F146),F146,IF(AND(K146="Present",U146),Settings!$B$6,"")),"")</f>
        <v>0.333333333333333</v>
      </c>
      <c r="M146" s="34" t="n">
        <f aca="false">IF(OR(K146="Present",K146="Manual Work",K146="Partial Vacation",K146="Partial Sick Leave"),IF(ISNUMBER(G146),G146,IF(AND(K146="Present",U146),V146,"")),"")</f>
        <v>0.6875</v>
      </c>
      <c r="N146" s="14" t="n">
        <f aca="false">IF(AND(ISNUMBER(L146),ISNUMBER(M146)),MAX(0,(M146-L146)*24),0)</f>
        <v>8.5</v>
      </c>
      <c r="O146" s="14" t="n">
        <f aca="false">IF(NOT(U146),0,IF(K146="Vacation",IF(C146="Eve",Settings!$B$9*Settings!$B$11,W146),IF(K146="Partial Vacation",IF(AND(ISNUMBER(H146),ISNUMBER(I146)),MAX(0,(I146-H146)*24),0),0)))</f>
        <v>0</v>
      </c>
      <c r="P146" s="14" t="n">
        <f aca="false">IF(NOT(U146),0,IF(K146="Sick Leave",W146,IF(K146="Partial Sick Leave",IF(AND(ISNUMBER(H146),ISNUMBER(I146)),MAX(0,(I146-H146)*24),0),0)))</f>
        <v>0</v>
      </c>
      <c r="Q146" s="14" t="n">
        <f aca="false">IF(NOT(U146),0,IF(K146="Vacation",IF(C146="Eve",Settings!$B$11,1),IF(K146="Partial Vacation",O146/Settings!$B$9,0)))</f>
        <v>0</v>
      </c>
      <c r="R146" s="14" t="n">
        <f aca="false">IF(NOT(U146),0,IF(K146="Sick Leave",1,IF(K146="Partial Sick Leave",P146/Settings!$B$9,0)))</f>
        <v>0</v>
      </c>
      <c r="S146" s="35" t="str">
        <f aca="false">IF(AND(OR(E146="Vacation",E146="Sick Leave",E146="Partial Vacation",E146="Partial Sick Leave"),NOT(U146)),"Leave not allowed on this day",IF(AND(E146="Manual Work",OR(NOT(ISNUMBER(F146)),NOT(ISNUMBER(G146)))),"Enter start and end",IF(AND(OR(E146="Partial Vacation",E146="Partial Sick Leave"),OR(NOT(ISNUMBER(H146)),NOT(ISNUMBER(I146)))),"Enter leave from and to",IF(AND(ISNUMBER(F146),ISNUMBER(G146),G146&lt;=F146),"End is before start",IF(AND(ISNUMBER(H146),ISNUMBER(I146),I146&lt;=H146),"Leave end is before start",IF(AND(ISNUMBER(F146),ISNUMBER(G146),ISNUMBER(H146),ISNUMBER(I146),F146&lt;I146,H146&lt;G146),"Work and leave hours overlap",IF(AND(E146&lt;&gt;"",WEEKDAY(A146)=7),"Saturday - administrator only","")))))))</f>
        <v/>
      </c>
      <c r="T146" s="36" t="n">
        <f aca="false">MONTH(A146)</f>
        <v>5</v>
      </c>
      <c r="U146" s="37" t="b">
        <f aca="false">OR(C146="Workday",C146="Eve")</f>
        <v>1</v>
      </c>
      <c r="V146" s="34" t="n">
        <f aca="false">IF(C146="Eve",Settings!$B$8,Settings!$B$7)</f>
        <v>0.6875</v>
      </c>
      <c r="W146" s="14" t="n">
        <f aca="false">IF(U146,(V146-Settings!$B$6)*24,0)</f>
        <v>8.5</v>
      </c>
    </row>
    <row r="147" customFormat="false" ht="15" hidden="false" customHeight="false" outlineLevel="0" collapsed="false">
      <c r="A147" s="29" t="n">
        <v>46163</v>
      </c>
      <c r="B147" s="30" t="str">
        <f aca="false">CHOOSE(WEEKDAY(A147),"Sun","Mon","Tue","Wed","Thu","Fri","Sat")</f>
        <v>Thu</v>
      </c>
      <c r="C147" s="30" t="str">
        <f aca="false">IF(IFERROR(INDEX(Holidays!$D$5:$D$60,MATCH(A147,Holidays!$A$5:$A$60,0)),"")="Holiday","Holiday",IF(WEEKDAY(A147)&gt;=6,"Weekend",IF(IFERROR(INDEX(Holidays!$D$5:$D$60,MATCH(A147,Holidays!$A$5:$A$60,0)),"")="Eve","Eve","Workday")))</f>
        <v>Eve</v>
      </c>
      <c r="D147" s="18" t="str">
        <f aca="false">IFERROR(INDEX(Holidays!$C$5:$C$60,MATCH(A147,Holidays!$A$5:$A$60,0)),"")</f>
        <v>Erev Shavuot</v>
      </c>
      <c r="E147" s="31"/>
      <c r="F147" s="32"/>
      <c r="G147" s="32"/>
      <c r="H147" s="32"/>
      <c r="I147" s="32"/>
      <c r="J147" s="31"/>
      <c r="K147" s="33" t="str">
        <f aca="false">IF(E147&lt;&gt;"",E147,IF(U147,"Present",IF(C147="Holiday","Holiday","Weekend")))</f>
        <v>Present</v>
      </c>
      <c r="L147" s="34" t="n">
        <f aca="false">IF(OR(K147="Present",K147="Manual Work",K147="Partial Vacation",K147="Partial Sick Leave"),IF(ISNUMBER(F147),F147,IF(AND(K147="Present",U147),Settings!$B$6,"")),"")</f>
        <v>0.333333333333333</v>
      </c>
      <c r="M147" s="34" t="n">
        <f aca="false">IF(OR(K147="Present",K147="Manual Work",K147="Partial Vacation",K147="Partial Sick Leave"),IF(ISNUMBER(G147),G147,IF(AND(K147="Present",U147),V147,"")),"")</f>
        <v>0.583333333333333</v>
      </c>
      <c r="N147" s="14" t="n">
        <f aca="false">IF(AND(ISNUMBER(L147),ISNUMBER(M147)),MAX(0,(M147-L147)*24),0)</f>
        <v>6</v>
      </c>
      <c r="O147" s="14" t="n">
        <f aca="false">IF(NOT(U147),0,IF(K147="Vacation",IF(C147="Eve",Settings!$B$9*Settings!$B$11,W147),IF(K147="Partial Vacation",IF(AND(ISNUMBER(H147),ISNUMBER(I147)),MAX(0,(I147-H147)*24),0),0)))</f>
        <v>0</v>
      </c>
      <c r="P147" s="14" t="n">
        <f aca="false">IF(NOT(U147),0,IF(K147="Sick Leave",W147,IF(K147="Partial Sick Leave",IF(AND(ISNUMBER(H147),ISNUMBER(I147)),MAX(0,(I147-H147)*24),0),0)))</f>
        <v>0</v>
      </c>
      <c r="Q147" s="14" t="n">
        <f aca="false">IF(NOT(U147),0,IF(K147="Vacation",IF(C147="Eve",Settings!$B$11,1),IF(K147="Partial Vacation",O147/Settings!$B$9,0)))</f>
        <v>0</v>
      </c>
      <c r="R147" s="14" t="n">
        <f aca="false">IF(NOT(U147),0,IF(K147="Sick Leave",1,IF(K147="Partial Sick Leave",P147/Settings!$B$9,0)))</f>
        <v>0</v>
      </c>
      <c r="S147" s="35" t="str">
        <f aca="false">IF(AND(OR(E147="Vacation",E147="Sick Leave",E147="Partial Vacation",E147="Partial Sick Leave"),NOT(U147)),"Leave not allowed on this day",IF(AND(E147="Manual Work",OR(NOT(ISNUMBER(F147)),NOT(ISNUMBER(G147)))),"Enter start and end",IF(AND(OR(E147="Partial Vacation",E147="Partial Sick Leave"),OR(NOT(ISNUMBER(H147)),NOT(ISNUMBER(I147)))),"Enter leave from and to",IF(AND(ISNUMBER(F147),ISNUMBER(G147),G147&lt;=F147),"End is before start",IF(AND(ISNUMBER(H147),ISNUMBER(I147),I147&lt;=H147),"Leave end is before start",IF(AND(ISNUMBER(F147),ISNUMBER(G147),ISNUMBER(H147),ISNUMBER(I147),F147&lt;I147,H147&lt;G147),"Work and leave hours overlap",IF(AND(E147&lt;&gt;"",WEEKDAY(A147)=7),"Saturday - administrator only","")))))))</f>
        <v/>
      </c>
      <c r="T147" s="36" t="n">
        <f aca="false">MONTH(A147)</f>
        <v>5</v>
      </c>
      <c r="U147" s="37" t="b">
        <f aca="false">OR(C147="Workday",C147="Eve")</f>
        <v>1</v>
      </c>
      <c r="V147" s="34" t="n">
        <f aca="false">IF(C147="Eve",Settings!$B$8,Settings!$B$7)</f>
        <v>0.583333333333333</v>
      </c>
      <c r="W147" s="14" t="n">
        <f aca="false">IF(U147,(V147-Settings!$B$6)*24,0)</f>
        <v>6</v>
      </c>
    </row>
    <row r="148" customFormat="false" ht="15" hidden="false" customHeight="false" outlineLevel="0" collapsed="false">
      <c r="A148" s="29" t="n">
        <v>46164</v>
      </c>
      <c r="B148" s="30" t="str">
        <f aca="false">CHOOSE(WEEKDAY(A148),"Sun","Mon","Tue","Wed","Thu","Fri","Sat")</f>
        <v>Fri</v>
      </c>
      <c r="C148" s="30" t="str">
        <f aca="false">IF(IFERROR(INDEX(Holidays!$D$5:$D$60,MATCH(A148,Holidays!$A$5:$A$60,0)),"")="Holiday","Holiday",IF(WEEKDAY(A148)&gt;=6,"Weekend",IF(IFERROR(INDEX(Holidays!$D$5:$D$60,MATCH(A148,Holidays!$A$5:$A$60,0)),"")="Eve","Eve","Workday")))</f>
        <v>Holiday</v>
      </c>
      <c r="D148" s="18" t="str">
        <f aca="false">IFERROR(INDEX(Holidays!$C$5:$C$60,MATCH(A148,Holidays!$A$5:$A$60,0)),"")</f>
        <v>Shavuot</v>
      </c>
      <c r="E148" s="31"/>
      <c r="F148" s="32"/>
      <c r="G148" s="32"/>
      <c r="H148" s="32"/>
      <c r="I148" s="32"/>
      <c r="J148" s="31"/>
      <c r="K148" s="33" t="str">
        <f aca="false">IF(E148&lt;&gt;"",E148,IF(U148,"Present",IF(C148="Holiday","Holiday","Weekend")))</f>
        <v>Holiday</v>
      </c>
      <c r="L148" s="34" t="str">
        <f aca="false">IF(OR(K148="Present",K148="Manual Work",K148="Partial Vacation",K148="Partial Sick Leave"),IF(ISNUMBER(F148),F148,IF(AND(K148="Present",U148),Settings!$B$6,"")),"")</f>
        <v/>
      </c>
      <c r="M148" s="34" t="str">
        <f aca="false">IF(OR(K148="Present",K148="Manual Work",K148="Partial Vacation",K148="Partial Sick Leave"),IF(ISNUMBER(G148),G148,IF(AND(K148="Present",U148),V148,"")),"")</f>
        <v/>
      </c>
      <c r="N148" s="14" t="n">
        <f aca="false">IF(AND(ISNUMBER(L148),ISNUMBER(M148)),MAX(0,(M148-L148)*24),0)</f>
        <v>0</v>
      </c>
      <c r="O148" s="14" t="n">
        <f aca="false">IF(NOT(U148),0,IF(K148="Vacation",IF(C148="Eve",Settings!$B$9*Settings!$B$11,W148),IF(K148="Partial Vacation",IF(AND(ISNUMBER(H148),ISNUMBER(I148)),MAX(0,(I148-H148)*24),0),0)))</f>
        <v>0</v>
      </c>
      <c r="P148" s="14" t="n">
        <f aca="false">IF(NOT(U148),0,IF(K148="Sick Leave",W148,IF(K148="Partial Sick Leave",IF(AND(ISNUMBER(H148),ISNUMBER(I148)),MAX(0,(I148-H148)*24),0),0)))</f>
        <v>0</v>
      </c>
      <c r="Q148" s="14" t="n">
        <f aca="false">IF(NOT(U148),0,IF(K148="Vacation",IF(C148="Eve",Settings!$B$11,1),IF(K148="Partial Vacation",O148/Settings!$B$9,0)))</f>
        <v>0</v>
      </c>
      <c r="R148" s="14" t="n">
        <f aca="false">IF(NOT(U148),0,IF(K148="Sick Leave",1,IF(K148="Partial Sick Leave",P148/Settings!$B$9,0)))</f>
        <v>0</v>
      </c>
      <c r="S148" s="35" t="str">
        <f aca="false">IF(AND(OR(E148="Vacation",E148="Sick Leave",E148="Partial Vacation",E148="Partial Sick Leave"),NOT(U148)),"Leave not allowed on this day",IF(AND(E148="Manual Work",OR(NOT(ISNUMBER(F148)),NOT(ISNUMBER(G148)))),"Enter start and end",IF(AND(OR(E148="Partial Vacation",E148="Partial Sick Leave"),OR(NOT(ISNUMBER(H148)),NOT(ISNUMBER(I148)))),"Enter leave from and to",IF(AND(ISNUMBER(F148),ISNUMBER(G148),G148&lt;=F148),"End is before start",IF(AND(ISNUMBER(H148),ISNUMBER(I148),I148&lt;=H148),"Leave end is before start",IF(AND(ISNUMBER(F148),ISNUMBER(G148),ISNUMBER(H148),ISNUMBER(I148),F148&lt;I148,H148&lt;G148),"Work and leave hours overlap",IF(AND(E148&lt;&gt;"",WEEKDAY(A148)=7),"Saturday - administrator only","")))))))</f>
        <v/>
      </c>
      <c r="T148" s="36" t="n">
        <f aca="false">MONTH(A148)</f>
        <v>5</v>
      </c>
      <c r="U148" s="37" t="b">
        <f aca="false">OR(C148="Workday",C148="Eve")</f>
        <v>0</v>
      </c>
      <c r="V148" s="34" t="n">
        <f aca="false">IF(C148="Eve",Settings!$B$8,Settings!$B$7)</f>
        <v>0.6875</v>
      </c>
      <c r="W148" s="14" t="n">
        <f aca="false">IF(U148,(V148-Settings!$B$6)*24,0)</f>
        <v>0</v>
      </c>
    </row>
    <row r="149" customFormat="false" ht="15" hidden="false" customHeight="false" outlineLevel="0" collapsed="false">
      <c r="A149" s="29" t="n">
        <v>46165</v>
      </c>
      <c r="B149" s="30" t="str">
        <f aca="false">CHOOSE(WEEKDAY(A149),"Sun","Mon","Tue","Wed","Thu","Fri","Sat")</f>
        <v>Sat</v>
      </c>
      <c r="C149" s="30" t="str">
        <f aca="false">IF(IFERROR(INDEX(Holidays!$D$5:$D$60,MATCH(A149,Holidays!$A$5:$A$60,0)),"")="Holiday","Holiday",IF(WEEKDAY(A149)&gt;=6,"Weekend",IF(IFERROR(INDEX(Holidays!$D$5:$D$60,MATCH(A149,Holidays!$A$5:$A$60,0)),"")="Eve","Eve","Workday")))</f>
        <v>Weekend</v>
      </c>
      <c r="D149" s="18" t="str">
        <f aca="false">IFERROR(INDEX(Holidays!$C$5:$C$60,MATCH(A149,Holidays!$A$5:$A$60,0)),"")</f>
        <v/>
      </c>
      <c r="E149" s="31"/>
      <c r="F149" s="32"/>
      <c r="G149" s="32"/>
      <c r="H149" s="32"/>
      <c r="I149" s="32"/>
      <c r="J149" s="31"/>
      <c r="K149" s="33" t="str">
        <f aca="false">IF(E149&lt;&gt;"",E149,IF(U149,"Present",IF(C149="Holiday","Holiday","Weekend")))</f>
        <v>Weekend</v>
      </c>
      <c r="L149" s="34" t="str">
        <f aca="false">IF(OR(K149="Present",K149="Manual Work",K149="Partial Vacation",K149="Partial Sick Leave"),IF(ISNUMBER(F149),F149,IF(AND(K149="Present",U149),Settings!$B$6,"")),"")</f>
        <v/>
      </c>
      <c r="M149" s="34" t="str">
        <f aca="false">IF(OR(K149="Present",K149="Manual Work",K149="Partial Vacation",K149="Partial Sick Leave"),IF(ISNUMBER(G149),G149,IF(AND(K149="Present",U149),V149,"")),"")</f>
        <v/>
      </c>
      <c r="N149" s="14" t="n">
        <f aca="false">IF(AND(ISNUMBER(L149),ISNUMBER(M149)),MAX(0,(M149-L149)*24),0)</f>
        <v>0</v>
      </c>
      <c r="O149" s="14" t="n">
        <f aca="false">IF(NOT(U149),0,IF(K149="Vacation",IF(C149="Eve",Settings!$B$9*Settings!$B$11,W149),IF(K149="Partial Vacation",IF(AND(ISNUMBER(H149),ISNUMBER(I149)),MAX(0,(I149-H149)*24),0),0)))</f>
        <v>0</v>
      </c>
      <c r="P149" s="14" t="n">
        <f aca="false">IF(NOT(U149),0,IF(K149="Sick Leave",W149,IF(K149="Partial Sick Leave",IF(AND(ISNUMBER(H149),ISNUMBER(I149)),MAX(0,(I149-H149)*24),0),0)))</f>
        <v>0</v>
      </c>
      <c r="Q149" s="14" t="n">
        <f aca="false">IF(NOT(U149),0,IF(K149="Vacation",IF(C149="Eve",Settings!$B$11,1),IF(K149="Partial Vacation",O149/Settings!$B$9,0)))</f>
        <v>0</v>
      </c>
      <c r="R149" s="14" t="n">
        <f aca="false">IF(NOT(U149),0,IF(K149="Sick Leave",1,IF(K149="Partial Sick Leave",P149/Settings!$B$9,0)))</f>
        <v>0</v>
      </c>
      <c r="S149" s="35" t="str">
        <f aca="false">IF(AND(OR(E149="Vacation",E149="Sick Leave",E149="Partial Vacation",E149="Partial Sick Leave"),NOT(U149)),"Leave not allowed on this day",IF(AND(E149="Manual Work",OR(NOT(ISNUMBER(F149)),NOT(ISNUMBER(G149)))),"Enter start and end",IF(AND(OR(E149="Partial Vacation",E149="Partial Sick Leave"),OR(NOT(ISNUMBER(H149)),NOT(ISNUMBER(I149)))),"Enter leave from and to",IF(AND(ISNUMBER(F149),ISNUMBER(G149),G149&lt;=F149),"End is before start",IF(AND(ISNUMBER(H149),ISNUMBER(I149),I149&lt;=H149),"Leave end is before start",IF(AND(ISNUMBER(F149),ISNUMBER(G149),ISNUMBER(H149),ISNUMBER(I149),F149&lt;I149,H149&lt;G149),"Work and leave hours overlap",IF(AND(E149&lt;&gt;"",WEEKDAY(A149)=7),"Saturday - administrator only","")))))))</f>
        <v/>
      </c>
      <c r="T149" s="36" t="n">
        <f aca="false">MONTH(A149)</f>
        <v>5</v>
      </c>
      <c r="U149" s="37" t="b">
        <f aca="false">OR(C149="Workday",C149="Eve")</f>
        <v>0</v>
      </c>
      <c r="V149" s="34" t="n">
        <f aca="false">IF(C149="Eve",Settings!$B$8,Settings!$B$7)</f>
        <v>0.6875</v>
      </c>
      <c r="W149" s="14" t="n">
        <f aca="false">IF(U149,(V149-Settings!$B$6)*24,0)</f>
        <v>0</v>
      </c>
    </row>
    <row r="150" customFormat="false" ht="15" hidden="false" customHeight="false" outlineLevel="0" collapsed="false">
      <c r="A150" s="29" t="n">
        <v>46166</v>
      </c>
      <c r="B150" s="30" t="str">
        <f aca="false">CHOOSE(WEEKDAY(A150),"Sun","Mon","Tue","Wed","Thu","Fri","Sat")</f>
        <v>Sun</v>
      </c>
      <c r="C150" s="30" t="str">
        <f aca="false">IF(IFERROR(INDEX(Holidays!$D$5:$D$60,MATCH(A150,Holidays!$A$5:$A$60,0)),"")="Holiday","Holiday",IF(WEEKDAY(A150)&gt;=6,"Weekend",IF(IFERROR(INDEX(Holidays!$D$5:$D$60,MATCH(A150,Holidays!$A$5:$A$60,0)),"")="Eve","Eve","Workday")))</f>
        <v>Workday</v>
      </c>
      <c r="D150" s="18" t="str">
        <f aca="false">IFERROR(INDEX(Holidays!$C$5:$C$60,MATCH(A150,Holidays!$A$5:$A$60,0)),"")</f>
        <v/>
      </c>
      <c r="E150" s="31"/>
      <c r="F150" s="32"/>
      <c r="G150" s="32"/>
      <c r="H150" s="32"/>
      <c r="I150" s="32"/>
      <c r="J150" s="31"/>
      <c r="K150" s="33" t="str">
        <f aca="false">IF(E150&lt;&gt;"",E150,IF(U150,"Present",IF(C150="Holiday","Holiday","Weekend")))</f>
        <v>Present</v>
      </c>
      <c r="L150" s="34" t="n">
        <f aca="false">IF(OR(K150="Present",K150="Manual Work",K150="Partial Vacation",K150="Partial Sick Leave"),IF(ISNUMBER(F150),F150,IF(AND(K150="Present",U150),Settings!$B$6,"")),"")</f>
        <v>0.333333333333333</v>
      </c>
      <c r="M150" s="34" t="n">
        <f aca="false">IF(OR(K150="Present",K150="Manual Work",K150="Partial Vacation",K150="Partial Sick Leave"),IF(ISNUMBER(G150),G150,IF(AND(K150="Present",U150),V150,"")),"")</f>
        <v>0.6875</v>
      </c>
      <c r="N150" s="14" t="n">
        <f aca="false">IF(AND(ISNUMBER(L150),ISNUMBER(M150)),MAX(0,(M150-L150)*24),0)</f>
        <v>8.5</v>
      </c>
      <c r="O150" s="14" t="n">
        <f aca="false">IF(NOT(U150),0,IF(K150="Vacation",IF(C150="Eve",Settings!$B$9*Settings!$B$11,W150),IF(K150="Partial Vacation",IF(AND(ISNUMBER(H150),ISNUMBER(I150)),MAX(0,(I150-H150)*24),0),0)))</f>
        <v>0</v>
      </c>
      <c r="P150" s="14" t="n">
        <f aca="false">IF(NOT(U150),0,IF(K150="Sick Leave",W150,IF(K150="Partial Sick Leave",IF(AND(ISNUMBER(H150),ISNUMBER(I150)),MAX(0,(I150-H150)*24),0),0)))</f>
        <v>0</v>
      </c>
      <c r="Q150" s="14" t="n">
        <f aca="false">IF(NOT(U150),0,IF(K150="Vacation",IF(C150="Eve",Settings!$B$11,1),IF(K150="Partial Vacation",O150/Settings!$B$9,0)))</f>
        <v>0</v>
      </c>
      <c r="R150" s="14" t="n">
        <f aca="false">IF(NOT(U150),0,IF(K150="Sick Leave",1,IF(K150="Partial Sick Leave",P150/Settings!$B$9,0)))</f>
        <v>0</v>
      </c>
      <c r="S150" s="35" t="str">
        <f aca="false">IF(AND(OR(E150="Vacation",E150="Sick Leave",E150="Partial Vacation",E150="Partial Sick Leave"),NOT(U150)),"Leave not allowed on this day",IF(AND(E150="Manual Work",OR(NOT(ISNUMBER(F150)),NOT(ISNUMBER(G150)))),"Enter start and end",IF(AND(OR(E150="Partial Vacation",E150="Partial Sick Leave"),OR(NOT(ISNUMBER(H150)),NOT(ISNUMBER(I150)))),"Enter leave from and to",IF(AND(ISNUMBER(F150),ISNUMBER(G150),G150&lt;=F150),"End is before start",IF(AND(ISNUMBER(H150),ISNUMBER(I150),I150&lt;=H150),"Leave end is before start",IF(AND(ISNUMBER(F150),ISNUMBER(G150),ISNUMBER(H150),ISNUMBER(I150),F150&lt;I150,H150&lt;G150),"Work and leave hours overlap",IF(AND(E150&lt;&gt;"",WEEKDAY(A150)=7),"Saturday - administrator only","")))))))</f>
        <v/>
      </c>
      <c r="T150" s="36" t="n">
        <f aca="false">MONTH(A150)</f>
        <v>5</v>
      </c>
      <c r="U150" s="37" t="b">
        <f aca="false">OR(C150="Workday",C150="Eve")</f>
        <v>1</v>
      </c>
      <c r="V150" s="34" t="n">
        <f aca="false">IF(C150="Eve",Settings!$B$8,Settings!$B$7)</f>
        <v>0.6875</v>
      </c>
      <c r="W150" s="14" t="n">
        <f aca="false">IF(U150,(V150-Settings!$B$6)*24,0)</f>
        <v>8.5</v>
      </c>
    </row>
    <row r="151" customFormat="false" ht="15" hidden="false" customHeight="false" outlineLevel="0" collapsed="false">
      <c r="A151" s="29" t="n">
        <v>46167</v>
      </c>
      <c r="B151" s="30" t="str">
        <f aca="false">CHOOSE(WEEKDAY(A151),"Sun","Mon","Tue","Wed","Thu","Fri","Sat")</f>
        <v>Mon</v>
      </c>
      <c r="C151" s="30" t="str">
        <f aca="false">IF(IFERROR(INDEX(Holidays!$D$5:$D$60,MATCH(A151,Holidays!$A$5:$A$60,0)),"")="Holiday","Holiday",IF(WEEKDAY(A151)&gt;=6,"Weekend",IF(IFERROR(INDEX(Holidays!$D$5:$D$60,MATCH(A151,Holidays!$A$5:$A$60,0)),"")="Eve","Eve","Workday")))</f>
        <v>Workday</v>
      </c>
      <c r="D151" s="18" t="str">
        <f aca="false">IFERROR(INDEX(Holidays!$C$5:$C$60,MATCH(A151,Holidays!$A$5:$A$60,0)),"")</f>
        <v/>
      </c>
      <c r="E151" s="31"/>
      <c r="F151" s="32"/>
      <c r="G151" s="32"/>
      <c r="H151" s="32"/>
      <c r="I151" s="32"/>
      <c r="J151" s="31"/>
      <c r="K151" s="33" t="str">
        <f aca="false">IF(E151&lt;&gt;"",E151,IF(U151,"Present",IF(C151="Holiday","Holiday","Weekend")))</f>
        <v>Present</v>
      </c>
      <c r="L151" s="34" t="n">
        <f aca="false">IF(OR(K151="Present",K151="Manual Work",K151="Partial Vacation",K151="Partial Sick Leave"),IF(ISNUMBER(F151),F151,IF(AND(K151="Present",U151),Settings!$B$6,"")),"")</f>
        <v>0.333333333333333</v>
      </c>
      <c r="M151" s="34" t="n">
        <f aca="false">IF(OR(K151="Present",K151="Manual Work",K151="Partial Vacation",K151="Partial Sick Leave"),IF(ISNUMBER(G151),G151,IF(AND(K151="Present",U151),V151,"")),"")</f>
        <v>0.6875</v>
      </c>
      <c r="N151" s="14" t="n">
        <f aca="false">IF(AND(ISNUMBER(L151),ISNUMBER(M151)),MAX(0,(M151-L151)*24),0)</f>
        <v>8.5</v>
      </c>
      <c r="O151" s="14" t="n">
        <f aca="false">IF(NOT(U151),0,IF(K151="Vacation",IF(C151="Eve",Settings!$B$9*Settings!$B$11,W151),IF(K151="Partial Vacation",IF(AND(ISNUMBER(H151),ISNUMBER(I151)),MAX(0,(I151-H151)*24),0),0)))</f>
        <v>0</v>
      </c>
      <c r="P151" s="14" t="n">
        <f aca="false">IF(NOT(U151),0,IF(K151="Sick Leave",W151,IF(K151="Partial Sick Leave",IF(AND(ISNUMBER(H151),ISNUMBER(I151)),MAX(0,(I151-H151)*24),0),0)))</f>
        <v>0</v>
      </c>
      <c r="Q151" s="14" t="n">
        <f aca="false">IF(NOT(U151),0,IF(K151="Vacation",IF(C151="Eve",Settings!$B$11,1),IF(K151="Partial Vacation",O151/Settings!$B$9,0)))</f>
        <v>0</v>
      </c>
      <c r="R151" s="14" t="n">
        <f aca="false">IF(NOT(U151),0,IF(K151="Sick Leave",1,IF(K151="Partial Sick Leave",P151/Settings!$B$9,0)))</f>
        <v>0</v>
      </c>
      <c r="S151" s="35" t="str">
        <f aca="false">IF(AND(OR(E151="Vacation",E151="Sick Leave",E151="Partial Vacation",E151="Partial Sick Leave"),NOT(U151)),"Leave not allowed on this day",IF(AND(E151="Manual Work",OR(NOT(ISNUMBER(F151)),NOT(ISNUMBER(G151)))),"Enter start and end",IF(AND(OR(E151="Partial Vacation",E151="Partial Sick Leave"),OR(NOT(ISNUMBER(H151)),NOT(ISNUMBER(I151)))),"Enter leave from and to",IF(AND(ISNUMBER(F151),ISNUMBER(G151),G151&lt;=F151),"End is before start",IF(AND(ISNUMBER(H151),ISNUMBER(I151),I151&lt;=H151),"Leave end is before start",IF(AND(ISNUMBER(F151),ISNUMBER(G151),ISNUMBER(H151),ISNUMBER(I151),F151&lt;I151,H151&lt;G151),"Work and leave hours overlap",IF(AND(E151&lt;&gt;"",WEEKDAY(A151)=7),"Saturday - administrator only","")))))))</f>
        <v/>
      </c>
      <c r="T151" s="36" t="n">
        <f aca="false">MONTH(A151)</f>
        <v>5</v>
      </c>
      <c r="U151" s="37" t="b">
        <f aca="false">OR(C151="Workday",C151="Eve")</f>
        <v>1</v>
      </c>
      <c r="V151" s="34" t="n">
        <f aca="false">IF(C151="Eve",Settings!$B$8,Settings!$B$7)</f>
        <v>0.6875</v>
      </c>
      <c r="W151" s="14" t="n">
        <f aca="false">IF(U151,(V151-Settings!$B$6)*24,0)</f>
        <v>8.5</v>
      </c>
    </row>
    <row r="152" customFormat="false" ht="15" hidden="false" customHeight="false" outlineLevel="0" collapsed="false">
      <c r="A152" s="29" t="n">
        <v>46168</v>
      </c>
      <c r="B152" s="30" t="str">
        <f aca="false">CHOOSE(WEEKDAY(A152),"Sun","Mon","Tue","Wed","Thu","Fri","Sat")</f>
        <v>Tue</v>
      </c>
      <c r="C152" s="30" t="str">
        <f aca="false">IF(IFERROR(INDEX(Holidays!$D$5:$D$60,MATCH(A152,Holidays!$A$5:$A$60,0)),"")="Holiday","Holiday",IF(WEEKDAY(A152)&gt;=6,"Weekend",IF(IFERROR(INDEX(Holidays!$D$5:$D$60,MATCH(A152,Holidays!$A$5:$A$60,0)),"")="Eve","Eve","Workday")))</f>
        <v>Workday</v>
      </c>
      <c r="D152" s="18" t="str">
        <f aca="false">IFERROR(INDEX(Holidays!$C$5:$C$60,MATCH(A152,Holidays!$A$5:$A$60,0)),"")</f>
        <v/>
      </c>
      <c r="E152" s="31"/>
      <c r="F152" s="32"/>
      <c r="G152" s="32"/>
      <c r="H152" s="32"/>
      <c r="I152" s="32"/>
      <c r="J152" s="31"/>
      <c r="K152" s="33" t="str">
        <f aca="false">IF(E152&lt;&gt;"",E152,IF(U152,"Present",IF(C152="Holiday","Holiday","Weekend")))</f>
        <v>Present</v>
      </c>
      <c r="L152" s="34" t="n">
        <f aca="false">IF(OR(K152="Present",K152="Manual Work",K152="Partial Vacation",K152="Partial Sick Leave"),IF(ISNUMBER(F152),F152,IF(AND(K152="Present",U152),Settings!$B$6,"")),"")</f>
        <v>0.333333333333333</v>
      </c>
      <c r="M152" s="34" t="n">
        <f aca="false">IF(OR(K152="Present",K152="Manual Work",K152="Partial Vacation",K152="Partial Sick Leave"),IF(ISNUMBER(G152),G152,IF(AND(K152="Present",U152),V152,"")),"")</f>
        <v>0.6875</v>
      </c>
      <c r="N152" s="14" t="n">
        <f aca="false">IF(AND(ISNUMBER(L152),ISNUMBER(M152)),MAX(0,(M152-L152)*24),0)</f>
        <v>8.5</v>
      </c>
      <c r="O152" s="14" t="n">
        <f aca="false">IF(NOT(U152),0,IF(K152="Vacation",IF(C152="Eve",Settings!$B$9*Settings!$B$11,W152),IF(K152="Partial Vacation",IF(AND(ISNUMBER(H152),ISNUMBER(I152)),MAX(0,(I152-H152)*24),0),0)))</f>
        <v>0</v>
      </c>
      <c r="P152" s="14" t="n">
        <f aca="false">IF(NOT(U152),0,IF(K152="Sick Leave",W152,IF(K152="Partial Sick Leave",IF(AND(ISNUMBER(H152),ISNUMBER(I152)),MAX(0,(I152-H152)*24),0),0)))</f>
        <v>0</v>
      </c>
      <c r="Q152" s="14" t="n">
        <f aca="false">IF(NOT(U152),0,IF(K152="Vacation",IF(C152="Eve",Settings!$B$11,1),IF(K152="Partial Vacation",O152/Settings!$B$9,0)))</f>
        <v>0</v>
      </c>
      <c r="R152" s="14" t="n">
        <f aca="false">IF(NOT(U152),0,IF(K152="Sick Leave",1,IF(K152="Partial Sick Leave",P152/Settings!$B$9,0)))</f>
        <v>0</v>
      </c>
      <c r="S152" s="35" t="str">
        <f aca="false">IF(AND(OR(E152="Vacation",E152="Sick Leave",E152="Partial Vacation",E152="Partial Sick Leave"),NOT(U152)),"Leave not allowed on this day",IF(AND(E152="Manual Work",OR(NOT(ISNUMBER(F152)),NOT(ISNUMBER(G152)))),"Enter start and end",IF(AND(OR(E152="Partial Vacation",E152="Partial Sick Leave"),OR(NOT(ISNUMBER(H152)),NOT(ISNUMBER(I152)))),"Enter leave from and to",IF(AND(ISNUMBER(F152),ISNUMBER(G152),G152&lt;=F152),"End is before start",IF(AND(ISNUMBER(H152),ISNUMBER(I152),I152&lt;=H152),"Leave end is before start",IF(AND(ISNUMBER(F152),ISNUMBER(G152),ISNUMBER(H152),ISNUMBER(I152),F152&lt;I152,H152&lt;G152),"Work and leave hours overlap",IF(AND(E152&lt;&gt;"",WEEKDAY(A152)=7),"Saturday - administrator only","")))))))</f>
        <v/>
      </c>
      <c r="T152" s="36" t="n">
        <f aca="false">MONTH(A152)</f>
        <v>5</v>
      </c>
      <c r="U152" s="37" t="b">
        <f aca="false">OR(C152="Workday",C152="Eve")</f>
        <v>1</v>
      </c>
      <c r="V152" s="34" t="n">
        <f aca="false">IF(C152="Eve",Settings!$B$8,Settings!$B$7)</f>
        <v>0.6875</v>
      </c>
      <c r="W152" s="14" t="n">
        <f aca="false">IF(U152,(V152-Settings!$B$6)*24,0)</f>
        <v>8.5</v>
      </c>
    </row>
    <row r="153" customFormat="false" ht="15" hidden="false" customHeight="false" outlineLevel="0" collapsed="false">
      <c r="A153" s="29" t="n">
        <v>46169</v>
      </c>
      <c r="B153" s="30" t="str">
        <f aca="false">CHOOSE(WEEKDAY(A153),"Sun","Mon","Tue","Wed","Thu","Fri","Sat")</f>
        <v>Wed</v>
      </c>
      <c r="C153" s="30" t="str">
        <f aca="false">IF(IFERROR(INDEX(Holidays!$D$5:$D$60,MATCH(A153,Holidays!$A$5:$A$60,0)),"")="Holiday","Holiday",IF(WEEKDAY(A153)&gt;=6,"Weekend",IF(IFERROR(INDEX(Holidays!$D$5:$D$60,MATCH(A153,Holidays!$A$5:$A$60,0)),"")="Eve","Eve","Workday")))</f>
        <v>Workday</v>
      </c>
      <c r="D153" s="18" t="str">
        <f aca="false">IFERROR(INDEX(Holidays!$C$5:$C$60,MATCH(A153,Holidays!$A$5:$A$60,0)),"")</f>
        <v/>
      </c>
      <c r="E153" s="31"/>
      <c r="F153" s="32"/>
      <c r="G153" s="32"/>
      <c r="H153" s="32"/>
      <c r="I153" s="32"/>
      <c r="J153" s="31"/>
      <c r="K153" s="33" t="str">
        <f aca="false">IF(E153&lt;&gt;"",E153,IF(U153,"Present",IF(C153="Holiday","Holiday","Weekend")))</f>
        <v>Present</v>
      </c>
      <c r="L153" s="34" t="n">
        <f aca="false">IF(OR(K153="Present",K153="Manual Work",K153="Partial Vacation",K153="Partial Sick Leave"),IF(ISNUMBER(F153),F153,IF(AND(K153="Present",U153),Settings!$B$6,"")),"")</f>
        <v>0.333333333333333</v>
      </c>
      <c r="M153" s="34" t="n">
        <f aca="false">IF(OR(K153="Present",K153="Manual Work",K153="Partial Vacation",K153="Partial Sick Leave"),IF(ISNUMBER(G153),G153,IF(AND(K153="Present",U153),V153,"")),"")</f>
        <v>0.6875</v>
      </c>
      <c r="N153" s="14" t="n">
        <f aca="false">IF(AND(ISNUMBER(L153),ISNUMBER(M153)),MAX(0,(M153-L153)*24),0)</f>
        <v>8.5</v>
      </c>
      <c r="O153" s="14" t="n">
        <f aca="false">IF(NOT(U153),0,IF(K153="Vacation",IF(C153="Eve",Settings!$B$9*Settings!$B$11,W153),IF(K153="Partial Vacation",IF(AND(ISNUMBER(H153),ISNUMBER(I153)),MAX(0,(I153-H153)*24),0),0)))</f>
        <v>0</v>
      </c>
      <c r="P153" s="14" t="n">
        <f aca="false">IF(NOT(U153),0,IF(K153="Sick Leave",W153,IF(K153="Partial Sick Leave",IF(AND(ISNUMBER(H153),ISNUMBER(I153)),MAX(0,(I153-H153)*24),0),0)))</f>
        <v>0</v>
      </c>
      <c r="Q153" s="14" t="n">
        <f aca="false">IF(NOT(U153),0,IF(K153="Vacation",IF(C153="Eve",Settings!$B$11,1),IF(K153="Partial Vacation",O153/Settings!$B$9,0)))</f>
        <v>0</v>
      </c>
      <c r="R153" s="14" t="n">
        <f aca="false">IF(NOT(U153),0,IF(K153="Sick Leave",1,IF(K153="Partial Sick Leave",P153/Settings!$B$9,0)))</f>
        <v>0</v>
      </c>
      <c r="S153" s="35" t="str">
        <f aca="false">IF(AND(OR(E153="Vacation",E153="Sick Leave",E153="Partial Vacation",E153="Partial Sick Leave"),NOT(U153)),"Leave not allowed on this day",IF(AND(E153="Manual Work",OR(NOT(ISNUMBER(F153)),NOT(ISNUMBER(G153)))),"Enter start and end",IF(AND(OR(E153="Partial Vacation",E153="Partial Sick Leave"),OR(NOT(ISNUMBER(H153)),NOT(ISNUMBER(I153)))),"Enter leave from and to",IF(AND(ISNUMBER(F153),ISNUMBER(G153),G153&lt;=F153),"End is before start",IF(AND(ISNUMBER(H153),ISNUMBER(I153),I153&lt;=H153),"Leave end is before start",IF(AND(ISNUMBER(F153),ISNUMBER(G153),ISNUMBER(H153),ISNUMBER(I153),F153&lt;I153,H153&lt;G153),"Work and leave hours overlap",IF(AND(E153&lt;&gt;"",WEEKDAY(A153)=7),"Saturday - administrator only","")))))))</f>
        <v/>
      </c>
      <c r="T153" s="36" t="n">
        <f aca="false">MONTH(A153)</f>
        <v>5</v>
      </c>
      <c r="U153" s="37" t="b">
        <f aca="false">OR(C153="Workday",C153="Eve")</f>
        <v>1</v>
      </c>
      <c r="V153" s="34" t="n">
        <f aca="false">IF(C153="Eve",Settings!$B$8,Settings!$B$7)</f>
        <v>0.6875</v>
      </c>
      <c r="W153" s="14" t="n">
        <f aca="false">IF(U153,(V153-Settings!$B$6)*24,0)</f>
        <v>8.5</v>
      </c>
    </row>
    <row r="154" customFormat="false" ht="15" hidden="false" customHeight="false" outlineLevel="0" collapsed="false">
      <c r="A154" s="29" t="n">
        <v>46170</v>
      </c>
      <c r="B154" s="30" t="str">
        <f aca="false">CHOOSE(WEEKDAY(A154),"Sun","Mon","Tue","Wed","Thu","Fri","Sat")</f>
        <v>Thu</v>
      </c>
      <c r="C154" s="30" t="str">
        <f aca="false">IF(IFERROR(INDEX(Holidays!$D$5:$D$60,MATCH(A154,Holidays!$A$5:$A$60,0)),"")="Holiday","Holiday",IF(WEEKDAY(A154)&gt;=6,"Weekend",IF(IFERROR(INDEX(Holidays!$D$5:$D$60,MATCH(A154,Holidays!$A$5:$A$60,0)),"")="Eve","Eve","Workday")))</f>
        <v>Workday</v>
      </c>
      <c r="D154" s="18" t="str">
        <f aca="false">IFERROR(INDEX(Holidays!$C$5:$C$60,MATCH(A154,Holidays!$A$5:$A$60,0)),"")</f>
        <v/>
      </c>
      <c r="E154" s="31"/>
      <c r="F154" s="32"/>
      <c r="G154" s="32"/>
      <c r="H154" s="32"/>
      <c r="I154" s="32"/>
      <c r="J154" s="31"/>
      <c r="K154" s="33" t="str">
        <f aca="false">IF(E154&lt;&gt;"",E154,IF(U154,"Present",IF(C154="Holiday","Holiday","Weekend")))</f>
        <v>Present</v>
      </c>
      <c r="L154" s="34" t="n">
        <f aca="false">IF(OR(K154="Present",K154="Manual Work",K154="Partial Vacation",K154="Partial Sick Leave"),IF(ISNUMBER(F154),F154,IF(AND(K154="Present",U154),Settings!$B$6,"")),"")</f>
        <v>0.333333333333333</v>
      </c>
      <c r="M154" s="34" t="n">
        <f aca="false">IF(OR(K154="Present",K154="Manual Work",K154="Partial Vacation",K154="Partial Sick Leave"),IF(ISNUMBER(G154),G154,IF(AND(K154="Present",U154),V154,"")),"")</f>
        <v>0.6875</v>
      </c>
      <c r="N154" s="14" t="n">
        <f aca="false">IF(AND(ISNUMBER(L154),ISNUMBER(M154)),MAX(0,(M154-L154)*24),0)</f>
        <v>8.5</v>
      </c>
      <c r="O154" s="14" t="n">
        <f aca="false">IF(NOT(U154),0,IF(K154="Vacation",IF(C154="Eve",Settings!$B$9*Settings!$B$11,W154),IF(K154="Partial Vacation",IF(AND(ISNUMBER(H154),ISNUMBER(I154)),MAX(0,(I154-H154)*24),0),0)))</f>
        <v>0</v>
      </c>
      <c r="P154" s="14" t="n">
        <f aca="false">IF(NOT(U154),0,IF(K154="Sick Leave",W154,IF(K154="Partial Sick Leave",IF(AND(ISNUMBER(H154),ISNUMBER(I154)),MAX(0,(I154-H154)*24),0),0)))</f>
        <v>0</v>
      </c>
      <c r="Q154" s="14" t="n">
        <f aca="false">IF(NOT(U154),0,IF(K154="Vacation",IF(C154="Eve",Settings!$B$11,1),IF(K154="Partial Vacation",O154/Settings!$B$9,0)))</f>
        <v>0</v>
      </c>
      <c r="R154" s="14" t="n">
        <f aca="false">IF(NOT(U154),0,IF(K154="Sick Leave",1,IF(K154="Partial Sick Leave",P154/Settings!$B$9,0)))</f>
        <v>0</v>
      </c>
      <c r="S154" s="35" t="str">
        <f aca="false">IF(AND(OR(E154="Vacation",E154="Sick Leave",E154="Partial Vacation",E154="Partial Sick Leave"),NOT(U154)),"Leave not allowed on this day",IF(AND(E154="Manual Work",OR(NOT(ISNUMBER(F154)),NOT(ISNUMBER(G154)))),"Enter start and end",IF(AND(OR(E154="Partial Vacation",E154="Partial Sick Leave"),OR(NOT(ISNUMBER(H154)),NOT(ISNUMBER(I154)))),"Enter leave from and to",IF(AND(ISNUMBER(F154),ISNUMBER(G154),G154&lt;=F154),"End is before start",IF(AND(ISNUMBER(H154),ISNUMBER(I154),I154&lt;=H154),"Leave end is before start",IF(AND(ISNUMBER(F154),ISNUMBER(G154),ISNUMBER(H154),ISNUMBER(I154),F154&lt;I154,H154&lt;G154),"Work and leave hours overlap",IF(AND(E154&lt;&gt;"",WEEKDAY(A154)=7),"Saturday - administrator only","")))))))</f>
        <v/>
      </c>
      <c r="T154" s="36" t="n">
        <f aca="false">MONTH(A154)</f>
        <v>5</v>
      </c>
      <c r="U154" s="37" t="b">
        <f aca="false">OR(C154="Workday",C154="Eve")</f>
        <v>1</v>
      </c>
      <c r="V154" s="34" t="n">
        <f aca="false">IF(C154="Eve",Settings!$B$8,Settings!$B$7)</f>
        <v>0.6875</v>
      </c>
      <c r="W154" s="14" t="n">
        <f aca="false">IF(U154,(V154-Settings!$B$6)*24,0)</f>
        <v>8.5</v>
      </c>
    </row>
    <row r="155" customFormat="false" ht="15" hidden="false" customHeight="false" outlineLevel="0" collapsed="false">
      <c r="A155" s="29" t="n">
        <v>46171</v>
      </c>
      <c r="B155" s="30" t="str">
        <f aca="false">CHOOSE(WEEKDAY(A155),"Sun","Mon","Tue","Wed","Thu","Fri","Sat")</f>
        <v>Fri</v>
      </c>
      <c r="C155" s="30" t="str">
        <f aca="false">IF(IFERROR(INDEX(Holidays!$D$5:$D$60,MATCH(A155,Holidays!$A$5:$A$60,0)),"")="Holiday","Holiday",IF(WEEKDAY(A155)&gt;=6,"Weekend",IF(IFERROR(INDEX(Holidays!$D$5:$D$60,MATCH(A155,Holidays!$A$5:$A$60,0)),"")="Eve","Eve","Workday")))</f>
        <v>Weekend</v>
      </c>
      <c r="D155" s="18" t="str">
        <f aca="false">IFERROR(INDEX(Holidays!$C$5:$C$60,MATCH(A155,Holidays!$A$5:$A$60,0)),"")</f>
        <v/>
      </c>
      <c r="E155" s="31"/>
      <c r="F155" s="32"/>
      <c r="G155" s="32"/>
      <c r="H155" s="32"/>
      <c r="I155" s="32"/>
      <c r="J155" s="31"/>
      <c r="K155" s="33" t="str">
        <f aca="false">IF(E155&lt;&gt;"",E155,IF(U155,"Present",IF(C155="Holiday","Holiday","Weekend")))</f>
        <v>Weekend</v>
      </c>
      <c r="L155" s="34" t="str">
        <f aca="false">IF(OR(K155="Present",K155="Manual Work",K155="Partial Vacation",K155="Partial Sick Leave"),IF(ISNUMBER(F155),F155,IF(AND(K155="Present",U155),Settings!$B$6,"")),"")</f>
        <v/>
      </c>
      <c r="M155" s="34" t="str">
        <f aca="false">IF(OR(K155="Present",K155="Manual Work",K155="Partial Vacation",K155="Partial Sick Leave"),IF(ISNUMBER(G155),G155,IF(AND(K155="Present",U155),V155,"")),"")</f>
        <v/>
      </c>
      <c r="N155" s="14" t="n">
        <f aca="false">IF(AND(ISNUMBER(L155),ISNUMBER(M155)),MAX(0,(M155-L155)*24),0)</f>
        <v>0</v>
      </c>
      <c r="O155" s="14" t="n">
        <f aca="false">IF(NOT(U155),0,IF(K155="Vacation",IF(C155="Eve",Settings!$B$9*Settings!$B$11,W155),IF(K155="Partial Vacation",IF(AND(ISNUMBER(H155),ISNUMBER(I155)),MAX(0,(I155-H155)*24),0),0)))</f>
        <v>0</v>
      </c>
      <c r="P155" s="14" t="n">
        <f aca="false">IF(NOT(U155),0,IF(K155="Sick Leave",W155,IF(K155="Partial Sick Leave",IF(AND(ISNUMBER(H155),ISNUMBER(I155)),MAX(0,(I155-H155)*24),0),0)))</f>
        <v>0</v>
      </c>
      <c r="Q155" s="14" t="n">
        <f aca="false">IF(NOT(U155),0,IF(K155="Vacation",IF(C155="Eve",Settings!$B$11,1),IF(K155="Partial Vacation",O155/Settings!$B$9,0)))</f>
        <v>0</v>
      </c>
      <c r="R155" s="14" t="n">
        <f aca="false">IF(NOT(U155),0,IF(K155="Sick Leave",1,IF(K155="Partial Sick Leave",P155/Settings!$B$9,0)))</f>
        <v>0</v>
      </c>
      <c r="S155" s="35" t="str">
        <f aca="false">IF(AND(OR(E155="Vacation",E155="Sick Leave",E155="Partial Vacation",E155="Partial Sick Leave"),NOT(U155)),"Leave not allowed on this day",IF(AND(E155="Manual Work",OR(NOT(ISNUMBER(F155)),NOT(ISNUMBER(G155)))),"Enter start and end",IF(AND(OR(E155="Partial Vacation",E155="Partial Sick Leave"),OR(NOT(ISNUMBER(H155)),NOT(ISNUMBER(I155)))),"Enter leave from and to",IF(AND(ISNUMBER(F155),ISNUMBER(G155),G155&lt;=F155),"End is before start",IF(AND(ISNUMBER(H155),ISNUMBER(I155),I155&lt;=H155),"Leave end is before start",IF(AND(ISNUMBER(F155),ISNUMBER(G155),ISNUMBER(H155),ISNUMBER(I155),F155&lt;I155,H155&lt;G155),"Work and leave hours overlap",IF(AND(E155&lt;&gt;"",WEEKDAY(A155)=7),"Saturday - administrator only","")))))))</f>
        <v/>
      </c>
      <c r="T155" s="36" t="n">
        <f aca="false">MONTH(A155)</f>
        <v>5</v>
      </c>
      <c r="U155" s="37" t="b">
        <f aca="false">OR(C155="Workday",C155="Eve")</f>
        <v>0</v>
      </c>
      <c r="V155" s="34" t="n">
        <f aca="false">IF(C155="Eve",Settings!$B$8,Settings!$B$7)</f>
        <v>0.6875</v>
      </c>
      <c r="W155" s="14" t="n">
        <f aca="false">IF(U155,(V155-Settings!$B$6)*24,0)</f>
        <v>0</v>
      </c>
    </row>
    <row r="156" customFormat="false" ht="15" hidden="false" customHeight="false" outlineLevel="0" collapsed="false">
      <c r="A156" s="29" t="n">
        <v>46172</v>
      </c>
      <c r="B156" s="30" t="str">
        <f aca="false">CHOOSE(WEEKDAY(A156),"Sun","Mon","Tue","Wed","Thu","Fri","Sat")</f>
        <v>Sat</v>
      </c>
      <c r="C156" s="30" t="str">
        <f aca="false">IF(IFERROR(INDEX(Holidays!$D$5:$D$60,MATCH(A156,Holidays!$A$5:$A$60,0)),"")="Holiday","Holiday",IF(WEEKDAY(A156)&gt;=6,"Weekend",IF(IFERROR(INDEX(Holidays!$D$5:$D$60,MATCH(A156,Holidays!$A$5:$A$60,0)),"")="Eve","Eve","Workday")))</f>
        <v>Weekend</v>
      </c>
      <c r="D156" s="18" t="str">
        <f aca="false">IFERROR(INDEX(Holidays!$C$5:$C$60,MATCH(A156,Holidays!$A$5:$A$60,0)),"")</f>
        <v/>
      </c>
      <c r="E156" s="31"/>
      <c r="F156" s="32"/>
      <c r="G156" s="32"/>
      <c r="H156" s="32"/>
      <c r="I156" s="32"/>
      <c r="J156" s="31"/>
      <c r="K156" s="33" t="str">
        <f aca="false">IF(E156&lt;&gt;"",E156,IF(U156,"Present",IF(C156="Holiday","Holiday","Weekend")))</f>
        <v>Weekend</v>
      </c>
      <c r="L156" s="34" t="str">
        <f aca="false">IF(OR(K156="Present",K156="Manual Work",K156="Partial Vacation",K156="Partial Sick Leave"),IF(ISNUMBER(F156),F156,IF(AND(K156="Present",U156),Settings!$B$6,"")),"")</f>
        <v/>
      </c>
      <c r="M156" s="34" t="str">
        <f aca="false">IF(OR(K156="Present",K156="Manual Work",K156="Partial Vacation",K156="Partial Sick Leave"),IF(ISNUMBER(G156),G156,IF(AND(K156="Present",U156),V156,"")),"")</f>
        <v/>
      </c>
      <c r="N156" s="14" t="n">
        <f aca="false">IF(AND(ISNUMBER(L156),ISNUMBER(M156)),MAX(0,(M156-L156)*24),0)</f>
        <v>0</v>
      </c>
      <c r="O156" s="14" t="n">
        <f aca="false">IF(NOT(U156),0,IF(K156="Vacation",IF(C156="Eve",Settings!$B$9*Settings!$B$11,W156),IF(K156="Partial Vacation",IF(AND(ISNUMBER(H156),ISNUMBER(I156)),MAX(0,(I156-H156)*24),0),0)))</f>
        <v>0</v>
      </c>
      <c r="P156" s="14" t="n">
        <f aca="false">IF(NOT(U156),0,IF(K156="Sick Leave",W156,IF(K156="Partial Sick Leave",IF(AND(ISNUMBER(H156),ISNUMBER(I156)),MAX(0,(I156-H156)*24),0),0)))</f>
        <v>0</v>
      </c>
      <c r="Q156" s="14" t="n">
        <f aca="false">IF(NOT(U156),0,IF(K156="Vacation",IF(C156="Eve",Settings!$B$11,1),IF(K156="Partial Vacation",O156/Settings!$B$9,0)))</f>
        <v>0</v>
      </c>
      <c r="R156" s="14" t="n">
        <f aca="false">IF(NOT(U156),0,IF(K156="Sick Leave",1,IF(K156="Partial Sick Leave",P156/Settings!$B$9,0)))</f>
        <v>0</v>
      </c>
      <c r="S156" s="35" t="str">
        <f aca="false">IF(AND(OR(E156="Vacation",E156="Sick Leave",E156="Partial Vacation",E156="Partial Sick Leave"),NOT(U156)),"Leave not allowed on this day",IF(AND(E156="Manual Work",OR(NOT(ISNUMBER(F156)),NOT(ISNUMBER(G156)))),"Enter start and end",IF(AND(OR(E156="Partial Vacation",E156="Partial Sick Leave"),OR(NOT(ISNUMBER(H156)),NOT(ISNUMBER(I156)))),"Enter leave from and to",IF(AND(ISNUMBER(F156),ISNUMBER(G156),G156&lt;=F156),"End is before start",IF(AND(ISNUMBER(H156),ISNUMBER(I156),I156&lt;=H156),"Leave end is before start",IF(AND(ISNUMBER(F156),ISNUMBER(G156),ISNUMBER(H156),ISNUMBER(I156),F156&lt;I156,H156&lt;G156),"Work and leave hours overlap",IF(AND(E156&lt;&gt;"",WEEKDAY(A156)=7),"Saturday - administrator only","")))))))</f>
        <v/>
      </c>
      <c r="T156" s="36" t="n">
        <f aca="false">MONTH(A156)</f>
        <v>5</v>
      </c>
      <c r="U156" s="37" t="b">
        <f aca="false">OR(C156="Workday",C156="Eve")</f>
        <v>0</v>
      </c>
      <c r="V156" s="34" t="n">
        <f aca="false">IF(C156="Eve",Settings!$B$8,Settings!$B$7)</f>
        <v>0.6875</v>
      </c>
      <c r="W156" s="14" t="n">
        <f aca="false">IF(U156,(V156-Settings!$B$6)*24,0)</f>
        <v>0</v>
      </c>
    </row>
    <row r="157" customFormat="false" ht="15" hidden="false" customHeight="false" outlineLevel="0" collapsed="false">
      <c r="A157" s="29" t="n">
        <v>46173</v>
      </c>
      <c r="B157" s="30" t="str">
        <f aca="false">CHOOSE(WEEKDAY(A157),"Sun","Mon","Tue","Wed","Thu","Fri","Sat")</f>
        <v>Sun</v>
      </c>
      <c r="C157" s="30" t="str">
        <f aca="false">IF(IFERROR(INDEX(Holidays!$D$5:$D$60,MATCH(A157,Holidays!$A$5:$A$60,0)),"")="Holiday","Holiday",IF(WEEKDAY(A157)&gt;=6,"Weekend",IF(IFERROR(INDEX(Holidays!$D$5:$D$60,MATCH(A157,Holidays!$A$5:$A$60,0)),"")="Eve","Eve","Workday")))</f>
        <v>Workday</v>
      </c>
      <c r="D157" s="18" t="str">
        <f aca="false">IFERROR(INDEX(Holidays!$C$5:$C$60,MATCH(A157,Holidays!$A$5:$A$60,0)),"")</f>
        <v/>
      </c>
      <c r="E157" s="31"/>
      <c r="F157" s="32"/>
      <c r="G157" s="32"/>
      <c r="H157" s="32"/>
      <c r="I157" s="32"/>
      <c r="J157" s="31"/>
      <c r="K157" s="33" t="str">
        <f aca="false">IF(E157&lt;&gt;"",E157,IF(U157,"Present",IF(C157="Holiday","Holiday","Weekend")))</f>
        <v>Present</v>
      </c>
      <c r="L157" s="34" t="n">
        <f aca="false">IF(OR(K157="Present",K157="Manual Work",K157="Partial Vacation",K157="Partial Sick Leave"),IF(ISNUMBER(F157),F157,IF(AND(K157="Present",U157),Settings!$B$6,"")),"")</f>
        <v>0.333333333333333</v>
      </c>
      <c r="M157" s="34" t="n">
        <f aca="false">IF(OR(K157="Present",K157="Manual Work",K157="Partial Vacation",K157="Partial Sick Leave"),IF(ISNUMBER(G157),G157,IF(AND(K157="Present",U157),V157,"")),"")</f>
        <v>0.6875</v>
      </c>
      <c r="N157" s="14" t="n">
        <f aca="false">IF(AND(ISNUMBER(L157),ISNUMBER(M157)),MAX(0,(M157-L157)*24),0)</f>
        <v>8.5</v>
      </c>
      <c r="O157" s="14" t="n">
        <f aca="false">IF(NOT(U157),0,IF(K157="Vacation",IF(C157="Eve",Settings!$B$9*Settings!$B$11,W157),IF(K157="Partial Vacation",IF(AND(ISNUMBER(H157),ISNUMBER(I157)),MAX(0,(I157-H157)*24),0),0)))</f>
        <v>0</v>
      </c>
      <c r="P157" s="14" t="n">
        <f aca="false">IF(NOT(U157),0,IF(K157="Sick Leave",W157,IF(K157="Partial Sick Leave",IF(AND(ISNUMBER(H157),ISNUMBER(I157)),MAX(0,(I157-H157)*24),0),0)))</f>
        <v>0</v>
      </c>
      <c r="Q157" s="14" t="n">
        <f aca="false">IF(NOT(U157),0,IF(K157="Vacation",IF(C157="Eve",Settings!$B$11,1),IF(K157="Partial Vacation",O157/Settings!$B$9,0)))</f>
        <v>0</v>
      </c>
      <c r="R157" s="14" t="n">
        <f aca="false">IF(NOT(U157),0,IF(K157="Sick Leave",1,IF(K157="Partial Sick Leave",P157/Settings!$B$9,0)))</f>
        <v>0</v>
      </c>
      <c r="S157" s="35" t="str">
        <f aca="false">IF(AND(OR(E157="Vacation",E157="Sick Leave",E157="Partial Vacation",E157="Partial Sick Leave"),NOT(U157)),"Leave not allowed on this day",IF(AND(E157="Manual Work",OR(NOT(ISNUMBER(F157)),NOT(ISNUMBER(G157)))),"Enter start and end",IF(AND(OR(E157="Partial Vacation",E157="Partial Sick Leave"),OR(NOT(ISNUMBER(H157)),NOT(ISNUMBER(I157)))),"Enter leave from and to",IF(AND(ISNUMBER(F157),ISNUMBER(G157),G157&lt;=F157),"End is before start",IF(AND(ISNUMBER(H157),ISNUMBER(I157),I157&lt;=H157),"Leave end is before start",IF(AND(ISNUMBER(F157),ISNUMBER(G157),ISNUMBER(H157),ISNUMBER(I157),F157&lt;I157,H157&lt;G157),"Work and leave hours overlap",IF(AND(E157&lt;&gt;"",WEEKDAY(A157)=7),"Saturday - administrator only","")))))))</f>
        <v/>
      </c>
      <c r="T157" s="36" t="n">
        <f aca="false">MONTH(A157)</f>
        <v>5</v>
      </c>
      <c r="U157" s="37" t="b">
        <f aca="false">OR(C157="Workday",C157="Eve")</f>
        <v>1</v>
      </c>
      <c r="V157" s="34" t="n">
        <f aca="false">IF(C157="Eve",Settings!$B$8,Settings!$B$7)</f>
        <v>0.6875</v>
      </c>
      <c r="W157" s="14" t="n">
        <f aca="false">IF(U157,(V157-Settings!$B$6)*24,0)</f>
        <v>8.5</v>
      </c>
    </row>
    <row r="158" customFormat="false" ht="15" hidden="false" customHeight="false" outlineLevel="0" collapsed="false">
      <c r="A158" s="29" t="n">
        <v>46174</v>
      </c>
      <c r="B158" s="30" t="str">
        <f aca="false">CHOOSE(WEEKDAY(A158),"Sun","Mon","Tue","Wed","Thu","Fri","Sat")</f>
        <v>Mon</v>
      </c>
      <c r="C158" s="30" t="str">
        <f aca="false">IF(IFERROR(INDEX(Holidays!$D$5:$D$60,MATCH(A158,Holidays!$A$5:$A$60,0)),"")="Holiday","Holiday",IF(WEEKDAY(A158)&gt;=6,"Weekend",IF(IFERROR(INDEX(Holidays!$D$5:$D$60,MATCH(A158,Holidays!$A$5:$A$60,0)),"")="Eve","Eve","Workday")))</f>
        <v>Workday</v>
      </c>
      <c r="D158" s="18" t="str">
        <f aca="false">IFERROR(INDEX(Holidays!$C$5:$C$60,MATCH(A158,Holidays!$A$5:$A$60,0)),"")</f>
        <v/>
      </c>
      <c r="E158" s="31"/>
      <c r="F158" s="32"/>
      <c r="G158" s="32"/>
      <c r="H158" s="32"/>
      <c r="I158" s="32"/>
      <c r="J158" s="31"/>
      <c r="K158" s="33" t="str">
        <f aca="false">IF(E158&lt;&gt;"",E158,IF(U158,"Present",IF(C158="Holiday","Holiday","Weekend")))</f>
        <v>Present</v>
      </c>
      <c r="L158" s="34" t="n">
        <f aca="false">IF(OR(K158="Present",K158="Manual Work",K158="Partial Vacation",K158="Partial Sick Leave"),IF(ISNUMBER(F158),F158,IF(AND(K158="Present",U158),Settings!$B$6,"")),"")</f>
        <v>0.333333333333333</v>
      </c>
      <c r="M158" s="34" t="n">
        <f aca="false">IF(OR(K158="Present",K158="Manual Work",K158="Partial Vacation",K158="Partial Sick Leave"),IF(ISNUMBER(G158),G158,IF(AND(K158="Present",U158),V158,"")),"")</f>
        <v>0.6875</v>
      </c>
      <c r="N158" s="14" t="n">
        <f aca="false">IF(AND(ISNUMBER(L158),ISNUMBER(M158)),MAX(0,(M158-L158)*24),0)</f>
        <v>8.5</v>
      </c>
      <c r="O158" s="14" t="n">
        <f aca="false">IF(NOT(U158),0,IF(K158="Vacation",IF(C158="Eve",Settings!$B$9*Settings!$B$11,W158),IF(K158="Partial Vacation",IF(AND(ISNUMBER(H158),ISNUMBER(I158)),MAX(0,(I158-H158)*24),0),0)))</f>
        <v>0</v>
      </c>
      <c r="P158" s="14" t="n">
        <f aca="false">IF(NOT(U158),0,IF(K158="Sick Leave",W158,IF(K158="Partial Sick Leave",IF(AND(ISNUMBER(H158),ISNUMBER(I158)),MAX(0,(I158-H158)*24),0),0)))</f>
        <v>0</v>
      </c>
      <c r="Q158" s="14" t="n">
        <f aca="false">IF(NOT(U158),0,IF(K158="Vacation",IF(C158="Eve",Settings!$B$11,1),IF(K158="Partial Vacation",O158/Settings!$B$9,0)))</f>
        <v>0</v>
      </c>
      <c r="R158" s="14" t="n">
        <f aca="false">IF(NOT(U158),0,IF(K158="Sick Leave",1,IF(K158="Partial Sick Leave",P158/Settings!$B$9,0)))</f>
        <v>0</v>
      </c>
      <c r="S158" s="35" t="str">
        <f aca="false">IF(AND(OR(E158="Vacation",E158="Sick Leave",E158="Partial Vacation",E158="Partial Sick Leave"),NOT(U158)),"Leave not allowed on this day",IF(AND(E158="Manual Work",OR(NOT(ISNUMBER(F158)),NOT(ISNUMBER(G158)))),"Enter start and end",IF(AND(OR(E158="Partial Vacation",E158="Partial Sick Leave"),OR(NOT(ISNUMBER(H158)),NOT(ISNUMBER(I158)))),"Enter leave from and to",IF(AND(ISNUMBER(F158),ISNUMBER(G158),G158&lt;=F158),"End is before start",IF(AND(ISNUMBER(H158),ISNUMBER(I158),I158&lt;=H158),"Leave end is before start",IF(AND(ISNUMBER(F158),ISNUMBER(G158),ISNUMBER(H158),ISNUMBER(I158),F158&lt;I158,H158&lt;G158),"Work and leave hours overlap",IF(AND(E158&lt;&gt;"",WEEKDAY(A158)=7),"Saturday - administrator only","")))))))</f>
        <v/>
      </c>
      <c r="T158" s="36" t="n">
        <f aca="false">MONTH(A158)</f>
        <v>6</v>
      </c>
      <c r="U158" s="37" t="b">
        <f aca="false">OR(C158="Workday",C158="Eve")</f>
        <v>1</v>
      </c>
      <c r="V158" s="34" t="n">
        <f aca="false">IF(C158="Eve",Settings!$B$8,Settings!$B$7)</f>
        <v>0.6875</v>
      </c>
      <c r="W158" s="14" t="n">
        <f aca="false">IF(U158,(V158-Settings!$B$6)*24,0)</f>
        <v>8.5</v>
      </c>
    </row>
    <row r="159" customFormat="false" ht="15" hidden="false" customHeight="false" outlineLevel="0" collapsed="false">
      <c r="A159" s="29" t="n">
        <v>46175</v>
      </c>
      <c r="B159" s="30" t="str">
        <f aca="false">CHOOSE(WEEKDAY(A159),"Sun","Mon","Tue","Wed","Thu","Fri","Sat")</f>
        <v>Tue</v>
      </c>
      <c r="C159" s="30" t="str">
        <f aca="false">IF(IFERROR(INDEX(Holidays!$D$5:$D$60,MATCH(A159,Holidays!$A$5:$A$60,0)),"")="Holiday","Holiday",IF(WEEKDAY(A159)&gt;=6,"Weekend",IF(IFERROR(INDEX(Holidays!$D$5:$D$60,MATCH(A159,Holidays!$A$5:$A$60,0)),"")="Eve","Eve","Workday")))</f>
        <v>Workday</v>
      </c>
      <c r="D159" s="18" t="str">
        <f aca="false">IFERROR(INDEX(Holidays!$C$5:$C$60,MATCH(A159,Holidays!$A$5:$A$60,0)),"")</f>
        <v/>
      </c>
      <c r="E159" s="31"/>
      <c r="F159" s="32"/>
      <c r="G159" s="32"/>
      <c r="H159" s="32"/>
      <c r="I159" s="32"/>
      <c r="J159" s="31"/>
      <c r="K159" s="33" t="str">
        <f aca="false">IF(E159&lt;&gt;"",E159,IF(U159,"Present",IF(C159="Holiday","Holiday","Weekend")))</f>
        <v>Present</v>
      </c>
      <c r="L159" s="34" t="n">
        <f aca="false">IF(OR(K159="Present",K159="Manual Work",K159="Partial Vacation",K159="Partial Sick Leave"),IF(ISNUMBER(F159),F159,IF(AND(K159="Present",U159),Settings!$B$6,"")),"")</f>
        <v>0.333333333333333</v>
      </c>
      <c r="M159" s="34" t="n">
        <f aca="false">IF(OR(K159="Present",K159="Manual Work",K159="Partial Vacation",K159="Partial Sick Leave"),IF(ISNUMBER(G159),G159,IF(AND(K159="Present",U159),V159,"")),"")</f>
        <v>0.6875</v>
      </c>
      <c r="N159" s="14" t="n">
        <f aca="false">IF(AND(ISNUMBER(L159),ISNUMBER(M159)),MAX(0,(M159-L159)*24),0)</f>
        <v>8.5</v>
      </c>
      <c r="O159" s="14" t="n">
        <f aca="false">IF(NOT(U159),0,IF(K159="Vacation",IF(C159="Eve",Settings!$B$9*Settings!$B$11,W159),IF(K159="Partial Vacation",IF(AND(ISNUMBER(H159),ISNUMBER(I159)),MAX(0,(I159-H159)*24),0),0)))</f>
        <v>0</v>
      </c>
      <c r="P159" s="14" t="n">
        <f aca="false">IF(NOT(U159),0,IF(K159="Sick Leave",W159,IF(K159="Partial Sick Leave",IF(AND(ISNUMBER(H159),ISNUMBER(I159)),MAX(0,(I159-H159)*24),0),0)))</f>
        <v>0</v>
      </c>
      <c r="Q159" s="14" t="n">
        <f aca="false">IF(NOT(U159),0,IF(K159="Vacation",IF(C159="Eve",Settings!$B$11,1),IF(K159="Partial Vacation",O159/Settings!$B$9,0)))</f>
        <v>0</v>
      </c>
      <c r="R159" s="14" t="n">
        <f aca="false">IF(NOT(U159),0,IF(K159="Sick Leave",1,IF(K159="Partial Sick Leave",P159/Settings!$B$9,0)))</f>
        <v>0</v>
      </c>
      <c r="S159" s="35" t="str">
        <f aca="false">IF(AND(OR(E159="Vacation",E159="Sick Leave",E159="Partial Vacation",E159="Partial Sick Leave"),NOT(U159)),"Leave not allowed on this day",IF(AND(E159="Manual Work",OR(NOT(ISNUMBER(F159)),NOT(ISNUMBER(G159)))),"Enter start and end",IF(AND(OR(E159="Partial Vacation",E159="Partial Sick Leave"),OR(NOT(ISNUMBER(H159)),NOT(ISNUMBER(I159)))),"Enter leave from and to",IF(AND(ISNUMBER(F159),ISNUMBER(G159),G159&lt;=F159),"End is before start",IF(AND(ISNUMBER(H159),ISNUMBER(I159),I159&lt;=H159),"Leave end is before start",IF(AND(ISNUMBER(F159),ISNUMBER(G159),ISNUMBER(H159),ISNUMBER(I159),F159&lt;I159,H159&lt;G159),"Work and leave hours overlap",IF(AND(E159&lt;&gt;"",WEEKDAY(A159)=7),"Saturday - administrator only","")))))))</f>
        <v/>
      </c>
      <c r="T159" s="36" t="n">
        <f aca="false">MONTH(A159)</f>
        <v>6</v>
      </c>
      <c r="U159" s="37" t="b">
        <f aca="false">OR(C159="Workday",C159="Eve")</f>
        <v>1</v>
      </c>
      <c r="V159" s="34" t="n">
        <f aca="false">IF(C159="Eve",Settings!$B$8,Settings!$B$7)</f>
        <v>0.6875</v>
      </c>
      <c r="W159" s="14" t="n">
        <f aca="false">IF(U159,(V159-Settings!$B$6)*24,0)</f>
        <v>8.5</v>
      </c>
    </row>
    <row r="160" customFormat="false" ht="15" hidden="false" customHeight="false" outlineLevel="0" collapsed="false">
      <c r="A160" s="29" t="n">
        <v>46176</v>
      </c>
      <c r="B160" s="30" t="str">
        <f aca="false">CHOOSE(WEEKDAY(A160),"Sun","Mon","Tue","Wed","Thu","Fri","Sat")</f>
        <v>Wed</v>
      </c>
      <c r="C160" s="30" t="str">
        <f aca="false">IF(IFERROR(INDEX(Holidays!$D$5:$D$60,MATCH(A160,Holidays!$A$5:$A$60,0)),"")="Holiday","Holiday",IF(WEEKDAY(A160)&gt;=6,"Weekend",IF(IFERROR(INDEX(Holidays!$D$5:$D$60,MATCH(A160,Holidays!$A$5:$A$60,0)),"")="Eve","Eve","Workday")))</f>
        <v>Workday</v>
      </c>
      <c r="D160" s="18" t="str">
        <f aca="false">IFERROR(INDEX(Holidays!$C$5:$C$60,MATCH(A160,Holidays!$A$5:$A$60,0)),"")</f>
        <v/>
      </c>
      <c r="E160" s="31"/>
      <c r="F160" s="32"/>
      <c r="G160" s="32"/>
      <c r="H160" s="32"/>
      <c r="I160" s="32"/>
      <c r="J160" s="31"/>
      <c r="K160" s="33" t="str">
        <f aca="false">IF(E160&lt;&gt;"",E160,IF(U160,"Present",IF(C160="Holiday","Holiday","Weekend")))</f>
        <v>Present</v>
      </c>
      <c r="L160" s="34" t="n">
        <f aca="false">IF(OR(K160="Present",K160="Manual Work",K160="Partial Vacation",K160="Partial Sick Leave"),IF(ISNUMBER(F160),F160,IF(AND(K160="Present",U160),Settings!$B$6,"")),"")</f>
        <v>0.333333333333333</v>
      </c>
      <c r="M160" s="34" t="n">
        <f aca="false">IF(OR(K160="Present",K160="Manual Work",K160="Partial Vacation",K160="Partial Sick Leave"),IF(ISNUMBER(G160),G160,IF(AND(K160="Present",U160),V160,"")),"")</f>
        <v>0.6875</v>
      </c>
      <c r="N160" s="14" t="n">
        <f aca="false">IF(AND(ISNUMBER(L160),ISNUMBER(M160)),MAX(0,(M160-L160)*24),0)</f>
        <v>8.5</v>
      </c>
      <c r="O160" s="14" t="n">
        <f aca="false">IF(NOT(U160),0,IF(K160="Vacation",IF(C160="Eve",Settings!$B$9*Settings!$B$11,W160),IF(K160="Partial Vacation",IF(AND(ISNUMBER(H160),ISNUMBER(I160)),MAX(0,(I160-H160)*24),0),0)))</f>
        <v>0</v>
      </c>
      <c r="P160" s="14" t="n">
        <f aca="false">IF(NOT(U160),0,IF(K160="Sick Leave",W160,IF(K160="Partial Sick Leave",IF(AND(ISNUMBER(H160),ISNUMBER(I160)),MAX(0,(I160-H160)*24),0),0)))</f>
        <v>0</v>
      </c>
      <c r="Q160" s="14" t="n">
        <f aca="false">IF(NOT(U160),0,IF(K160="Vacation",IF(C160="Eve",Settings!$B$11,1),IF(K160="Partial Vacation",O160/Settings!$B$9,0)))</f>
        <v>0</v>
      </c>
      <c r="R160" s="14" t="n">
        <f aca="false">IF(NOT(U160),0,IF(K160="Sick Leave",1,IF(K160="Partial Sick Leave",P160/Settings!$B$9,0)))</f>
        <v>0</v>
      </c>
      <c r="S160" s="35" t="str">
        <f aca="false">IF(AND(OR(E160="Vacation",E160="Sick Leave",E160="Partial Vacation",E160="Partial Sick Leave"),NOT(U160)),"Leave not allowed on this day",IF(AND(E160="Manual Work",OR(NOT(ISNUMBER(F160)),NOT(ISNUMBER(G160)))),"Enter start and end",IF(AND(OR(E160="Partial Vacation",E160="Partial Sick Leave"),OR(NOT(ISNUMBER(H160)),NOT(ISNUMBER(I160)))),"Enter leave from and to",IF(AND(ISNUMBER(F160),ISNUMBER(G160),G160&lt;=F160),"End is before start",IF(AND(ISNUMBER(H160),ISNUMBER(I160),I160&lt;=H160),"Leave end is before start",IF(AND(ISNUMBER(F160),ISNUMBER(G160),ISNUMBER(H160),ISNUMBER(I160),F160&lt;I160,H160&lt;G160),"Work and leave hours overlap",IF(AND(E160&lt;&gt;"",WEEKDAY(A160)=7),"Saturday - administrator only","")))))))</f>
        <v/>
      </c>
      <c r="T160" s="36" t="n">
        <f aca="false">MONTH(A160)</f>
        <v>6</v>
      </c>
      <c r="U160" s="37" t="b">
        <f aca="false">OR(C160="Workday",C160="Eve")</f>
        <v>1</v>
      </c>
      <c r="V160" s="34" t="n">
        <f aca="false">IF(C160="Eve",Settings!$B$8,Settings!$B$7)</f>
        <v>0.6875</v>
      </c>
      <c r="W160" s="14" t="n">
        <f aca="false">IF(U160,(V160-Settings!$B$6)*24,0)</f>
        <v>8.5</v>
      </c>
    </row>
    <row r="161" customFormat="false" ht="15" hidden="false" customHeight="false" outlineLevel="0" collapsed="false">
      <c r="A161" s="29" t="n">
        <v>46177</v>
      </c>
      <c r="B161" s="30" t="str">
        <f aca="false">CHOOSE(WEEKDAY(A161),"Sun","Mon","Tue","Wed","Thu","Fri","Sat")</f>
        <v>Thu</v>
      </c>
      <c r="C161" s="30" t="str">
        <f aca="false">IF(IFERROR(INDEX(Holidays!$D$5:$D$60,MATCH(A161,Holidays!$A$5:$A$60,0)),"")="Holiday","Holiday",IF(WEEKDAY(A161)&gt;=6,"Weekend",IF(IFERROR(INDEX(Holidays!$D$5:$D$60,MATCH(A161,Holidays!$A$5:$A$60,0)),"")="Eve","Eve","Workday")))</f>
        <v>Workday</v>
      </c>
      <c r="D161" s="18" t="str">
        <f aca="false">IFERROR(INDEX(Holidays!$C$5:$C$60,MATCH(A161,Holidays!$A$5:$A$60,0)),"")</f>
        <v/>
      </c>
      <c r="E161" s="31"/>
      <c r="F161" s="32"/>
      <c r="G161" s="32"/>
      <c r="H161" s="32"/>
      <c r="I161" s="32"/>
      <c r="J161" s="31"/>
      <c r="K161" s="33" t="str">
        <f aca="false">IF(E161&lt;&gt;"",E161,IF(U161,"Present",IF(C161="Holiday","Holiday","Weekend")))</f>
        <v>Present</v>
      </c>
      <c r="L161" s="34" t="n">
        <f aca="false">IF(OR(K161="Present",K161="Manual Work",K161="Partial Vacation",K161="Partial Sick Leave"),IF(ISNUMBER(F161),F161,IF(AND(K161="Present",U161),Settings!$B$6,"")),"")</f>
        <v>0.333333333333333</v>
      </c>
      <c r="M161" s="34" t="n">
        <f aca="false">IF(OR(K161="Present",K161="Manual Work",K161="Partial Vacation",K161="Partial Sick Leave"),IF(ISNUMBER(G161),G161,IF(AND(K161="Present",U161),V161,"")),"")</f>
        <v>0.6875</v>
      </c>
      <c r="N161" s="14" t="n">
        <f aca="false">IF(AND(ISNUMBER(L161),ISNUMBER(M161)),MAX(0,(M161-L161)*24),0)</f>
        <v>8.5</v>
      </c>
      <c r="O161" s="14" t="n">
        <f aca="false">IF(NOT(U161),0,IF(K161="Vacation",IF(C161="Eve",Settings!$B$9*Settings!$B$11,W161),IF(K161="Partial Vacation",IF(AND(ISNUMBER(H161),ISNUMBER(I161)),MAX(0,(I161-H161)*24),0),0)))</f>
        <v>0</v>
      </c>
      <c r="P161" s="14" t="n">
        <f aca="false">IF(NOT(U161),0,IF(K161="Sick Leave",W161,IF(K161="Partial Sick Leave",IF(AND(ISNUMBER(H161),ISNUMBER(I161)),MAX(0,(I161-H161)*24),0),0)))</f>
        <v>0</v>
      </c>
      <c r="Q161" s="14" t="n">
        <f aca="false">IF(NOT(U161),0,IF(K161="Vacation",IF(C161="Eve",Settings!$B$11,1),IF(K161="Partial Vacation",O161/Settings!$B$9,0)))</f>
        <v>0</v>
      </c>
      <c r="R161" s="14" t="n">
        <f aca="false">IF(NOT(U161),0,IF(K161="Sick Leave",1,IF(K161="Partial Sick Leave",P161/Settings!$B$9,0)))</f>
        <v>0</v>
      </c>
      <c r="S161" s="35" t="str">
        <f aca="false">IF(AND(OR(E161="Vacation",E161="Sick Leave",E161="Partial Vacation",E161="Partial Sick Leave"),NOT(U161)),"Leave not allowed on this day",IF(AND(E161="Manual Work",OR(NOT(ISNUMBER(F161)),NOT(ISNUMBER(G161)))),"Enter start and end",IF(AND(OR(E161="Partial Vacation",E161="Partial Sick Leave"),OR(NOT(ISNUMBER(H161)),NOT(ISNUMBER(I161)))),"Enter leave from and to",IF(AND(ISNUMBER(F161),ISNUMBER(G161),G161&lt;=F161),"End is before start",IF(AND(ISNUMBER(H161),ISNUMBER(I161),I161&lt;=H161),"Leave end is before start",IF(AND(ISNUMBER(F161),ISNUMBER(G161),ISNUMBER(H161),ISNUMBER(I161),F161&lt;I161,H161&lt;G161),"Work and leave hours overlap",IF(AND(E161&lt;&gt;"",WEEKDAY(A161)=7),"Saturday - administrator only","")))))))</f>
        <v/>
      </c>
      <c r="T161" s="36" t="n">
        <f aca="false">MONTH(A161)</f>
        <v>6</v>
      </c>
      <c r="U161" s="37" t="b">
        <f aca="false">OR(C161="Workday",C161="Eve")</f>
        <v>1</v>
      </c>
      <c r="V161" s="34" t="n">
        <f aca="false">IF(C161="Eve",Settings!$B$8,Settings!$B$7)</f>
        <v>0.6875</v>
      </c>
      <c r="W161" s="14" t="n">
        <f aca="false">IF(U161,(V161-Settings!$B$6)*24,0)</f>
        <v>8.5</v>
      </c>
    </row>
    <row r="162" customFormat="false" ht="15" hidden="false" customHeight="false" outlineLevel="0" collapsed="false">
      <c r="A162" s="29" t="n">
        <v>46178</v>
      </c>
      <c r="B162" s="30" t="str">
        <f aca="false">CHOOSE(WEEKDAY(A162),"Sun","Mon","Tue","Wed","Thu","Fri","Sat")</f>
        <v>Fri</v>
      </c>
      <c r="C162" s="30" t="str">
        <f aca="false">IF(IFERROR(INDEX(Holidays!$D$5:$D$60,MATCH(A162,Holidays!$A$5:$A$60,0)),"")="Holiday","Holiday",IF(WEEKDAY(A162)&gt;=6,"Weekend",IF(IFERROR(INDEX(Holidays!$D$5:$D$60,MATCH(A162,Holidays!$A$5:$A$60,0)),"")="Eve","Eve","Workday")))</f>
        <v>Weekend</v>
      </c>
      <c r="D162" s="18" t="str">
        <f aca="false">IFERROR(INDEX(Holidays!$C$5:$C$60,MATCH(A162,Holidays!$A$5:$A$60,0)),"")</f>
        <v/>
      </c>
      <c r="E162" s="31"/>
      <c r="F162" s="32"/>
      <c r="G162" s="32"/>
      <c r="H162" s="32"/>
      <c r="I162" s="32"/>
      <c r="J162" s="31"/>
      <c r="K162" s="33" t="str">
        <f aca="false">IF(E162&lt;&gt;"",E162,IF(U162,"Present",IF(C162="Holiday","Holiday","Weekend")))</f>
        <v>Weekend</v>
      </c>
      <c r="L162" s="34" t="str">
        <f aca="false">IF(OR(K162="Present",K162="Manual Work",K162="Partial Vacation",K162="Partial Sick Leave"),IF(ISNUMBER(F162),F162,IF(AND(K162="Present",U162),Settings!$B$6,"")),"")</f>
        <v/>
      </c>
      <c r="M162" s="34" t="str">
        <f aca="false">IF(OR(K162="Present",K162="Manual Work",K162="Partial Vacation",K162="Partial Sick Leave"),IF(ISNUMBER(G162),G162,IF(AND(K162="Present",U162),V162,"")),"")</f>
        <v/>
      </c>
      <c r="N162" s="14" t="n">
        <f aca="false">IF(AND(ISNUMBER(L162),ISNUMBER(M162)),MAX(0,(M162-L162)*24),0)</f>
        <v>0</v>
      </c>
      <c r="O162" s="14" t="n">
        <f aca="false">IF(NOT(U162),0,IF(K162="Vacation",IF(C162="Eve",Settings!$B$9*Settings!$B$11,W162),IF(K162="Partial Vacation",IF(AND(ISNUMBER(H162),ISNUMBER(I162)),MAX(0,(I162-H162)*24),0),0)))</f>
        <v>0</v>
      </c>
      <c r="P162" s="14" t="n">
        <f aca="false">IF(NOT(U162),0,IF(K162="Sick Leave",W162,IF(K162="Partial Sick Leave",IF(AND(ISNUMBER(H162),ISNUMBER(I162)),MAX(0,(I162-H162)*24),0),0)))</f>
        <v>0</v>
      </c>
      <c r="Q162" s="14" t="n">
        <f aca="false">IF(NOT(U162),0,IF(K162="Vacation",IF(C162="Eve",Settings!$B$11,1),IF(K162="Partial Vacation",O162/Settings!$B$9,0)))</f>
        <v>0</v>
      </c>
      <c r="R162" s="14" t="n">
        <f aca="false">IF(NOT(U162),0,IF(K162="Sick Leave",1,IF(K162="Partial Sick Leave",P162/Settings!$B$9,0)))</f>
        <v>0</v>
      </c>
      <c r="S162" s="35" t="str">
        <f aca="false">IF(AND(OR(E162="Vacation",E162="Sick Leave",E162="Partial Vacation",E162="Partial Sick Leave"),NOT(U162)),"Leave not allowed on this day",IF(AND(E162="Manual Work",OR(NOT(ISNUMBER(F162)),NOT(ISNUMBER(G162)))),"Enter start and end",IF(AND(OR(E162="Partial Vacation",E162="Partial Sick Leave"),OR(NOT(ISNUMBER(H162)),NOT(ISNUMBER(I162)))),"Enter leave from and to",IF(AND(ISNUMBER(F162),ISNUMBER(G162),G162&lt;=F162),"End is before start",IF(AND(ISNUMBER(H162),ISNUMBER(I162),I162&lt;=H162),"Leave end is before start",IF(AND(ISNUMBER(F162),ISNUMBER(G162),ISNUMBER(H162),ISNUMBER(I162),F162&lt;I162,H162&lt;G162),"Work and leave hours overlap",IF(AND(E162&lt;&gt;"",WEEKDAY(A162)=7),"Saturday - administrator only","")))))))</f>
        <v/>
      </c>
      <c r="T162" s="36" t="n">
        <f aca="false">MONTH(A162)</f>
        <v>6</v>
      </c>
      <c r="U162" s="37" t="b">
        <f aca="false">OR(C162="Workday",C162="Eve")</f>
        <v>0</v>
      </c>
      <c r="V162" s="34" t="n">
        <f aca="false">IF(C162="Eve",Settings!$B$8,Settings!$B$7)</f>
        <v>0.6875</v>
      </c>
      <c r="W162" s="14" t="n">
        <f aca="false">IF(U162,(V162-Settings!$B$6)*24,0)</f>
        <v>0</v>
      </c>
    </row>
    <row r="163" customFormat="false" ht="15" hidden="false" customHeight="false" outlineLevel="0" collapsed="false">
      <c r="A163" s="29" t="n">
        <v>46179</v>
      </c>
      <c r="B163" s="30" t="str">
        <f aca="false">CHOOSE(WEEKDAY(A163),"Sun","Mon","Tue","Wed","Thu","Fri","Sat")</f>
        <v>Sat</v>
      </c>
      <c r="C163" s="30" t="str">
        <f aca="false">IF(IFERROR(INDEX(Holidays!$D$5:$D$60,MATCH(A163,Holidays!$A$5:$A$60,0)),"")="Holiday","Holiday",IF(WEEKDAY(A163)&gt;=6,"Weekend",IF(IFERROR(INDEX(Holidays!$D$5:$D$60,MATCH(A163,Holidays!$A$5:$A$60,0)),"")="Eve","Eve","Workday")))</f>
        <v>Weekend</v>
      </c>
      <c r="D163" s="18" t="str">
        <f aca="false">IFERROR(INDEX(Holidays!$C$5:$C$60,MATCH(A163,Holidays!$A$5:$A$60,0)),"")</f>
        <v/>
      </c>
      <c r="E163" s="31"/>
      <c r="F163" s="32"/>
      <c r="G163" s="32"/>
      <c r="H163" s="32"/>
      <c r="I163" s="32"/>
      <c r="J163" s="31"/>
      <c r="K163" s="33" t="str">
        <f aca="false">IF(E163&lt;&gt;"",E163,IF(U163,"Present",IF(C163="Holiday","Holiday","Weekend")))</f>
        <v>Weekend</v>
      </c>
      <c r="L163" s="34" t="str">
        <f aca="false">IF(OR(K163="Present",K163="Manual Work",K163="Partial Vacation",K163="Partial Sick Leave"),IF(ISNUMBER(F163),F163,IF(AND(K163="Present",U163),Settings!$B$6,"")),"")</f>
        <v/>
      </c>
      <c r="M163" s="34" t="str">
        <f aca="false">IF(OR(K163="Present",K163="Manual Work",K163="Partial Vacation",K163="Partial Sick Leave"),IF(ISNUMBER(G163),G163,IF(AND(K163="Present",U163),V163,"")),"")</f>
        <v/>
      </c>
      <c r="N163" s="14" t="n">
        <f aca="false">IF(AND(ISNUMBER(L163),ISNUMBER(M163)),MAX(0,(M163-L163)*24),0)</f>
        <v>0</v>
      </c>
      <c r="O163" s="14" t="n">
        <f aca="false">IF(NOT(U163),0,IF(K163="Vacation",IF(C163="Eve",Settings!$B$9*Settings!$B$11,W163),IF(K163="Partial Vacation",IF(AND(ISNUMBER(H163),ISNUMBER(I163)),MAX(0,(I163-H163)*24),0),0)))</f>
        <v>0</v>
      </c>
      <c r="P163" s="14" t="n">
        <f aca="false">IF(NOT(U163),0,IF(K163="Sick Leave",W163,IF(K163="Partial Sick Leave",IF(AND(ISNUMBER(H163),ISNUMBER(I163)),MAX(0,(I163-H163)*24),0),0)))</f>
        <v>0</v>
      </c>
      <c r="Q163" s="14" t="n">
        <f aca="false">IF(NOT(U163),0,IF(K163="Vacation",IF(C163="Eve",Settings!$B$11,1),IF(K163="Partial Vacation",O163/Settings!$B$9,0)))</f>
        <v>0</v>
      </c>
      <c r="R163" s="14" t="n">
        <f aca="false">IF(NOT(U163),0,IF(K163="Sick Leave",1,IF(K163="Partial Sick Leave",P163/Settings!$B$9,0)))</f>
        <v>0</v>
      </c>
      <c r="S163" s="35" t="str">
        <f aca="false">IF(AND(OR(E163="Vacation",E163="Sick Leave",E163="Partial Vacation",E163="Partial Sick Leave"),NOT(U163)),"Leave not allowed on this day",IF(AND(E163="Manual Work",OR(NOT(ISNUMBER(F163)),NOT(ISNUMBER(G163)))),"Enter start and end",IF(AND(OR(E163="Partial Vacation",E163="Partial Sick Leave"),OR(NOT(ISNUMBER(H163)),NOT(ISNUMBER(I163)))),"Enter leave from and to",IF(AND(ISNUMBER(F163),ISNUMBER(G163),G163&lt;=F163),"End is before start",IF(AND(ISNUMBER(H163),ISNUMBER(I163),I163&lt;=H163),"Leave end is before start",IF(AND(ISNUMBER(F163),ISNUMBER(G163),ISNUMBER(H163),ISNUMBER(I163),F163&lt;I163,H163&lt;G163),"Work and leave hours overlap",IF(AND(E163&lt;&gt;"",WEEKDAY(A163)=7),"Saturday - administrator only","")))))))</f>
        <v/>
      </c>
      <c r="T163" s="36" t="n">
        <f aca="false">MONTH(A163)</f>
        <v>6</v>
      </c>
      <c r="U163" s="37" t="b">
        <f aca="false">OR(C163="Workday",C163="Eve")</f>
        <v>0</v>
      </c>
      <c r="V163" s="34" t="n">
        <f aca="false">IF(C163="Eve",Settings!$B$8,Settings!$B$7)</f>
        <v>0.6875</v>
      </c>
      <c r="W163" s="14" t="n">
        <f aca="false">IF(U163,(V163-Settings!$B$6)*24,0)</f>
        <v>0</v>
      </c>
    </row>
    <row r="164" customFormat="false" ht="15" hidden="false" customHeight="false" outlineLevel="0" collapsed="false">
      <c r="A164" s="29" t="n">
        <v>46180</v>
      </c>
      <c r="B164" s="30" t="str">
        <f aca="false">CHOOSE(WEEKDAY(A164),"Sun","Mon","Tue","Wed","Thu","Fri","Sat")</f>
        <v>Sun</v>
      </c>
      <c r="C164" s="30" t="str">
        <f aca="false">IF(IFERROR(INDEX(Holidays!$D$5:$D$60,MATCH(A164,Holidays!$A$5:$A$60,0)),"")="Holiday","Holiday",IF(WEEKDAY(A164)&gt;=6,"Weekend",IF(IFERROR(INDEX(Holidays!$D$5:$D$60,MATCH(A164,Holidays!$A$5:$A$60,0)),"")="Eve","Eve","Workday")))</f>
        <v>Workday</v>
      </c>
      <c r="D164" s="18" t="str">
        <f aca="false">IFERROR(INDEX(Holidays!$C$5:$C$60,MATCH(A164,Holidays!$A$5:$A$60,0)),"")</f>
        <v/>
      </c>
      <c r="E164" s="31"/>
      <c r="F164" s="32"/>
      <c r="G164" s="32"/>
      <c r="H164" s="32"/>
      <c r="I164" s="32"/>
      <c r="J164" s="31"/>
      <c r="K164" s="33" t="str">
        <f aca="false">IF(E164&lt;&gt;"",E164,IF(U164,"Present",IF(C164="Holiday","Holiday","Weekend")))</f>
        <v>Present</v>
      </c>
      <c r="L164" s="34" t="n">
        <f aca="false">IF(OR(K164="Present",K164="Manual Work",K164="Partial Vacation",K164="Partial Sick Leave"),IF(ISNUMBER(F164),F164,IF(AND(K164="Present",U164),Settings!$B$6,"")),"")</f>
        <v>0.333333333333333</v>
      </c>
      <c r="M164" s="34" t="n">
        <f aca="false">IF(OR(K164="Present",K164="Manual Work",K164="Partial Vacation",K164="Partial Sick Leave"),IF(ISNUMBER(G164),G164,IF(AND(K164="Present",U164),V164,"")),"")</f>
        <v>0.6875</v>
      </c>
      <c r="N164" s="14" t="n">
        <f aca="false">IF(AND(ISNUMBER(L164),ISNUMBER(M164)),MAX(0,(M164-L164)*24),0)</f>
        <v>8.5</v>
      </c>
      <c r="O164" s="14" t="n">
        <f aca="false">IF(NOT(U164),0,IF(K164="Vacation",IF(C164="Eve",Settings!$B$9*Settings!$B$11,W164),IF(K164="Partial Vacation",IF(AND(ISNUMBER(H164),ISNUMBER(I164)),MAX(0,(I164-H164)*24),0),0)))</f>
        <v>0</v>
      </c>
      <c r="P164" s="14" t="n">
        <f aca="false">IF(NOT(U164),0,IF(K164="Sick Leave",W164,IF(K164="Partial Sick Leave",IF(AND(ISNUMBER(H164),ISNUMBER(I164)),MAX(0,(I164-H164)*24),0),0)))</f>
        <v>0</v>
      </c>
      <c r="Q164" s="14" t="n">
        <f aca="false">IF(NOT(U164),0,IF(K164="Vacation",IF(C164="Eve",Settings!$B$11,1),IF(K164="Partial Vacation",O164/Settings!$B$9,0)))</f>
        <v>0</v>
      </c>
      <c r="R164" s="14" t="n">
        <f aca="false">IF(NOT(U164),0,IF(K164="Sick Leave",1,IF(K164="Partial Sick Leave",P164/Settings!$B$9,0)))</f>
        <v>0</v>
      </c>
      <c r="S164" s="35" t="str">
        <f aca="false">IF(AND(OR(E164="Vacation",E164="Sick Leave",E164="Partial Vacation",E164="Partial Sick Leave"),NOT(U164)),"Leave not allowed on this day",IF(AND(E164="Manual Work",OR(NOT(ISNUMBER(F164)),NOT(ISNUMBER(G164)))),"Enter start and end",IF(AND(OR(E164="Partial Vacation",E164="Partial Sick Leave"),OR(NOT(ISNUMBER(H164)),NOT(ISNUMBER(I164)))),"Enter leave from and to",IF(AND(ISNUMBER(F164),ISNUMBER(G164),G164&lt;=F164),"End is before start",IF(AND(ISNUMBER(H164),ISNUMBER(I164),I164&lt;=H164),"Leave end is before start",IF(AND(ISNUMBER(F164),ISNUMBER(G164),ISNUMBER(H164),ISNUMBER(I164),F164&lt;I164,H164&lt;G164),"Work and leave hours overlap",IF(AND(E164&lt;&gt;"",WEEKDAY(A164)=7),"Saturday - administrator only","")))))))</f>
        <v/>
      </c>
      <c r="T164" s="36" t="n">
        <f aca="false">MONTH(A164)</f>
        <v>6</v>
      </c>
      <c r="U164" s="37" t="b">
        <f aca="false">OR(C164="Workday",C164="Eve")</f>
        <v>1</v>
      </c>
      <c r="V164" s="34" t="n">
        <f aca="false">IF(C164="Eve",Settings!$B$8,Settings!$B$7)</f>
        <v>0.6875</v>
      </c>
      <c r="W164" s="14" t="n">
        <f aca="false">IF(U164,(V164-Settings!$B$6)*24,0)</f>
        <v>8.5</v>
      </c>
    </row>
    <row r="165" customFormat="false" ht="15" hidden="false" customHeight="false" outlineLevel="0" collapsed="false">
      <c r="A165" s="29" t="n">
        <v>46181</v>
      </c>
      <c r="B165" s="30" t="str">
        <f aca="false">CHOOSE(WEEKDAY(A165),"Sun","Mon","Tue","Wed","Thu","Fri","Sat")</f>
        <v>Mon</v>
      </c>
      <c r="C165" s="30" t="str">
        <f aca="false">IF(IFERROR(INDEX(Holidays!$D$5:$D$60,MATCH(A165,Holidays!$A$5:$A$60,0)),"")="Holiday","Holiday",IF(WEEKDAY(A165)&gt;=6,"Weekend",IF(IFERROR(INDEX(Holidays!$D$5:$D$60,MATCH(A165,Holidays!$A$5:$A$60,0)),"")="Eve","Eve","Workday")))</f>
        <v>Workday</v>
      </c>
      <c r="D165" s="18" t="str">
        <f aca="false">IFERROR(INDEX(Holidays!$C$5:$C$60,MATCH(A165,Holidays!$A$5:$A$60,0)),"")</f>
        <v/>
      </c>
      <c r="E165" s="31"/>
      <c r="F165" s="32"/>
      <c r="G165" s="32"/>
      <c r="H165" s="32"/>
      <c r="I165" s="32"/>
      <c r="J165" s="31"/>
      <c r="K165" s="33" t="str">
        <f aca="false">IF(E165&lt;&gt;"",E165,IF(U165,"Present",IF(C165="Holiday","Holiday","Weekend")))</f>
        <v>Present</v>
      </c>
      <c r="L165" s="34" t="n">
        <f aca="false">IF(OR(K165="Present",K165="Manual Work",K165="Partial Vacation",K165="Partial Sick Leave"),IF(ISNUMBER(F165),F165,IF(AND(K165="Present",U165),Settings!$B$6,"")),"")</f>
        <v>0.333333333333333</v>
      </c>
      <c r="M165" s="34" t="n">
        <f aca="false">IF(OR(K165="Present",K165="Manual Work",K165="Partial Vacation",K165="Partial Sick Leave"),IF(ISNUMBER(G165),G165,IF(AND(K165="Present",U165),V165,"")),"")</f>
        <v>0.6875</v>
      </c>
      <c r="N165" s="14" t="n">
        <f aca="false">IF(AND(ISNUMBER(L165),ISNUMBER(M165)),MAX(0,(M165-L165)*24),0)</f>
        <v>8.5</v>
      </c>
      <c r="O165" s="14" t="n">
        <f aca="false">IF(NOT(U165),0,IF(K165="Vacation",IF(C165="Eve",Settings!$B$9*Settings!$B$11,W165),IF(K165="Partial Vacation",IF(AND(ISNUMBER(H165),ISNUMBER(I165)),MAX(0,(I165-H165)*24),0),0)))</f>
        <v>0</v>
      </c>
      <c r="P165" s="14" t="n">
        <f aca="false">IF(NOT(U165),0,IF(K165="Sick Leave",W165,IF(K165="Partial Sick Leave",IF(AND(ISNUMBER(H165),ISNUMBER(I165)),MAX(0,(I165-H165)*24),0),0)))</f>
        <v>0</v>
      </c>
      <c r="Q165" s="14" t="n">
        <f aca="false">IF(NOT(U165),0,IF(K165="Vacation",IF(C165="Eve",Settings!$B$11,1),IF(K165="Partial Vacation",O165/Settings!$B$9,0)))</f>
        <v>0</v>
      </c>
      <c r="R165" s="14" t="n">
        <f aca="false">IF(NOT(U165),0,IF(K165="Sick Leave",1,IF(K165="Partial Sick Leave",P165/Settings!$B$9,0)))</f>
        <v>0</v>
      </c>
      <c r="S165" s="35" t="str">
        <f aca="false">IF(AND(OR(E165="Vacation",E165="Sick Leave",E165="Partial Vacation",E165="Partial Sick Leave"),NOT(U165)),"Leave not allowed on this day",IF(AND(E165="Manual Work",OR(NOT(ISNUMBER(F165)),NOT(ISNUMBER(G165)))),"Enter start and end",IF(AND(OR(E165="Partial Vacation",E165="Partial Sick Leave"),OR(NOT(ISNUMBER(H165)),NOT(ISNUMBER(I165)))),"Enter leave from and to",IF(AND(ISNUMBER(F165),ISNUMBER(G165),G165&lt;=F165),"End is before start",IF(AND(ISNUMBER(H165),ISNUMBER(I165),I165&lt;=H165),"Leave end is before start",IF(AND(ISNUMBER(F165),ISNUMBER(G165),ISNUMBER(H165),ISNUMBER(I165),F165&lt;I165,H165&lt;G165),"Work and leave hours overlap",IF(AND(E165&lt;&gt;"",WEEKDAY(A165)=7),"Saturday - administrator only","")))))))</f>
        <v/>
      </c>
      <c r="T165" s="36" t="n">
        <f aca="false">MONTH(A165)</f>
        <v>6</v>
      </c>
      <c r="U165" s="37" t="b">
        <f aca="false">OR(C165="Workday",C165="Eve")</f>
        <v>1</v>
      </c>
      <c r="V165" s="34" t="n">
        <f aca="false">IF(C165="Eve",Settings!$B$8,Settings!$B$7)</f>
        <v>0.6875</v>
      </c>
      <c r="W165" s="14" t="n">
        <f aca="false">IF(U165,(V165-Settings!$B$6)*24,0)</f>
        <v>8.5</v>
      </c>
    </row>
    <row r="166" customFormat="false" ht="15" hidden="false" customHeight="false" outlineLevel="0" collapsed="false">
      <c r="A166" s="29" t="n">
        <v>46182</v>
      </c>
      <c r="B166" s="30" t="str">
        <f aca="false">CHOOSE(WEEKDAY(A166),"Sun","Mon","Tue","Wed","Thu","Fri","Sat")</f>
        <v>Tue</v>
      </c>
      <c r="C166" s="30" t="str">
        <f aca="false">IF(IFERROR(INDEX(Holidays!$D$5:$D$60,MATCH(A166,Holidays!$A$5:$A$60,0)),"")="Holiday","Holiday",IF(WEEKDAY(A166)&gt;=6,"Weekend",IF(IFERROR(INDEX(Holidays!$D$5:$D$60,MATCH(A166,Holidays!$A$5:$A$60,0)),"")="Eve","Eve","Workday")))</f>
        <v>Workday</v>
      </c>
      <c r="D166" s="18" t="str">
        <f aca="false">IFERROR(INDEX(Holidays!$C$5:$C$60,MATCH(A166,Holidays!$A$5:$A$60,0)),"")</f>
        <v/>
      </c>
      <c r="E166" s="31"/>
      <c r="F166" s="32"/>
      <c r="G166" s="32"/>
      <c r="H166" s="32"/>
      <c r="I166" s="32"/>
      <c r="J166" s="31"/>
      <c r="K166" s="33" t="str">
        <f aca="false">IF(E166&lt;&gt;"",E166,IF(U166,"Present",IF(C166="Holiday","Holiday","Weekend")))</f>
        <v>Present</v>
      </c>
      <c r="L166" s="34" t="n">
        <f aca="false">IF(OR(K166="Present",K166="Manual Work",K166="Partial Vacation",K166="Partial Sick Leave"),IF(ISNUMBER(F166),F166,IF(AND(K166="Present",U166),Settings!$B$6,"")),"")</f>
        <v>0.333333333333333</v>
      </c>
      <c r="M166" s="34" t="n">
        <f aca="false">IF(OR(K166="Present",K166="Manual Work",K166="Partial Vacation",K166="Partial Sick Leave"),IF(ISNUMBER(G166),G166,IF(AND(K166="Present",U166),V166,"")),"")</f>
        <v>0.6875</v>
      </c>
      <c r="N166" s="14" t="n">
        <f aca="false">IF(AND(ISNUMBER(L166),ISNUMBER(M166)),MAX(0,(M166-L166)*24),0)</f>
        <v>8.5</v>
      </c>
      <c r="O166" s="14" t="n">
        <f aca="false">IF(NOT(U166),0,IF(K166="Vacation",IF(C166="Eve",Settings!$B$9*Settings!$B$11,W166),IF(K166="Partial Vacation",IF(AND(ISNUMBER(H166),ISNUMBER(I166)),MAX(0,(I166-H166)*24),0),0)))</f>
        <v>0</v>
      </c>
      <c r="P166" s="14" t="n">
        <f aca="false">IF(NOT(U166),0,IF(K166="Sick Leave",W166,IF(K166="Partial Sick Leave",IF(AND(ISNUMBER(H166),ISNUMBER(I166)),MAX(0,(I166-H166)*24),0),0)))</f>
        <v>0</v>
      </c>
      <c r="Q166" s="14" t="n">
        <f aca="false">IF(NOT(U166),0,IF(K166="Vacation",IF(C166="Eve",Settings!$B$11,1),IF(K166="Partial Vacation",O166/Settings!$B$9,0)))</f>
        <v>0</v>
      </c>
      <c r="R166" s="14" t="n">
        <f aca="false">IF(NOT(U166),0,IF(K166="Sick Leave",1,IF(K166="Partial Sick Leave",P166/Settings!$B$9,0)))</f>
        <v>0</v>
      </c>
      <c r="S166" s="35" t="str">
        <f aca="false">IF(AND(OR(E166="Vacation",E166="Sick Leave",E166="Partial Vacation",E166="Partial Sick Leave"),NOT(U166)),"Leave not allowed on this day",IF(AND(E166="Manual Work",OR(NOT(ISNUMBER(F166)),NOT(ISNUMBER(G166)))),"Enter start and end",IF(AND(OR(E166="Partial Vacation",E166="Partial Sick Leave"),OR(NOT(ISNUMBER(H166)),NOT(ISNUMBER(I166)))),"Enter leave from and to",IF(AND(ISNUMBER(F166),ISNUMBER(G166),G166&lt;=F166),"End is before start",IF(AND(ISNUMBER(H166),ISNUMBER(I166),I166&lt;=H166),"Leave end is before start",IF(AND(ISNUMBER(F166),ISNUMBER(G166),ISNUMBER(H166),ISNUMBER(I166),F166&lt;I166,H166&lt;G166),"Work and leave hours overlap",IF(AND(E166&lt;&gt;"",WEEKDAY(A166)=7),"Saturday - administrator only","")))))))</f>
        <v/>
      </c>
      <c r="T166" s="36" t="n">
        <f aca="false">MONTH(A166)</f>
        <v>6</v>
      </c>
      <c r="U166" s="37" t="b">
        <f aca="false">OR(C166="Workday",C166="Eve")</f>
        <v>1</v>
      </c>
      <c r="V166" s="34" t="n">
        <f aca="false">IF(C166="Eve",Settings!$B$8,Settings!$B$7)</f>
        <v>0.6875</v>
      </c>
      <c r="W166" s="14" t="n">
        <f aca="false">IF(U166,(V166-Settings!$B$6)*24,0)</f>
        <v>8.5</v>
      </c>
    </row>
    <row r="167" customFormat="false" ht="15" hidden="false" customHeight="false" outlineLevel="0" collapsed="false">
      <c r="A167" s="29" t="n">
        <v>46183</v>
      </c>
      <c r="B167" s="30" t="str">
        <f aca="false">CHOOSE(WEEKDAY(A167),"Sun","Mon","Tue","Wed","Thu","Fri","Sat")</f>
        <v>Wed</v>
      </c>
      <c r="C167" s="30" t="str">
        <f aca="false">IF(IFERROR(INDEX(Holidays!$D$5:$D$60,MATCH(A167,Holidays!$A$5:$A$60,0)),"")="Holiday","Holiday",IF(WEEKDAY(A167)&gt;=6,"Weekend",IF(IFERROR(INDEX(Holidays!$D$5:$D$60,MATCH(A167,Holidays!$A$5:$A$60,0)),"")="Eve","Eve","Workday")))</f>
        <v>Workday</v>
      </c>
      <c r="D167" s="18" t="str">
        <f aca="false">IFERROR(INDEX(Holidays!$C$5:$C$60,MATCH(A167,Holidays!$A$5:$A$60,0)),"")</f>
        <v/>
      </c>
      <c r="E167" s="31"/>
      <c r="F167" s="32"/>
      <c r="G167" s="32"/>
      <c r="H167" s="32"/>
      <c r="I167" s="32"/>
      <c r="J167" s="31"/>
      <c r="K167" s="33" t="str">
        <f aca="false">IF(E167&lt;&gt;"",E167,IF(U167,"Present",IF(C167="Holiday","Holiday","Weekend")))</f>
        <v>Present</v>
      </c>
      <c r="L167" s="34" t="n">
        <f aca="false">IF(OR(K167="Present",K167="Manual Work",K167="Partial Vacation",K167="Partial Sick Leave"),IF(ISNUMBER(F167),F167,IF(AND(K167="Present",U167),Settings!$B$6,"")),"")</f>
        <v>0.333333333333333</v>
      </c>
      <c r="M167" s="34" t="n">
        <f aca="false">IF(OR(K167="Present",K167="Manual Work",K167="Partial Vacation",K167="Partial Sick Leave"),IF(ISNUMBER(G167),G167,IF(AND(K167="Present",U167),V167,"")),"")</f>
        <v>0.6875</v>
      </c>
      <c r="N167" s="14" t="n">
        <f aca="false">IF(AND(ISNUMBER(L167),ISNUMBER(M167)),MAX(0,(M167-L167)*24),0)</f>
        <v>8.5</v>
      </c>
      <c r="O167" s="14" t="n">
        <f aca="false">IF(NOT(U167),0,IF(K167="Vacation",IF(C167="Eve",Settings!$B$9*Settings!$B$11,W167),IF(K167="Partial Vacation",IF(AND(ISNUMBER(H167),ISNUMBER(I167)),MAX(0,(I167-H167)*24),0),0)))</f>
        <v>0</v>
      </c>
      <c r="P167" s="14" t="n">
        <f aca="false">IF(NOT(U167),0,IF(K167="Sick Leave",W167,IF(K167="Partial Sick Leave",IF(AND(ISNUMBER(H167),ISNUMBER(I167)),MAX(0,(I167-H167)*24),0),0)))</f>
        <v>0</v>
      </c>
      <c r="Q167" s="14" t="n">
        <f aca="false">IF(NOT(U167),0,IF(K167="Vacation",IF(C167="Eve",Settings!$B$11,1),IF(K167="Partial Vacation",O167/Settings!$B$9,0)))</f>
        <v>0</v>
      </c>
      <c r="R167" s="14" t="n">
        <f aca="false">IF(NOT(U167),0,IF(K167="Sick Leave",1,IF(K167="Partial Sick Leave",P167/Settings!$B$9,0)))</f>
        <v>0</v>
      </c>
      <c r="S167" s="35" t="str">
        <f aca="false">IF(AND(OR(E167="Vacation",E167="Sick Leave",E167="Partial Vacation",E167="Partial Sick Leave"),NOT(U167)),"Leave not allowed on this day",IF(AND(E167="Manual Work",OR(NOT(ISNUMBER(F167)),NOT(ISNUMBER(G167)))),"Enter start and end",IF(AND(OR(E167="Partial Vacation",E167="Partial Sick Leave"),OR(NOT(ISNUMBER(H167)),NOT(ISNUMBER(I167)))),"Enter leave from and to",IF(AND(ISNUMBER(F167),ISNUMBER(G167),G167&lt;=F167),"End is before start",IF(AND(ISNUMBER(H167),ISNUMBER(I167),I167&lt;=H167),"Leave end is before start",IF(AND(ISNUMBER(F167),ISNUMBER(G167),ISNUMBER(H167),ISNUMBER(I167),F167&lt;I167,H167&lt;G167),"Work and leave hours overlap",IF(AND(E167&lt;&gt;"",WEEKDAY(A167)=7),"Saturday - administrator only","")))))))</f>
        <v/>
      </c>
      <c r="T167" s="36" t="n">
        <f aca="false">MONTH(A167)</f>
        <v>6</v>
      </c>
      <c r="U167" s="37" t="b">
        <f aca="false">OR(C167="Workday",C167="Eve")</f>
        <v>1</v>
      </c>
      <c r="V167" s="34" t="n">
        <f aca="false">IF(C167="Eve",Settings!$B$8,Settings!$B$7)</f>
        <v>0.6875</v>
      </c>
      <c r="W167" s="14" t="n">
        <f aca="false">IF(U167,(V167-Settings!$B$6)*24,0)</f>
        <v>8.5</v>
      </c>
    </row>
    <row r="168" customFormat="false" ht="15" hidden="false" customHeight="false" outlineLevel="0" collapsed="false">
      <c r="A168" s="29" t="n">
        <v>46184</v>
      </c>
      <c r="B168" s="30" t="str">
        <f aca="false">CHOOSE(WEEKDAY(A168),"Sun","Mon","Tue","Wed","Thu","Fri","Sat")</f>
        <v>Thu</v>
      </c>
      <c r="C168" s="30" t="str">
        <f aca="false">IF(IFERROR(INDEX(Holidays!$D$5:$D$60,MATCH(A168,Holidays!$A$5:$A$60,0)),"")="Holiday","Holiday",IF(WEEKDAY(A168)&gt;=6,"Weekend",IF(IFERROR(INDEX(Holidays!$D$5:$D$60,MATCH(A168,Holidays!$A$5:$A$60,0)),"")="Eve","Eve","Workday")))</f>
        <v>Workday</v>
      </c>
      <c r="D168" s="18" t="str">
        <f aca="false">IFERROR(INDEX(Holidays!$C$5:$C$60,MATCH(A168,Holidays!$A$5:$A$60,0)),"")</f>
        <v/>
      </c>
      <c r="E168" s="31"/>
      <c r="F168" s="32"/>
      <c r="G168" s="32"/>
      <c r="H168" s="32"/>
      <c r="I168" s="32"/>
      <c r="J168" s="31"/>
      <c r="K168" s="33" t="str">
        <f aca="false">IF(E168&lt;&gt;"",E168,IF(U168,"Present",IF(C168="Holiday","Holiday","Weekend")))</f>
        <v>Present</v>
      </c>
      <c r="L168" s="34" t="n">
        <f aca="false">IF(OR(K168="Present",K168="Manual Work",K168="Partial Vacation",K168="Partial Sick Leave"),IF(ISNUMBER(F168),F168,IF(AND(K168="Present",U168),Settings!$B$6,"")),"")</f>
        <v>0.333333333333333</v>
      </c>
      <c r="M168" s="34" t="n">
        <f aca="false">IF(OR(K168="Present",K168="Manual Work",K168="Partial Vacation",K168="Partial Sick Leave"),IF(ISNUMBER(G168),G168,IF(AND(K168="Present",U168),V168,"")),"")</f>
        <v>0.6875</v>
      </c>
      <c r="N168" s="14" t="n">
        <f aca="false">IF(AND(ISNUMBER(L168),ISNUMBER(M168)),MAX(0,(M168-L168)*24),0)</f>
        <v>8.5</v>
      </c>
      <c r="O168" s="14" t="n">
        <f aca="false">IF(NOT(U168),0,IF(K168="Vacation",IF(C168="Eve",Settings!$B$9*Settings!$B$11,W168),IF(K168="Partial Vacation",IF(AND(ISNUMBER(H168),ISNUMBER(I168)),MAX(0,(I168-H168)*24),0),0)))</f>
        <v>0</v>
      </c>
      <c r="P168" s="14" t="n">
        <f aca="false">IF(NOT(U168),0,IF(K168="Sick Leave",W168,IF(K168="Partial Sick Leave",IF(AND(ISNUMBER(H168),ISNUMBER(I168)),MAX(0,(I168-H168)*24),0),0)))</f>
        <v>0</v>
      </c>
      <c r="Q168" s="14" t="n">
        <f aca="false">IF(NOT(U168),0,IF(K168="Vacation",IF(C168="Eve",Settings!$B$11,1),IF(K168="Partial Vacation",O168/Settings!$B$9,0)))</f>
        <v>0</v>
      </c>
      <c r="R168" s="14" t="n">
        <f aca="false">IF(NOT(U168),0,IF(K168="Sick Leave",1,IF(K168="Partial Sick Leave",P168/Settings!$B$9,0)))</f>
        <v>0</v>
      </c>
      <c r="S168" s="35" t="str">
        <f aca="false">IF(AND(OR(E168="Vacation",E168="Sick Leave",E168="Partial Vacation",E168="Partial Sick Leave"),NOT(U168)),"Leave not allowed on this day",IF(AND(E168="Manual Work",OR(NOT(ISNUMBER(F168)),NOT(ISNUMBER(G168)))),"Enter start and end",IF(AND(OR(E168="Partial Vacation",E168="Partial Sick Leave"),OR(NOT(ISNUMBER(H168)),NOT(ISNUMBER(I168)))),"Enter leave from and to",IF(AND(ISNUMBER(F168),ISNUMBER(G168),G168&lt;=F168),"End is before start",IF(AND(ISNUMBER(H168),ISNUMBER(I168),I168&lt;=H168),"Leave end is before start",IF(AND(ISNUMBER(F168),ISNUMBER(G168),ISNUMBER(H168),ISNUMBER(I168),F168&lt;I168,H168&lt;G168),"Work and leave hours overlap",IF(AND(E168&lt;&gt;"",WEEKDAY(A168)=7),"Saturday - administrator only","")))))))</f>
        <v/>
      </c>
      <c r="T168" s="36" t="n">
        <f aca="false">MONTH(A168)</f>
        <v>6</v>
      </c>
      <c r="U168" s="37" t="b">
        <f aca="false">OR(C168="Workday",C168="Eve")</f>
        <v>1</v>
      </c>
      <c r="V168" s="34" t="n">
        <f aca="false">IF(C168="Eve",Settings!$B$8,Settings!$B$7)</f>
        <v>0.6875</v>
      </c>
      <c r="W168" s="14" t="n">
        <f aca="false">IF(U168,(V168-Settings!$B$6)*24,0)</f>
        <v>8.5</v>
      </c>
    </row>
    <row r="169" customFormat="false" ht="15" hidden="false" customHeight="false" outlineLevel="0" collapsed="false">
      <c r="A169" s="29" t="n">
        <v>46185</v>
      </c>
      <c r="B169" s="30" t="str">
        <f aca="false">CHOOSE(WEEKDAY(A169),"Sun","Mon","Tue","Wed","Thu","Fri","Sat")</f>
        <v>Fri</v>
      </c>
      <c r="C169" s="30" t="str">
        <f aca="false">IF(IFERROR(INDEX(Holidays!$D$5:$D$60,MATCH(A169,Holidays!$A$5:$A$60,0)),"")="Holiday","Holiday",IF(WEEKDAY(A169)&gt;=6,"Weekend",IF(IFERROR(INDEX(Holidays!$D$5:$D$60,MATCH(A169,Holidays!$A$5:$A$60,0)),"")="Eve","Eve","Workday")))</f>
        <v>Weekend</v>
      </c>
      <c r="D169" s="18" t="str">
        <f aca="false">IFERROR(INDEX(Holidays!$C$5:$C$60,MATCH(A169,Holidays!$A$5:$A$60,0)),"")</f>
        <v/>
      </c>
      <c r="E169" s="31"/>
      <c r="F169" s="32"/>
      <c r="G169" s="32"/>
      <c r="H169" s="32"/>
      <c r="I169" s="32"/>
      <c r="J169" s="31"/>
      <c r="K169" s="33" t="str">
        <f aca="false">IF(E169&lt;&gt;"",E169,IF(U169,"Present",IF(C169="Holiday","Holiday","Weekend")))</f>
        <v>Weekend</v>
      </c>
      <c r="L169" s="34" t="str">
        <f aca="false">IF(OR(K169="Present",K169="Manual Work",K169="Partial Vacation",K169="Partial Sick Leave"),IF(ISNUMBER(F169),F169,IF(AND(K169="Present",U169),Settings!$B$6,"")),"")</f>
        <v/>
      </c>
      <c r="M169" s="34" t="str">
        <f aca="false">IF(OR(K169="Present",K169="Manual Work",K169="Partial Vacation",K169="Partial Sick Leave"),IF(ISNUMBER(G169),G169,IF(AND(K169="Present",U169),V169,"")),"")</f>
        <v/>
      </c>
      <c r="N169" s="14" t="n">
        <f aca="false">IF(AND(ISNUMBER(L169),ISNUMBER(M169)),MAX(0,(M169-L169)*24),0)</f>
        <v>0</v>
      </c>
      <c r="O169" s="14" t="n">
        <f aca="false">IF(NOT(U169),0,IF(K169="Vacation",IF(C169="Eve",Settings!$B$9*Settings!$B$11,W169),IF(K169="Partial Vacation",IF(AND(ISNUMBER(H169),ISNUMBER(I169)),MAX(0,(I169-H169)*24),0),0)))</f>
        <v>0</v>
      </c>
      <c r="P169" s="14" t="n">
        <f aca="false">IF(NOT(U169),0,IF(K169="Sick Leave",W169,IF(K169="Partial Sick Leave",IF(AND(ISNUMBER(H169),ISNUMBER(I169)),MAX(0,(I169-H169)*24),0),0)))</f>
        <v>0</v>
      </c>
      <c r="Q169" s="14" t="n">
        <f aca="false">IF(NOT(U169),0,IF(K169="Vacation",IF(C169="Eve",Settings!$B$11,1),IF(K169="Partial Vacation",O169/Settings!$B$9,0)))</f>
        <v>0</v>
      </c>
      <c r="R169" s="14" t="n">
        <f aca="false">IF(NOT(U169),0,IF(K169="Sick Leave",1,IF(K169="Partial Sick Leave",P169/Settings!$B$9,0)))</f>
        <v>0</v>
      </c>
      <c r="S169" s="35" t="str">
        <f aca="false">IF(AND(OR(E169="Vacation",E169="Sick Leave",E169="Partial Vacation",E169="Partial Sick Leave"),NOT(U169)),"Leave not allowed on this day",IF(AND(E169="Manual Work",OR(NOT(ISNUMBER(F169)),NOT(ISNUMBER(G169)))),"Enter start and end",IF(AND(OR(E169="Partial Vacation",E169="Partial Sick Leave"),OR(NOT(ISNUMBER(H169)),NOT(ISNUMBER(I169)))),"Enter leave from and to",IF(AND(ISNUMBER(F169),ISNUMBER(G169),G169&lt;=F169),"End is before start",IF(AND(ISNUMBER(H169),ISNUMBER(I169),I169&lt;=H169),"Leave end is before start",IF(AND(ISNUMBER(F169),ISNUMBER(G169),ISNUMBER(H169),ISNUMBER(I169),F169&lt;I169,H169&lt;G169),"Work and leave hours overlap",IF(AND(E169&lt;&gt;"",WEEKDAY(A169)=7),"Saturday - administrator only","")))))))</f>
        <v/>
      </c>
      <c r="T169" s="36" t="n">
        <f aca="false">MONTH(A169)</f>
        <v>6</v>
      </c>
      <c r="U169" s="37" t="b">
        <f aca="false">OR(C169="Workday",C169="Eve")</f>
        <v>0</v>
      </c>
      <c r="V169" s="34" t="n">
        <f aca="false">IF(C169="Eve",Settings!$B$8,Settings!$B$7)</f>
        <v>0.6875</v>
      </c>
      <c r="W169" s="14" t="n">
        <f aca="false">IF(U169,(V169-Settings!$B$6)*24,0)</f>
        <v>0</v>
      </c>
    </row>
    <row r="170" customFormat="false" ht="15" hidden="false" customHeight="false" outlineLevel="0" collapsed="false">
      <c r="A170" s="29" t="n">
        <v>46186</v>
      </c>
      <c r="B170" s="30" t="str">
        <f aca="false">CHOOSE(WEEKDAY(A170),"Sun","Mon","Tue","Wed","Thu","Fri","Sat")</f>
        <v>Sat</v>
      </c>
      <c r="C170" s="30" t="str">
        <f aca="false">IF(IFERROR(INDEX(Holidays!$D$5:$D$60,MATCH(A170,Holidays!$A$5:$A$60,0)),"")="Holiday","Holiday",IF(WEEKDAY(A170)&gt;=6,"Weekend",IF(IFERROR(INDEX(Holidays!$D$5:$D$60,MATCH(A170,Holidays!$A$5:$A$60,0)),"")="Eve","Eve","Workday")))</f>
        <v>Weekend</v>
      </c>
      <c r="D170" s="18" t="str">
        <f aca="false">IFERROR(INDEX(Holidays!$C$5:$C$60,MATCH(A170,Holidays!$A$5:$A$60,0)),"")</f>
        <v/>
      </c>
      <c r="E170" s="31"/>
      <c r="F170" s="32"/>
      <c r="G170" s="32"/>
      <c r="H170" s="32"/>
      <c r="I170" s="32"/>
      <c r="J170" s="31"/>
      <c r="K170" s="33" t="str">
        <f aca="false">IF(E170&lt;&gt;"",E170,IF(U170,"Present",IF(C170="Holiday","Holiday","Weekend")))</f>
        <v>Weekend</v>
      </c>
      <c r="L170" s="34" t="str">
        <f aca="false">IF(OR(K170="Present",K170="Manual Work",K170="Partial Vacation",K170="Partial Sick Leave"),IF(ISNUMBER(F170),F170,IF(AND(K170="Present",U170),Settings!$B$6,"")),"")</f>
        <v/>
      </c>
      <c r="M170" s="34" t="str">
        <f aca="false">IF(OR(K170="Present",K170="Manual Work",K170="Partial Vacation",K170="Partial Sick Leave"),IF(ISNUMBER(G170),G170,IF(AND(K170="Present",U170),V170,"")),"")</f>
        <v/>
      </c>
      <c r="N170" s="14" t="n">
        <f aca="false">IF(AND(ISNUMBER(L170),ISNUMBER(M170)),MAX(0,(M170-L170)*24),0)</f>
        <v>0</v>
      </c>
      <c r="O170" s="14" t="n">
        <f aca="false">IF(NOT(U170),0,IF(K170="Vacation",IF(C170="Eve",Settings!$B$9*Settings!$B$11,W170),IF(K170="Partial Vacation",IF(AND(ISNUMBER(H170),ISNUMBER(I170)),MAX(0,(I170-H170)*24),0),0)))</f>
        <v>0</v>
      </c>
      <c r="P170" s="14" t="n">
        <f aca="false">IF(NOT(U170),0,IF(K170="Sick Leave",W170,IF(K170="Partial Sick Leave",IF(AND(ISNUMBER(H170),ISNUMBER(I170)),MAX(0,(I170-H170)*24),0),0)))</f>
        <v>0</v>
      </c>
      <c r="Q170" s="14" t="n">
        <f aca="false">IF(NOT(U170),0,IF(K170="Vacation",IF(C170="Eve",Settings!$B$11,1),IF(K170="Partial Vacation",O170/Settings!$B$9,0)))</f>
        <v>0</v>
      </c>
      <c r="R170" s="14" t="n">
        <f aca="false">IF(NOT(U170),0,IF(K170="Sick Leave",1,IF(K170="Partial Sick Leave",P170/Settings!$B$9,0)))</f>
        <v>0</v>
      </c>
      <c r="S170" s="35" t="str">
        <f aca="false">IF(AND(OR(E170="Vacation",E170="Sick Leave",E170="Partial Vacation",E170="Partial Sick Leave"),NOT(U170)),"Leave not allowed on this day",IF(AND(E170="Manual Work",OR(NOT(ISNUMBER(F170)),NOT(ISNUMBER(G170)))),"Enter start and end",IF(AND(OR(E170="Partial Vacation",E170="Partial Sick Leave"),OR(NOT(ISNUMBER(H170)),NOT(ISNUMBER(I170)))),"Enter leave from and to",IF(AND(ISNUMBER(F170),ISNUMBER(G170),G170&lt;=F170),"End is before start",IF(AND(ISNUMBER(H170),ISNUMBER(I170),I170&lt;=H170),"Leave end is before start",IF(AND(ISNUMBER(F170),ISNUMBER(G170),ISNUMBER(H170),ISNUMBER(I170),F170&lt;I170,H170&lt;G170),"Work and leave hours overlap",IF(AND(E170&lt;&gt;"",WEEKDAY(A170)=7),"Saturday - administrator only","")))))))</f>
        <v/>
      </c>
      <c r="T170" s="36" t="n">
        <f aca="false">MONTH(A170)</f>
        <v>6</v>
      </c>
      <c r="U170" s="37" t="b">
        <f aca="false">OR(C170="Workday",C170="Eve")</f>
        <v>0</v>
      </c>
      <c r="V170" s="34" t="n">
        <f aca="false">IF(C170="Eve",Settings!$B$8,Settings!$B$7)</f>
        <v>0.6875</v>
      </c>
      <c r="W170" s="14" t="n">
        <f aca="false">IF(U170,(V170-Settings!$B$6)*24,0)</f>
        <v>0</v>
      </c>
    </row>
    <row r="171" customFormat="false" ht="15" hidden="false" customHeight="false" outlineLevel="0" collapsed="false">
      <c r="A171" s="29" t="n">
        <v>46187</v>
      </c>
      <c r="B171" s="30" t="str">
        <f aca="false">CHOOSE(WEEKDAY(A171),"Sun","Mon","Tue","Wed","Thu","Fri","Sat")</f>
        <v>Sun</v>
      </c>
      <c r="C171" s="30" t="str">
        <f aca="false">IF(IFERROR(INDEX(Holidays!$D$5:$D$60,MATCH(A171,Holidays!$A$5:$A$60,0)),"")="Holiday","Holiday",IF(WEEKDAY(A171)&gt;=6,"Weekend",IF(IFERROR(INDEX(Holidays!$D$5:$D$60,MATCH(A171,Holidays!$A$5:$A$60,0)),"")="Eve","Eve","Workday")))</f>
        <v>Workday</v>
      </c>
      <c r="D171" s="18" t="str">
        <f aca="false">IFERROR(INDEX(Holidays!$C$5:$C$60,MATCH(A171,Holidays!$A$5:$A$60,0)),"")</f>
        <v/>
      </c>
      <c r="E171" s="31"/>
      <c r="F171" s="32"/>
      <c r="G171" s="32"/>
      <c r="H171" s="32"/>
      <c r="I171" s="32"/>
      <c r="J171" s="31"/>
      <c r="K171" s="33" t="str">
        <f aca="false">IF(E171&lt;&gt;"",E171,IF(U171,"Present",IF(C171="Holiday","Holiday","Weekend")))</f>
        <v>Present</v>
      </c>
      <c r="L171" s="34" t="n">
        <f aca="false">IF(OR(K171="Present",K171="Manual Work",K171="Partial Vacation",K171="Partial Sick Leave"),IF(ISNUMBER(F171),F171,IF(AND(K171="Present",U171),Settings!$B$6,"")),"")</f>
        <v>0.333333333333333</v>
      </c>
      <c r="M171" s="34" t="n">
        <f aca="false">IF(OR(K171="Present",K171="Manual Work",K171="Partial Vacation",K171="Partial Sick Leave"),IF(ISNUMBER(G171),G171,IF(AND(K171="Present",U171),V171,"")),"")</f>
        <v>0.6875</v>
      </c>
      <c r="N171" s="14" t="n">
        <f aca="false">IF(AND(ISNUMBER(L171),ISNUMBER(M171)),MAX(0,(M171-L171)*24),0)</f>
        <v>8.5</v>
      </c>
      <c r="O171" s="14" t="n">
        <f aca="false">IF(NOT(U171),0,IF(K171="Vacation",IF(C171="Eve",Settings!$B$9*Settings!$B$11,W171),IF(K171="Partial Vacation",IF(AND(ISNUMBER(H171),ISNUMBER(I171)),MAX(0,(I171-H171)*24),0),0)))</f>
        <v>0</v>
      </c>
      <c r="P171" s="14" t="n">
        <f aca="false">IF(NOT(U171),0,IF(K171="Sick Leave",W171,IF(K171="Partial Sick Leave",IF(AND(ISNUMBER(H171),ISNUMBER(I171)),MAX(0,(I171-H171)*24),0),0)))</f>
        <v>0</v>
      </c>
      <c r="Q171" s="14" t="n">
        <f aca="false">IF(NOT(U171),0,IF(K171="Vacation",IF(C171="Eve",Settings!$B$11,1),IF(K171="Partial Vacation",O171/Settings!$B$9,0)))</f>
        <v>0</v>
      </c>
      <c r="R171" s="14" t="n">
        <f aca="false">IF(NOT(U171),0,IF(K171="Sick Leave",1,IF(K171="Partial Sick Leave",P171/Settings!$B$9,0)))</f>
        <v>0</v>
      </c>
      <c r="S171" s="35" t="str">
        <f aca="false">IF(AND(OR(E171="Vacation",E171="Sick Leave",E171="Partial Vacation",E171="Partial Sick Leave"),NOT(U171)),"Leave not allowed on this day",IF(AND(E171="Manual Work",OR(NOT(ISNUMBER(F171)),NOT(ISNUMBER(G171)))),"Enter start and end",IF(AND(OR(E171="Partial Vacation",E171="Partial Sick Leave"),OR(NOT(ISNUMBER(H171)),NOT(ISNUMBER(I171)))),"Enter leave from and to",IF(AND(ISNUMBER(F171),ISNUMBER(G171),G171&lt;=F171),"End is before start",IF(AND(ISNUMBER(H171),ISNUMBER(I171),I171&lt;=H171),"Leave end is before start",IF(AND(ISNUMBER(F171),ISNUMBER(G171),ISNUMBER(H171),ISNUMBER(I171),F171&lt;I171,H171&lt;G171),"Work and leave hours overlap",IF(AND(E171&lt;&gt;"",WEEKDAY(A171)=7),"Saturday - administrator only","")))))))</f>
        <v/>
      </c>
      <c r="T171" s="36" t="n">
        <f aca="false">MONTH(A171)</f>
        <v>6</v>
      </c>
      <c r="U171" s="37" t="b">
        <f aca="false">OR(C171="Workday",C171="Eve")</f>
        <v>1</v>
      </c>
      <c r="V171" s="34" t="n">
        <f aca="false">IF(C171="Eve",Settings!$B$8,Settings!$B$7)</f>
        <v>0.6875</v>
      </c>
      <c r="W171" s="14" t="n">
        <f aca="false">IF(U171,(V171-Settings!$B$6)*24,0)</f>
        <v>8.5</v>
      </c>
    </row>
    <row r="172" customFormat="false" ht="15" hidden="false" customHeight="false" outlineLevel="0" collapsed="false">
      <c r="A172" s="29" t="n">
        <v>46188</v>
      </c>
      <c r="B172" s="30" t="str">
        <f aca="false">CHOOSE(WEEKDAY(A172),"Sun","Mon","Tue","Wed","Thu","Fri","Sat")</f>
        <v>Mon</v>
      </c>
      <c r="C172" s="30" t="str">
        <f aca="false">IF(IFERROR(INDEX(Holidays!$D$5:$D$60,MATCH(A172,Holidays!$A$5:$A$60,0)),"")="Holiday","Holiday",IF(WEEKDAY(A172)&gt;=6,"Weekend",IF(IFERROR(INDEX(Holidays!$D$5:$D$60,MATCH(A172,Holidays!$A$5:$A$60,0)),"")="Eve","Eve","Workday")))</f>
        <v>Workday</v>
      </c>
      <c r="D172" s="18" t="str">
        <f aca="false">IFERROR(INDEX(Holidays!$C$5:$C$60,MATCH(A172,Holidays!$A$5:$A$60,0)),"")</f>
        <v/>
      </c>
      <c r="E172" s="31"/>
      <c r="F172" s="32"/>
      <c r="G172" s="32"/>
      <c r="H172" s="32"/>
      <c r="I172" s="32"/>
      <c r="J172" s="31"/>
      <c r="K172" s="33" t="str">
        <f aca="false">IF(E172&lt;&gt;"",E172,IF(U172,"Present",IF(C172="Holiday","Holiday","Weekend")))</f>
        <v>Present</v>
      </c>
      <c r="L172" s="34" t="n">
        <f aca="false">IF(OR(K172="Present",K172="Manual Work",K172="Partial Vacation",K172="Partial Sick Leave"),IF(ISNUMBER(F172),F172,IF(AND(K172="Present",U172),Settings!$B$6,"")),"")</f>
        <v>0.333333333333333</v>
      </c>
      <c r="M172" s="34" t="n">
        <f aca="false">IF(OR(K172="Present",K172="Manual Work",K172="Partial Vacation",K172="Partial Sick Leave"),IF(ISNUMBER(G172),G172,IF(AND(K172="Present",U172),V172,"")),"")</f>
        <v>0.6875</v>
      </c>
      <c r="N172" s="14" t="n">
        <f aca="false">IF(AND(ISNUMBER(L172),ISNUMBER(M172)),MAX(0,(M172-L172)*24),0)</f>
        <v>8.5</v>
      </c>
      <c r="O172" s="14" t="n">
        <f aca="false">IF(NOT(U172),0,IF(K172="Vacation",IF(C172="Eve",Settings!$B$9*Settings!$B$11,W172),IF(K172="Partial Vacation",IF(AND(ISNUMBER(H172),ISNUMBER(I172)),MAX(0,(I172-H172)*24),0),0)))</f>
        <v>0</v>
      </c>
      <c r="P172" s="14" t="n">
        <f aca="false">IF(NOT(U172),0,IF(K172="Sick Leave",W172,IF(K172="Partial Sick Leave",IF(AND(ISNUMBER(H172),ISNUMBER(I172)),MAX(0,(I172-H172)*24),0),0)))</f>
        <v>0</v>
      </c>
      <c r="Q172" s="14" t="n">
        <f aca="false">IF(NOT(U172),0,IF(K172="Vacation",IF(C172="Eve",Settings!$B$11,1),IF(K172="Partial Vacation",O172/Settings!$B$9,0)))</f>
        <v>0</v>
      </c>
      <c r="R172" s="14" t="n">
        <f aca="false">IF(NOT(U172),0,IF(K172="Sick Leave",1,IF(K172="Partial Sick Leave",P172/Settings!$B$9,0)))</f>
        <v>0</v>
      </c>
      <c r="S172" s="35" t="str">
        <f aca="false">IF(AND(OR(E172="Vacation",E172="Sick Leave",E172="Partial Vacation",E172="Partial Sick Leave"),NOT(U172)),"Leave not allowed on this day",IF(AND(E172="Manual Work",OR(NOT(ISNUMBER(F172)),NOT(ISNUMBER(G172)))),"Enter start and end",IF(AND(OR(E172="Partial Vacation",E172="Partial Sick Leave"),OR(NOT(ISNUMBER(H172)),NOT(ISNUMBER(I172)))),"Enter leave from and to",IF(AND(ISNUMBER(F172),ISNUMBER(G172),G172&lt;=F172),"End is before start",IF(AND(ISNUMBER(H172),ISNUMBER(I172),I172&lt;=H172),"Leave end is before start",IF(AND(ISNUMBER(F172),ISNUMBER(G172),ISNUMBER(H172),ISNUMBER(I172),F172&lt;I172,H172&lt;G172),"Work and leave hours overlap",IF(AND(E172&lt;&gt;"",WEEKDAY(A172)=7),"Saturday - administrator only","")))))))</f>
        <v/>
      </c>
      <c r="T172" s="36" t="n">
        <f aca="false">MONTH(A172)</f>
        <v>6</v>
      </c>
      <c r="U172" s="37" t="b">
        <f aca="false">OR(C172="Workday",C172="Eve")</f>
        <v>1</v>
      </c>
      <c r="V172" s="34" t="n">
        <f aca="false">IF(C172="Eve",Settings!$B$8,Settings!$B$7)</f>
        <v>0.6875</v>
      </c>
      <c r="W172" s="14" t="n">
        <f aca="false">IF(U172,(V172-Settings!$B$6)*24,0)</f>
        <v>8.5</v>
      </c>
    </row>
    <row r="173" customFormat="false" ht="15" hidden="false" customHeight="false" outlineLevel="0" collapsed="false">
      <c r="A173" s="29" t="n">
        <v>46189</v>
      </c>
      <c r="B173" s="30" t="str">
        <f aca="false">CHOOSE(WEEKDAY(A173),"Sun","Mon","Tue","Wed","Thu","Fri","Sat")</f>
        <v>Tue</v>
      </c>
      <c r="C173" s="30" t="str">
        <f aca="false">IF(IFERROR(INDEX(Holidays!$D$5:$D$60,MATCH(A173,Holidays!$A$5:$A$60,0)),"")="Holiday","Holiday",IF(WEEKDAY(A173)&gt;=6,"Weekend",IF(IFERROR(INDEX(Holidays!$D$5:$D$60,MATCH(A173,Holidays!$A$5:$A$60,0)),"")="Eve","Eve","Workday")))</f>
        <v>Workday</v>
      </c>
      <c r="D173" s="18" t="str">
        <f aca="false">IFERROR(INDEX(Holidays!$C$5:$C$60,MATCH(A173,Holidays!$A$5:$A$60,0)),"")</f>
        <v/>
      </c>
      <c r="E173" s="31"/>
      <c r="F173" s="32"/>
      <c r="G173" s="32"/>
      <c r="H173" s="32"/>
      <c r="I173" s="32"/>
      <c r="J173" s="31"/>
      <c r="K173" s="33" t="str">
        <f aca="false">IF(E173&lt;&gt;"",E173,IF(U173,"Present",IF(C173="Holiday","Holiday","Weekend")))</f>
        <v>Present</v>
      </c>
      <c r="L173" s="34" t="n">
        <f aca="false">IF(OR(K173="Present",K173="Manual Work",K173="Partial Vacation",K173="Partial Sick Leave"),IF(ISNUMBER(F173),F173,IF(AND(K173="Present",U173),Settings!$B$6,"")),"")</f>
        <v>0.333333333333333</v>
      </c>
      <c r="M173" s="34" t="n">
        <f aca="false">IF(OR(K173="Present",K173="Manual Work",K173="Partial Vacation",K173="Partial Sick Leave"),IF(ISNUMBER(G173),G173,IF(AND(K173="Present",U173),V173,"")),"")</f>
        <v>0.6875</v>
      </c>
      <c r="N173" s="14" t="n">
        <f aca="false">IF(AND(ISNUMBER(L173),ISNUMBER(M173)),MAX(0,(M173-L173)*24),0)</f>
        <v>8.5</v>
      </c>
      <c r="O173" s="14" t="n">
        <f aca="false">IF(NOT(U173),0,IF(K173="Vacation",IF(C173="Eve",Settings!$B$9*Settings!$B$11,W173),IF(K173="Partial Vacation",IF(AND(ISNUMBER(H173),ISNUMBER(I173)),MAX(0,(I173-H173)*24),0),0)))</f>
        <v>0</v>
      </c>
      <c r="P173" s="14" t="n">
        <f aca="false">IF(NOT(U173),0,IF(K173="Sick Leave",W173,IF(K173="Partial Sick Leave",IF(AND(ISNUMBER(H173),ISNUMBER(I173)),MAX(0,(I173-H173)*24),0),0)))</f>
        <v>0</v>
      </c>
      <c r="Q173" s="14" t="n">
        <f aca="false">IF(NOT(U173),0,IF(K173="Vacation",IF(C173="Eve",Settings!$B$11,1),IF(K173="Partial Vacation",O173/Settings!$B$9,0)))</f>
        <v>0</v>
      </c>
      <c r="R173" s="14" t="n">
        <f aca="false">IF(NOT(U173),0,IF(K173="Sick Leave",1,IF(K173="Partial Sick Leave",P173/Settings!$B$9,0)))</f>
        <v>0</v>
      </c>
      <c r="S173" s="35" t="str">
        <f aca="false">IF(AND(OR(E173="Vacation",E173="Sick Leave",E173="Partial Vacation",E173="Partial Sick Leave"),NOT(U173)),"Leave not allowed on this day",IF(AND(E173="Manual Work",OR(NOT(ISNUMBER(F173)),NOT(ISNUMBER(G173)))),"Enter start and end",IF(AND(OR(E173="Partial Vacation",E173="Partial Sick Leave"),OR(NOT(ISNUMBER(H173)),NOT(ISNUMBER(I173)))),"Enter leave from and to",IF(AND(ISNUMBER(F173),ISNUMBER(G173),G173&lt;=F173),"End is before start",IF(AND(ISNUMBER(H173),ISNUMBER(I173),I173&lt;=H173),"Leave end is before start",IF(AND(ISNUMBER(F173),ISNUMBER(G173),ISNUMBER(H173),ISNUMBER(I173),F173&lt;I173,H173&lt;G173),"Work and leave hours overlap",IF(AND(E173&lt;&gt;"",WEEKDAY(A173)=7),"Saturday - administrator only","")))))))</f>
        <v/>
      </c>
      <c r="T173" s="36" t="n">
        <f aca="false">MONTH(A173)</f>
        <v>6</v>
      </c>
      <c r="U173" s="37" t="b">
        <f aca="false">OR(C173="Workday",C173="Eve")</f>
        <v>1</v>
      </c>
      <c r="V173" s="34" t="n">
        <f aca="false">IF(C173="Eve",Settings!$B$8,Settings!$B$7)</f>
        <v>0.6875</v>
      </c>
      <c r="W173" s="14" t="n">
        <f aca="false">IF(U173,(V173-Settings!$B$6)*24,0)</f>
        <v>8.5</v>
      </c>
    </row>
    <row r="174" customFormat="false" ht="15" hidden="false" customHeight="false" outlineLevel="0" collapsed="false">
      <c r="A174" s="29" t="n">
        <v>46190</v>
      </c>
      <c r="B174" s="30" t="str">
        <f aca="false">CHOOSE(WEEKDAY(A174),"Sun","Mon","Tue","Wed","Thu","Fri","Sat")</f>
        <v>Wed</v>
      </c>
      <c r="C174" s="30" t="str">
        <f aca="false">IF(IFERROR(INDEX(Holidays!$D$5:$D$60,MATCH(A174,Holidays!$A$5:$A$60,0)),"")="Holiday","Holiday",IF(WEEKDAY(A174)&gt;=6,"Weekend",IF(IFERROR(INDEX(Holidays!$D$5:$D$60,MATCH(A174,Holidays!$A$5:$A$60,0)),"")="Eve","Eve","Workday")))</f>
        <v>Workday</v>
      </c>
      <c r="D174" s="18" t="str">
        <f aca="false">IFERROR(INDEX(Holidays!$C$5:$C$60,MATCH(A174,Holidays!$A$5:$A$60,0)),"")</f>
        <v/>
      </c>
      <c r="E174" s="31"/>
      <c r="F174" s="32"/>
      <c r="G174" s="32"/>
      <c r="H174" s="32"/>
      <c r="I174" s="32"/>
      <c r="J174" s="31"/>
      <c r="K174" s="33" t="str">
        <f aca="false">IF(E174&lt;&gt;"",E174,IF(U174,"Present",IF(C174="Holiday","Holiday","Weekend")))</f>
        <v>Present</v>
      </c>
      <c r="L174" s="34" t="n">
        <f aca="false">IF(OR(K174="Present",K174="Manual Work",K174="Partial Vacation",K174="Partial Sick Leave"),IF(ISNUMBER(F174),F174,IF(AND(K174="Present",U174),Settings!$B$6,"")),"")</f>
        <v>0.333333333333333</v>
      </c>
      <c r="M174" s="34" t="n">
        <f aca="false">IF(OR(K174="Present",K174="Manual Work",K174="Partial Vacation",K174="Partial Sick Leave"),IF(ISNUMBER(G174),G174,IF(AND(K174="Present",U174),V174,"")),"")</f>
        <v>0.6875</v>
      </c>
      <c r="N174" s="14" t="n">
        <f aca="false">IF(AND(ISNUMBER(L174),ISNUMBER(M174)),MAX(0,(M174-L174)*24),0)</f>
        <v>8.5</v>
      </c>
      <c r="O174" s="14" t="n">
        <f aca="false">IF(NOT(U174),0,IF(K174="Vacation",IF(C174="Eve",Settings!$B$9*Settings!$B$11,W174),IF(K174="Partial Vacation",IF(AND(ISNUMBER(H174),ISNUMBER(I174)),MAX(0,(I174-H174)*24),0),0)))</f>
        <v>0</v>
      </c>
      <c r="P174" s="14" t="n">
        <f aca="false">IF(NOT(U174),0,IF(K174="Sick Leave",W174,IF(K174="Partial Sick Leave",IF(AND(ISNUMBER(H174),ISNUMBER(I174)),MAX(0,(I174-H174)*24),0),0)))</f>
        <v>0</v>
      </c>
      <c r="Q174" s="14" t="n">
        <f aca="false">IF(NOT(U174),0,IF(K174="Vacation",IF(C174="Eve",Settings!$B$11,1),IF(K174="Partial Vacation",O174/Settings!$B$9,0)))</f>
        <v>0</v>
      </c>
      <c r="R174" s="14" t="n">
        <f aca="false">IF(NOT(U174),0,IF(K174="Sick Leave",1,IF(K174="Partial Sick Leave",P174/Settings!$B$9,0)))</f>
        <v>0</v>
      </c>
      <c r="S174" s="35" t="str">
        <f aca="false">IF(AND(OR(E174="Vacation",E174="Sick Leave",E174="Partial Vacation",E174="Partial Sick Leave"),NOT(U174)),"Leave not allowed on this day",IF(AND(E174="Manual Work",OR(NOT(ISNUMBER(F174)),NOT(ISNUMBER(G174)))),"Enter start and end",IF(AND(OR(E174="Partial Vacation",E174="Partial Sick Leave"),OR(NOT(ISNUMBER(H174)),NOT(ISNUMBER(I174)))),"Enter leave from and to",IF(AND(ISNUMBER(F174),ISNUMBER(G174),G174&lt;=F174),"End is before start",IF(AND(ISNUMBER(H174),ISNUMBER(I174),I174&lt;=H174),"Leave end is before start",IF(AND(ISNUMBER(F174),ISNUMBER(G174),ISNUMBER(H174),ISNUMBER(I174),F174&lt;I174,H174&lt;G174),"Work and leave hours overlap",IF(AND(E174&lt;&gt;"",WEEKDAY(A174)=7),"Saturday - administrator only","")))))))</f>
        <v/>
      </c>
      <c r="T174" s="36" t="n">
        <f aca="false">MONTH(A174)</f>
        <v>6</v>
      </c>
      <c r="U174" s="37" t="b">
        <f aca="false">OR(C174="Workday",C174="Eve")</f>
        <v>1</v>
      </c>
      <c r="V174" s="34" t="n">
        <f aca="false">IF(C174="Eve",Settings!$B$8,Settings!$B$7)</f>
        <v>0.6875</v>
      </c>
      <c r="W174" s="14" t="n">
        <f aca="false">IF(U174,(V174-Settings!$B$6)*24,0)</f>
        <v>8.5</v>
      </c>
    </row>
    <row r="175" customFormat="false" ht="15" hidden="false" customHeight="false" outlineLevel="0" collapsed="false">
      <c r="A175" s="29" t="n">
        <v>46191</v>
      </c>
      <c r="B175" s="30" t="str">
        <f aca="false">CHOOSE(WEEKDAY(A175),"Sun","Mon","Tue","Wed","Thu","Fri","Sat")</f>
        <v>Thu</v>
      </c>
      <c r="C175" s="30" t="str">
        <f aca="false">IF(IFERROR(INDEX(Holidays!$D$5:$D$60,MATCH(A175,Holidays!$A$5:$A$60,0)),"")="Holiday","Holiday",IF(WEEKDAY(A175)&gt;=6,"Weekend",IF(IFERROR(INDEX(Holidays!$D$5:$D$60,MATCH(A175,Holidays!$A$5:$A$60,0)),"")="Eve","Eve","Workday")))</f>
        <v>Workday</v>
      </c>
      <c r="D175" s="18" t="str">
        <f aca="false">IFERROR(INDEX(Holidays!$C$5:$C$60,MATCH(A175,Holidays!$A$5:$A$60,0)),"")</f>
        <v/>
      </c>
      <c r="E175" s="31"/>
      <c r="F175" s="32"/>
      <c r="G175" s="32"/>
      <c r="H175" s="32"/>
      <c r="I175" s="32"/>
      <c r="J175" s="31"/>
      <c r="K175" s="33" t="str">
        <f aca="false">IF(E175&lt;&gt;"",E175,IF(U175,"Present",IF(C175="Holiday","Holiday","Weekend")))</f>
        <v>Present</v>
      </c>
      <c r="L175" s="34" t="n">
        <f aca="false">IF(OR(K175="Present",K175="Manual Work",K175="Partial Vacation",K175="Partial Sick Leave"),IF(ISNUMBER(F175),F175,IF(AND(K175="Present",U175),Settings!$B$6,"")),"")</f>
        <v>0.333333333333333</v>
      </c>
      <c r="M175" s="34" t="n">
        <f aca="false">IF(OR(K175="Present",K175="Manual Work",K175="Partial Vacation",K175="Partial Sick Leave"),IF(ISNUMBER(G175),G175,IF(AND(K175="Present",U175),V175,"")),"")</f>
        <v>0.6875</v>
      </c>
      <c r="N175" s="14" t="n">
        <f aca="false">IF(AND(ISNUMBER(L175),ISNUMBER(M175)),MAX(0,(M175-L175)*24),0)</f>
        <v>8.5</v>
      </c>
      <c r="O175" s="14" t="n">
        <f aca="false">IF(NOT(U175),0,IF(K175="Vacation",IF(C175="Eve",Settings!$B$9*Settings!$B$11,W175),IF(K175="Partial Vacation",IF(AND(ISNUMBER(H175),ISNUMBER(I175)),MAX(0,(I175-H175)*24),0),0)))</f>
        <v>0</v>
      </c>
      <c r="P175" s="14" t="n">
        <f aca="false">IF(NOT(U175),0,IF(K175="Sick Leave",W175,IF(K175="Partial Sick Leave",IF(AND(ISNUMBER(H175),ISNUMBER(I175)),MAX(0,(I175-H175)*24),0),0)))</f>
        <v>0</v>
      </c>
      <c r="Q175" s="14" t="n">
        <f aca="false">IF(NOT(U175),0,IF(K175="Vacation",IF(C175="Eve",Settings!$B$11,1),IF(K175="Partial Vacation",O175/Settings!$B$9,0)))</f>
        <v>0</v>
      </c>
      <c r="R175" s="14" t="n">
        <f aca="false">IF(NOT(U175),0,IF(K175="Sick Leave",1,IF(K175="Partial Sick Leave",P175/Settings!$B$9,0)))</f>
        <v>0</v>
      </c>
      <c r="S175" s="35" t="str">
        <f aca="false">IF(AND(OR(E175="Vacation",E175="Sick Leave",E175="Partial Vacation",E175="Partial Sick Leave"),NOT(U175)),"Leave not allowed on this day",IF(AND(E175="Manual Work",OR(NOT(ISNUMBER(F175)),NOT(ISNUMBER(G175)))),"Enter start and end",IF(AND(OR(E175="Partial Vacation",E175="Partial Sick Leave"),OR(NOT(ISNUMBER(H175)),NOT(ISNUMBER(I175)))),"Enter leave from and to",IF(AND(ISNUMBER(F175),ISNUMBER(G175),G175&lt;=F175),"End is before start",IF(AND(ISNUMBER(H175),ISNUMBER(I175),I175&lt;=H175),"Leave end is before start",IF(AND(ISNUMBER(F175),ISNUMBER(G175),ISNUMBER(H175),ISNUMBER(I175),F175&lt;I175,H175&lt;G175),"Work and leave hours overlap",IF(AND(E175&lt;&gt;"",WEEKDAY(A175)=7),"Saturday - administrator only","")))))))</f>
        <v/>
      </c>
      <c r="T175" s="36" t="n">
        <f aca="false">MONTH(A175)</f>
        <v>6</v>
      </c>
      <c r="U175" s="37" t="b">
        <f aca="false">OR(C175="Workday",C175="Eve")</f>
        <v>1</v>
      </c>
      <c r="V175" s="34" t="n">
        <f aca="false">IF(C175="Eve",Settings!$B$8,Settings!$B$7)</f>
        <v>0.6875</v>
      </c>
      <c r="W175" s="14" t="n">
        <f aca="false">IF(U175,(V175-Settings!$B$6)*24,0)</f>
        <v>8.5</v>
      </c>
    </row>
    <row r="176" customFormat="false" ht="15" hidden="false" customHeight="false" outlineLevel="0" collapsed="false">
      <c r="A176" s="29" t="n">
        <v>46192</v>
      </c>
      <c r="B176" s="30" t="str">
        <f aca="false">CHOOSE(WEEKDAY(A176),"Sun","Mon","Tue","Wed","Thu","Fri","Sat")</f>
        <v>Fri</v>
      </c>
      <c r="C176" s="30" t="str">
        <f aca="false">IF(IFERROR(INDEX(Holidays!$D$5:$D$60,MATCH(A176,Holidays!$A$5:$A$60,0)),"")="Holiday","Holiday",IF(WEEKDAY(A176)&gt;=6,"Weekend",IF(IFERROR(INDEX(Holidays!$D$5:$D$60,MATCH(A176,Holidays!$A$5:$A$60,0)),"")="Eve","Eve","Workday")))</f>
        <v>Weekend</v>
      </c>
      <c r="D176" s="18" t="str">
        <f aca="false">IFERROR(INDEX(Holidays!$C$5:$C$60,MATCH(A176,Holidays!$A$5:$A$60,0)),"")</f>
        <v/>
      </c>
      <c r="E176" s="31"/>
      <c r="F176" s="32"/>
      <c r="G176" s="32"/>
      <c r="H176" s="32"/>
      <c r="I176" s="32"/>
      <c r="J176" s="31"/>
      <c r="K176" s="33" t="str">
        <f aca="false">IF(E176&lt;&gt;"",E176,IF(U176,"Present",IF(C176="Holiday","Holiday","Weekend")))</f>
        <v>Weekend</v>
      </c>
      <c r="L176" s="34" t="str">
        <f aca="false">IF(OR(K176="Present",K176="Manual Work",K176="Partial Vacation",K176="Partial Sick Leave"),IF(ISNUMBER(F176),F176,IF(AND(K176="Present",U176),Settings!$B$6,"")),"")</f>
        <v/>
      </c>
      <c r="M176" s="34" t="str">
        <f aca="false">IF(OR(K176="Present",K176="Manual Work",K176="Partial Vacation",K176="Partial Sick Leave"),IF(ISNUMBER(G176),G176,IF(AND(K176="Present",U176),V176,"")),"")</f>
        <v/>
      </c>
      <c r="N176" s="14" t="n">
        <f aca="false">IF(AND(ISNUMBER(L176),ISNUMBER(M176)),MAX(0,(M176-L176)*24),0)</f>
        <v>0</v>
      </c>
      <c r="O176" s="14" t="n">
        <f aca="false">IF(NOT(U176),0,IF(K176="Vacation",IF(C176="Eve",Settings!$B$9*Settings!$B$11,W176),IF(K176="Partial Vacation",IF(AND(ISNUMBER(H176),ISNUMBER(I176)),MAX(0,(I176-H176)*24),0),0)))</f>
        <v>0</v>
      </c>
      <c r="P176" s="14" t="n">
        <f aca="false">IF(NOT(U176),0,IF(K176="Sick Leave",W176,IF(K176="Partial Sick Leave",IF(AND(ISNUMBER(H176),ISNUMBER(I176)),MAX(0,(I176-H176)*24),0),0)))</f>
        <v>0</v>
      </c>
      <c r="Q176" s="14" t="n">
        <f aca="false">IF(NOT(U176),0,IF(K176="Vacation",IF(C176="Eve",Settings!$B$11,1),IF(K176="Partial Vacation",O176/Settings!$B$9,0)))</f>
        <v>0</v>
      </c>
      <c r="R176" s="14" t="n">
        <f aca="false">IF(NOT(U176),0,IF(K176="Sick Leave",1,IF(K176="Partial Sick Leave",P176/Settings!$B$9,0)))</f>
        <v>0</v>
      </c>
      <c r="S176" s="35" t="str">
        <f aca="false">IF(AND(OR(E176="Vacation",E176="Sick Leave",E176="Partial Vacation",E176="Partial Sick Leave"),NOT(U176)),"Leave not allowed on this day",IF(AND(E176="Manual Work",OR(NOT(ISNUMBER(F176)),NOT(ISNUMBER(G176)))),"Enter start and end",IF(AND(OR(E176="Partial Vacation",E176="Partial Sick Leave"),OR(NOT(ISNUMBER(H176)),NOT(ISNUMBER(I176)))),"Enter leave from and to",IF(AND(ISNUMBER(F176),ISNUMBER(G176),G176&lt;=F176),"End is before start",IF(AND(ISNUMBER(H176),ISNUMBER(I176),I176&lt;=H176),"Leave end is before start",IF(AND(ISNUMBER(F176),ISNUMBER(G176),ISNUMBER(H176),ISNUMBER(I176),F176&lt;I176,H176&lt;G176),"Work and leave hours overlap",IF(AND(E176&lt;&gt;"",WEEKDAY(A176)=7),"Saturday - administrator only","")))))))</f>
        <v/>
      </c>
      <c r="T176" s="36" t="n">
        <f aca="false">MONTH(A176)</f>
        <v>6</v>
      </c>
      <c r="U176" s="37" t="b">
        <f aca="false">OR(C176="Workday",C176="Eve")</f>
        <v>0</v>
      </c>
      <c r="V176" s="34" t="n">
        <f aca="false">IF(C176="Eve",Settings!$B$8,Settings!$B$7)</f>
        <v>0.6875</v>
      </c>
      <c r="W176" s="14" t="n">
        <f aca="false">IF(U176,(V176-Settings!$B$6)*24,0)</f>
        <v>0</v>
      </c>
    </row>
    <row r="177" customFormat="false" ht="15" hidden="false" customHeight="false" outlineLevel="0" collapsed="false">
      <c r="A177" s="29" t="n">
        <v>46193</v>
      </c>
      <c r="B177" s="30" t="str">
        <f aca="false">CHOOSE(WEEKDAY(A177),"Sun","Mon","Tue","Wed","Thu","Fri","Sat")</f>
        <v>Sat</v>
      </c>
      <c r="C177" s="30" t="str">
        <f aca="false">IF(IFERROR(INDEX(Holidays!$D$5:$D$60,MATCH(A177,Holidays!$A$5:$A$60,0)),"")="Holiday","Holiday",IF(WEEKDAY(A177)&gt;=6,"Weekend",IF(IFERROR(INDEX(Holidays!$D$5:$D$60,MATCH(A177,Holidays!$A$5:$A$60,0)),"")="Eve","Eve","Workday")))</f>
        <v>Weekend</v>
      </c>
      <c r="D177" s="18" t="str">
        <f aca="false">IFERROR(INDEX(Holidays!$C$5:$C$60,MATCH(A177,Holidays!$A$5:$A$60,0)),"")</f>
        <v/>
      </c>
      <c r="E177" s="31"/>
      <c r="F177" s="32"/>
      <c r="G177" s="32"/>
      <c r="H177" s="32"/>
      <c r="I177" s="32"/>
      <c r="J177" s="31"/>
      <c r="K177" s="33" t="str">
        <f aca="false">IF(E177&lt;&gt;"",E177,IF(U177,"Present",IF(C177="Holiday","Holiday","Weekend")))</f>
        <v>Weekend</v>
      </c>
      <c r="L177" s="34" t="str">
        <f aca="false">IF(OR(K177="Present",K177="Manual Work",K177="Partial Vacation",K177="Partial Sick Leave"),IF(ISNUMBER(F177),F177,IF(AND(K177="Present",U177),Settings!$B$6,"")),"")</f>
        <v/>
      </c>
      <c r="M177" s="34" t="str">
        <f aca="false">IF(OR(K177="Present",K177="Manual Work",K177="Partial Vacation",K177="Partial Sick Leave"),IF(ISNUMBER(G177),G177,IF(AND(K177="Present",U177),V177,"")),"")</f>
        <v/>
      </c>
      <c r="N177" s="14" t="n">
        <f aca="false">IF(AND(ISNUMBER(L177),ISNUMBER(M177)),MAX(0,(M177-L177)*24),0)</f>
        <v>0</v>
      </c>
      <c r="O177" s="14" t="n">
        <f aca="false">IF(NOT(U177),0,IF(K177="Vacation",IF(C177="Eve",Settings!$B$9*Settings!$B$11,W177),IF(K177="Partial Vacation",IF(AND(ISNUMBER(H177),ISNUMBER(I177)),MAX(0,(I177-H177)*24),0),0)))</f>
        <v>0</v>
      </c>
      <c r="P177" s="14" t="n">
        <f aca="false">IF(NOT(U177),0,IF(K177="Sick Leave",W177,IF(K177="Partial Sick Leave",IF(AND(ISNUMBER(H177),ISNUMBER(I177)),MAX(0,(I177-H177)*24),0),0)))</f>
        <v>0</v>
      </c>
      <c r="Q177" s="14" t="n">
        <f aca="false">IF(NOT(U177),0,IF(K177="Vacation",IF(C177="Eve",Settings!$B$11,1),IF(K177="Partial Vacation",O177/Settings!$B$9,0)))</f>
        <v>0</v>
      </c>
      <c r="R177" s="14" t="n">
        <f aca="false">IF(NOT(U177),0,IF(K177="Sick Leave",1,IF(K177="Partial Sick Leave",P177/Settings!$B$9,0)))</f>
        <v>0</v>
      </c>
      <c r="S177" s="35" t="str">
        <f aca="false">IF(AND(OR(E177="Vacation",E177="Sick Leave",E177="Partial Vacation",E177="Partial Sick Leave"),NOT(U177)),"Leave not allowed on this day",IF(AND(E177="Manual Work",OR(NOT(ISNUMBER(F177)),NOT(ISNUMBER(G177)))),"Enter start and end",IF(AND(OR(E177="Partial Vacation",E177="Partial Sick Leave"),OR(NOT(ISNUMBER(H177)),NOT(ISNUMBER(I177)))),"Enter leave from and to",IF(AND(ISNUMBER(F177),ISNUMBER(G177),G177&lt;=F177),"End is before start",IF(AND(ISNUMBER(H177),ISNUMBER(I177),I177&lt;=H177),"Leave end is before start",IF(AND(ISNUMBER(F177),ISNUMBER(G177),ISNUMBER(H177),ISNUMBER(I177),F177&lt;I177,H177&lt;G177),"Work and leave hours overlap",IF(AND(E177&lt;&gt;"",WEEKDAY(A177)=7),"Saturday - administrator only","")))))))</f>
        <v/>
      </c>
      <c r="T177" s="36" t="n">
        <f aca="false">MONTH(A177)</f>
        <v>6</v>
      </c>
      <c r="U177" s="37" t="b">
        <f aca="false">OR(C177="Workday",C177="Eve")</f>
        <v>0</v>
      </c>
      <c r="V177" s="34" t="n">
        <f aca="false">IF(C177="Eve",Settings!$B$8,Settings!$B$7)</f>
        <v>0.6875</v>
      </c>
      <c r="W177" s="14" t="n">
        <f aca="false">IF(U177,(V177-Settings!$B$6)*24,0)</f>
        <v>0</v>
      </c>
    </row>
    <row r="178" customFormat="false" ht="15" hidden="false" customHeight="false" outlineLevel="0" collapsed="false">
      <c r="A178" s="29" t="n">
        <v>46194</v>
      </c>
      <c r="B178" s="30" t="str">
        <f aca="false">CHOOSE(WEEKDAY(A178),"Sun","Mon","Tue","Wed","Thu","Fri","Sat")</f>
        <v>Sun</v>
      </c>
      <c r="C178" s="30" t="str">
        <f aca="false">IF(IFERROR(INDEX(Holidays!$D$5:$D$60,MATCH(A178,Holidays!$A$5:$A$60,0)),"")="Holiday","Holiday",IF(WEEKDAY(A178)&gt;=6,"Weekend",IF(IFERROR(INDEX(Holidays!$D$5:$D$60,MATCH(A178,Holidays!$A$5:$A$60,0)),"")="Eve","Eve","Workday")))</f>
        <v>Workday</v>
      </c>
      <c r="D178" s="18" t="str">
        <f aca="false">IFERROR(INDEX(Holidays!$C$5:$C$60,MATCH(A178,Holidays!$A$5:$A$60,0)),"")</f>
        <v/>
      </c>
      <c r="E178" s="31"/>
      <c r="F178" s="32"/>
      <c r="G178" s="32"/>
      <c r="H178" s="32"/>
      <c r="I178" s="32"/>
      <c r="J178" s="31"/>
      <c r="K178" s="33" t="str">
        <f aca="false">IF(E178&lt;&gt;"",E178,IF(U178,"Present",IF(C178="Holiday","Holiday","Weekend")))</f>
        <v>Present</v>
      </c>
      <c r="L178" s="34" t="n">
        <f aca="false">IF(OR(K178="Present",K178="Manual Work",K178="Partial Vacation",K178="Partial Sick Leave"),IF(ISNUMBER(F178),F178,IF(AND(K178="Present",U178),Settings!$B$6,"")),"")</f>
        <v>0.333333333333333</v>
      </c>
      <c r="M178" s="34" t="n">
        <f aca="false">IF(OR(K178="Present",K178="Manual Work",K178="Partial Vacation",K178="Partial Sick Leave"),IF(ISNUMBER(G178),G178,IF(AND(K178="Present",U178),V178,"")),"")</f>
        <v>0.6875</v>
      </c>
      <c r="N178" s="14" t="n">
        <f aca="false">IF(AND(ISNUMBER(L178),ISNUMBER(M178)),MAX(0,(M178-L178)*24),0)</f>
        <v>8.5</v>
      </c>
      <c r="O178" s="14" t="n">
        <f aca="false">IF(NOT(U178),0,IF(K178="Vacation",IF(C178="Eve",Settings!$B$9*Settings!$B$11,W178),IF(K178="Partial Vacation",IF(AND(ISNUMBER(H178),ISNUMBER(I178)),MAX(0,(I178-H178)*24),0),0)))</f>
        <v>0</v>
      </c>
      <c r="P178" s="14" t="n">
        <f aca="false">IF(NOT(U178),0,IF(K178="Sick Leave",W178,IF(K178="Partial Sick Leave",IF(AND(ISNUMBER(H178),ISNUMBER(I178)),MAX(0,(I178-H178)*24),0),0)))</f>
        <v>0</v>
      </c>
      <c r="Q178" s="14" t="n">
        <f aca="false">IF(NOT(U178),0,IF(K178="Vacation",IF(C178="Eve",Settings!$B$11,1),IF(K178="Partial Vacation",O178/Settings!$B$9,0)))</f>
        <v>0</v>
      </c>
      <c r="R178" s="14" t="n">
        <f aca="false">IF(NOT(U178),0,IF(K178="Sick Leave",1,IF(K178="Partial Sick Leave",P178/Settings!$B$9,0)))</f>
        <v>0</v>
      </c>
      <c r="S178" s="35" t="str">
        <f aca="false">IF(AND(OR(E178="Vacation",E178="Sick Leave",E178="Partial Vacation",E178="Partial Sick Leave"),NOT(U178)),"Leave not allowed on this day",IF(AND(E178="Manual Work",OR(NOT(ISNUMBER(F178)),NOT(ISNUMBER(G178)))),"Enter start and end",IF(AND(OR(E178="Partial Vacation",E178="Partial Sick Leave"),OR(NOT(ISNUMBER(H178)),NOT(ISNUMBER(I178)))),"Enter leave from and to",IF(AND(ISNUMBER(F178),ISNUMBER(G178),G178&lt;=F178),"End is before start",IF(AND(ISNUMBER(H178),ISNUMBER(I178),I178&lt;=H178),"Leave end is before start",IF(AND(ISNUMBER(F178),ISNUMBER(G178),ISNUMBER(H178),ISNUMBER(I178),F178&lt;I178,H178&lt;G178),"Work and leave hours overlap",IF(AND(E178&lt;&gt;"",WEEKDAY(A178)=7),"Saturday - administrator only","")))))))</f>
        <v/>
      </c>
      <c r="T178" s="36" t="n">
        <f aca="false">MONTH(A178)</f>
        <v>6</v>
      </c>
      <c r="U178" s="37" t="b">
        <f aca="false">OR(C178="Workday",C178="Eve")</f>
        <v>1</v>
      </c>
      <c r="V178" s="34" t="n">
        <f aca="false">IF(C178="Eve",Settings!$B$8,Settings!$B$7)</f>
        <v>0.6875</v>
      </c>
      <c r="W178" s="14" t="n">
        <f aca="false">IF(U178,(V178-Settings!$B$6)*24,0)</f>
        <v>8.5</v>
      </c>
    </row>
    <row r="179" customFormat="false" ht="15" hidden="false" customHeight="false" outlineLevel="0" collapsed="false">
      <c r="A179" s="29" t="n">
        <v>46195</v>
      </c>
      <c r="B179" s="30" t="str">
        <f aca="false">CHOOSE(WEEKDAY(A179),"Sun","Mon","Tue","Wed","Thu","Fri","Sat")</f>
        <v>Mon</v>
      </c>
      <c r="C179" s="30" t="str">
        <f aca="false">IF(IFERROR(INDEX(Holidays!$D$5:$D$60,MATCH(A179,Holidays!$A$5:$A$60,0)),"")="Holiday","Holiday",IF(WEEKDAY(A179)&gt;=6,"Weekend",IF(IFERROR(INDEX(Holidays!$D$5:$D$60,MATCH(A179,Holidays!$A$5:$A$60,0)),"")="Eve","Eve","Workday")))</f>
        <v>Workday</v>
      </c>
      <c r="D179" s="18" t="str">
        <f aca="false">IFERROR(INDEX(Holidays!$C$5:$C$60,MATCH(A179,Holidays!$A$5:$A$60,0)),"")</f>
        <v/>
      </c>
      <c r="E179" s="31"/>
      <c r="F179" s="32"/>
      <c r="G179" s="32"/>
      <c r="H179" s="32"/>
      <c r="I179" s="32"/>
      <c r="J179" s="31"/>
      <c r="K179" s="33" t="str">
        <f aca="false">IF(E179&lt;&gt;"",E179,IF(U179,"Present",IF(C179="Holiday","Holiday","Weekend")))</f>
        <v>Present</v>
      </c>
      <c r="L179" s="34" t="n">
        <f aca="false">IF(OR(K179="Present",K179="Manual Work",K179="Partial Vacation",K179="Partial Sick Leave"),IF(ISNUMBER(F179),F179,IF(AND(K179="Present",U179),Settings!$B$6,"")),"")</f>
        <v>0.333333333333333</v>
      </c>
      <c r="M179" s="34" t="n">
        <f aca="false">IF(OR(K179="Present",K179="Manual Work",K179="Partial Vacation",K179="Partial Sick Leave"),IF(ISNUMBER(G179),G179,IF(AND(K179="Present",U179),V179,"")),"")</f>
        <v>0.6875</v>
      </c>
      <c r="N179" s="14" t="n">
        <f aca="false">IF(AND(ISNUMBER(L179),ISNUMBER(M179)),MAX(0,(M179-L179)*24),0)</f>
        <v>8.5</v>
      </c>
      <c r="O179" s="14" t="n">
        <f aca="false">IF(NOT(U179),0,IF(K179="Vacation",IF(C179="Eve",Settings!$B$9*Settings!$B$11,W179),IF(K179="Partial Vacation",IF(AND(ISNUMBER(H179),ISNUMBER(I179)),MAX(0,(I179-H179)*24),0),0)))</f>
        <v>0</v>
      </c>
      <c r="P179" s="14" t="n">
        <f aca="false">IF(NOT(U179),0,IF(K179="Sick Leave",W179,IF(K179="Partial Sick Leave",IF(AND(ISNUMBER(H179),ISNUMBER(I179)),MAX(0,(I179-H179)*24),0),0)))</f>
        <v>0</v>
      </c>
      <c r="Q179" s="14" t="n">
        <f aca="false">IF(NOT(U179),0,IF(K179="Vacation",IF(C179="Eve",Settings!$B$11,1),IF(K179="Partial Vacation",O179/Settings!$B$9,0)))</f>
        <v>0</v>
      </c>
      <c r="R179" s="14" t="n">
        <f aca="false">IF(NOT(U179),0,IF(K179="Sick Leave",1,IF(K179="Partial Sick Leave",P179/Settings!$B$9,0)))</f>
        <v>0</v>
      </c>
      <c r="S179" s="35" t="str">
        <f aca="false">IF(AND(OR(E179="Vacation",E179="Sick Leave",E179="Partial Vacation",E179="Partial Sick Leave"),NOT(U179)),"Leave not allowed on this day",IF(AND(E179="Manual Work",OR(NOT(ISNUMBER(F179)),NOT(ISNUMBER(G179)))),"Enter start and end",IF(AND(OR(E179="Partial Vacation",E179="Partial Sick Leave"),OR(NOT(ISNUMBER(H179)),NOT(ISNUMBER(I179)))),"Enter leave from and to",IF(AND(ISNUMBER(F179),ISNUMBER(G179),G179&lt;=F179),"End is before start",IF(AND(ISNUMBER(H179),ISNUMBER(I179),I179&lt;=H179),"Leave end is before start",IF(AND(ISNUMBER(F179),ISNUMBER(G179),ISNUMBER(H179),ISNUMBER(I179),F179&lt;I179,H179&lt;G179),"Work and leave hours overlap",IF(AND(E179&lt;&gt;"",WEEKDAY(A179)=7),"Saturday - administrator only","")))))))</f>
        <v/>
      </c>
      <c r="T179" s="36" t="n">
        <f aca="false">MONTH(A179)</f>
        <v>6</v>
      </c>
      <c r="U179" s="37" t="b">
        <f aca="false">OR(C179="Workday",C179="Eve")</f>
        <v>1</v>
      </c>
      <c r="V179" s="34" t="n">
        <f aca="false">IF(C179="Eve",Settings!$B$8,Settings!$B$7)</f>
        <v>0.6875</v>
      </c>
      <c r="W179" s="14" t="n">
        <f aca="false">IF(U179,(V179-Settings!$B$6)*24,0)</f>
        <v>8.5</v>
      </c>
    </row>
    <row r="180" customFormat="false" ht="15" hidden="false" customHeight="false" outlineLevel="0" collapsed="false">
      <c r="A180" s="29" t="n">
        <v>46196</v>
      </c>
      <c r="B180" s="30" t="str">
        <f aca="false">CHOOSE(WEEKDAY(A180),"Sun","Mon","Tue","Wed","Thu","Fri","Sat")</f>
        <v>Tue</v>
      </c>
      <c r="C180" s="30" t="str">
        <f aca="false">IF(IFERROR(INDEX(Holidays!$D$5:$D$60,MATCH(A180,Holidays!$A$5:$A$60,0)),"")="Holiday","Holiday",IF(WEEKDAY(A180)&gt;=6,"Weekend",IF(IFERROR(INDEX(Holidays!$D$5:$D$60,MATCH(A180,Holidays!$A$5:$A$60,0)),"")="Eve","Eve","Workday")))</f>
        <v>Workday</v>
      </c>
      <c r="D180" s="18" t="str">
        <f aca="false">IFERROR(INDEX(Holidays!$C$5:$C$60,MATCH(A180,Holidays!$A$5:$A$60,0)),"")</f>
        <v/>
      </c>
      <c r="E180" s="31"/>
      <c r="F180" s="32"/>
      <c r="G180" s="32"/>
      <c r="H180" s="32"/>
      <c r="I180" s="32"/>
      <c r="J180" s="31"/>
      <c r="K180" s="33" t="str">
        <f aca="false">IF(E180&lt;&gt;"",E180,IF(U180,"Present",IF(C180="Holiday","Holiday","Weekend")))</f>
        <v>Present</v>
      </c>
      <c r="L180" s="34" t="n">
        <f aca="false">IF(OR(K180="Present",K180="Manual Work",K180="Partial Vacation",K180="Partial Sick Leave"),IF(ISNUMBER(F180),F180,IF(AND(K180="Present",U180),Settings!$B$6,"")),"")</f>
        <v>0.333333333333333</v>
      </c>
      <c r="M180" s="34" t="n">
        <f aca="false">IF(OR(K180="Present",K180="Manual Work",K180="Partial Vacation",K180="Partial Sick Leave"),IF(ISNUMBER(G180),G180,IF(AND(K180="Present",U180),V180,"")),"")</f>
        <v>0.6875</v>
      </c>
      <c r="N180" s="14" t="n">
        <f aca="false">IF(AND(ISNUMBER(L180),ISNUMBER(M180)),MAX(0,(M180-L180)*24),0)</f>
        <v>8.5</v>
      </c>
      <c r="O180" s="14" t="n">
        <f aca="false">IF(NOT(U180),0,IF(K180="Vacation",IF(C180="Eve",Settings!$B$9*Settings!$B$11,W180),IF(K180="Partial Vacation",IF(AND(ISNUMBER(H180),ISNUMBER(I180)),MAX(0,(I180-H180)*24),0),0)))</f>
        <v>0</v>
      </c>
      <c r="P180" s="14" t="n">
        <f aca="false">IF(NOT(U180),0,IF(K180="Sick Leave",W180,IF(K180="Partial Sick Leave",IF(AND(ISNUMBER(H180),ISNUMBER(I180)),MAX(0,(I180-H180)*24),0),0)))</f>
        <v>0</v>
      </c>
      <c r="Q180" s="14" t="n">
        <f aca="false">IF(NOT(U180),0,IF(K180="Vacation",IF(C180="Eve",Settings!$B$11,1),IF(K180="Partial Vacation",O180/Settings!$B$9,0)))</f>
        <v>0</v>
      </c>
      <c r="R180" s="14" t="n">
        <f aca="false">IF(NOT(U180),0,IF(K180="Sick Leave",1,IF(K180="Partial Sick Leave",P180/Settings!$B$9,0)))</f>
        <v>0</v>
      </c>
      <c r="S180" s="35" t="str">
        <f aca="false">IF(AND(OR(E180="Vacation",E180="Sick Leave",E180="Partial Vacation",E180="Partial Sick Leave"),NOT(U180)),"Leave not allowed on this day",IF(AND(E180="Manual Work",OR(NOT(ISNUMBER(F180)),NOT(ISNUMBER(G180)))),"Enter start and end",IF(AND(OR(E180="Partial Vacation",E180="Partial Sick Leave"),OR(NOT(ISNUMBER(H180)),NOT(ISNUMBER(I180)))),"Enter leave from and to",IF(AND(ISNUMBER(F180),ISNUMBER(G180),G180&lt;=F180),"End is before start",IF(AND(ISNUMBER(H180),ISNUMBER(I180),I180&lt;=H180),"Leave end is before start",IF(AND(ISNUMBER(F180),ISNUMBER(G180),ISNUMBER(H180),ISNUMBER(I180),F180&lt;I180,H180&lt;G180),"Work and leave hours overlap",IF(AND(E180&lt;&gt;"",WEEKDAY(A180)=7),"Saturday - administrator only","")))))))</f>
        <v/>
      </c>
      <c r="T180" s="36" t="n">
        <f aca="false">MONTH(A180)</f>
        <v>6</v>
      </c>
      <c r="U180" s="37" t="b">
        <f aca="false">OR(C180="Workday",C180="Eve")</f>
        <v>1</v>
      </c>
      <c r="V180" s="34" t="n">
        <f aca="false">IF(C180="Eve",Settings!$B$8,Settings!$B$7)</f>
        <v>0.6875</v>
      </c>
      <c r="W180" s="14" t="n">
        <f aca="false">IF(U180,(V180-Settings!$B$6)*24,0)</f>
        <v>8.5</v>
      </c>
    </row>
    <row r="181" customFormat="false" ht="15" hidden="false" customHeight="false" outlineLevel="0" collapsed="false">
      <c r="A181" s="29" t="n">
        <v>46197</v>
      </c>
      <c r="B181" s="30" t="str">
        <f aca="false">CHOOSE(WEEKDAY(A181),"Sun","Mon","Tue","Wed","Thu","Fri","Sat")</f>
        <v>Wed</v>
      </c>
      <c r="C181" s="30" t="str">
        <f aca="false">IF(IFERROR(INDEX(Holidays!$D$5:$D$60,MATCH(A181,Holidays!$A$5:$A$60,0)),"")="Holiday","Holiday",IF(WEEKDAY(A181)&gt;=6,"Weekend",IF(IFERROR(INDEX(Holidays!$D$5:$D$60,MATCH(A181,Holidays!$A$5:$A$60,0)),"")="Eve","Eve","Workday")))</f>
        <v>Workday</v>
      </c>
      <c r="D181" s="18" t="str">
        <f aca="false">IFERROR(INDEX(Holidays!$C$5:$C$60,MATCH(A181,Holidays!$A$5:$A$60,0)),"")</f>
        <v/>
      </c>
      <c r="E181" s="31"/>
      <c r="F181" s="32"/>
      <c r="G181" s="32"/>
      <c r="H181" s="32"/>
      <c r="I181" s="32"/>
      <c r="J181" s="31"/>
      <c r="K181" s="33" t="str">
        <f aca="false">IF(E181&lt;&gt;"",E181,IF(U181,"Present",IF(C181="Holiday","Holiday","Weekend")))</f>
        <v>Present</v>
      </c>
      <c r="L181" s="34" t="n">
        <f aca="false">IF(OR(K181="Present",K181="Manual Work",K181="Partial Vacation",K181="Partial Sick Leave"),IF(ISNUMBER(F181),F181,IF(AND(K181="Present",U181),Settings!$B$6,"")),"")</f>
        <v>0.333333333333333</v>
      </c>
      <c r="M181" s="34" t="n">
        <f aca="false">IF(OR(K181="Present",K181="Manual Work",K181="Partial Vacation",K181="Partial Sick Leave"),IF(ISNUMBER(G181),G181,IF(AND(K181="Present",U181),V181,"")),"")</f>
        <v>0.6875</v>
      </c>
      <c r="N181" s="14" t="n">
        <f aca="false">IF(AND(ISNUMBER(L181),ISNUMBER(M181)),MAX(0,(M181-L181)*24),0)</f>
        <v>8.5</v>
      </c>
      <c r="O181" s="14" t="n">
        <f aca="false">IF(NOT(U181),0,IF(K181="Vacation",IF(C181="Eve",Settings!$B$9*Settings!$B$11,W181),IF(K181="Partial Vacation",IF(AND(ISNUMBER(H181),ISNUMBER(I181)),MAX(0,(I181-H181)*24),0),0)))</f>
        <v>0</v>
      </c>
      <c r="P181" s="14" t="n">
        <f aca="false">IF(NOT(U181),0,IF(K181="Sick Leave",W181,IF(K181="Partial Sick Leave",IF(AND(ISNUMBER(H181),ISNUMBER(I181)),MAX(0,(I181-H181)*24),0),0)))</f>
        <v>0</v>
      </c>
      <c r="Q181" s="14" t="n">
        <f aca="false">IF(NOT(U181),0,IF(K181="Vacation",IF(C181="Eve",Settings!$B$11,1),IF(K181="Partial Vacation",O181/Settings!$B$9,0)))</f>
        <v>0</v>
      </c>
      <c r="R181" s="14" t="n">
        <f aca="false">IF(NOT(U181),0,IF(K181="Sick Leave",1,IF(K181="Partial Sick Leave",P181/Settings!$B$9,0)))</f>
        <v>0</v>
      </c>
      <c r="S181" s="35" t="str">
        <f aca="false">IF(AND(OR(E181="Vacation",E181="Sick Leave",E181="Partial Vacation",E181="Partial Sick Leave"),NOT(U181)),"Leave not allowed on this day",IF(AND(E181="Manual Work",OR(NOT(ISNUMBER(F181)),NOT(ISNUMBER(G181)))),"Enter start and end",IF(AND(OR(E181="Partial Vacation",E181="Partial Sick Leave"),OR(NOT(ISNUMBER(H181)),NOT(ISNUMBER(I181)))),"Enter leave from and to",IF(AND(ISNUMBER(F181),ISNUMBER(G181),G181&lt;=F181),"End is before start",IF(AND(ISNUMBER(H181),ISNUMBER(I181),I181&lt;=H181),"Leave end is before start",IF(AND(ISNUMBER(F181),ISNUMBER(G181),ISNUMBER(H181),ISNUMBER(I181),F181&lt;I181,H181&lt;G181),"Work and leave hours overlap",IF(AND(E181&lt;&gt;"",WEEKDAY(A181)=7),"Saturday - administrator only","")))))))</f>
        <v/>
      </c>
      <c r="T181" s="36" t="n">
        <f aca="false">MONTH(A181)</f>
        <v>6</v>
      </c>
      <c r="U181" s="37" t="b">
        <f aca="false">OR(C181="Workday",C181="Eve")</f>
        <v>1</v>
      </c>
      <c r="V181" s="34" t="n">
        <f aca="false">IF(C181="Eve",Settings!$B$8,Settings!$B$7)</f>
        <v>0.6875</v>
      </c>
      <c r="W181" s="14" t="n">
        <f aca="false">IF(U181,(V181-Settings!$B$6)*24,0)</f>
        <v>8.5</v>
      </c>
    </row>
    <row r="182" customFormat="false" ht="15" hidden="false" customHeight="false" outlineLevel="0" collapsed="false">
      <c r="A182" s="29" t="n">
        <v>46198</v>
      </c>
      <c r="B182" s="30" t="str">
        <f aca="false">CHOOSE(WEEKDAY(A182),"Sun","Mon","Tue","Wed","Thu","Fri","Sat")</f>
        <v>Thu</v>
      </c>
      <c r="C182" s="30" t="str">
        <f aca="false">IF(IFERROR(INDEX(Holidays!$D$5:$D$60,MATCH(A182,Holidays!$A$5:$A$60,0)),"")="Holiday","Holiday",IF(WEEKDAY(A182)&gt;=6,"Weekend",IF(IFERROR(INDEX(Holidays!$D$5:$D$60,MATCH(A182,Holidays!$A$5:$A$60,0)),"")="Eve","Eve","Workday")))</f>
        <v>Workday</v>
      </c>
      <c r="D182" s="18" t="str">
        <f aca="false">IFERROR(INDEX(Holidays!$C$5:$C$60,MATCH(A182,Holidays!$A$5:$A$60,0)),"")</f>
        <v/>
      </c>
      <c r="E182" s="31"/>
      <c r="F182" s="32"/>
      <c r="G182" s="32"/>
      <c r="H182" s="32"/>
      <c r="I182" s="32"/>
      <c r="J182" s="31"/>
      <c r="K182" s="33" t="str">
        <f aca="false">IF(E182&lt;&gt;"",E182,IF(U182,"Present",IF(C182="Holiday","Holiday","Weekend")))</f>
        <v>Present</v>
      </c>
      <c r="L182" s="34" t="n">
        <f aca="false">IF(OR(K182="Present",K182="Manual Work",K182="Partial Vacation",K182="Partial Sick Leave"),IF(ISNUMBER(F182),F182,IF(AND(K182="Present",U182),Settings!$B$6,"")),"")</f>
        <v>0.333333333333333</v>
      </c>
      <c r="M182" s="34" t="n">
        <f aca="false">IF(OR(K182="Present",K182="Manual Work",K182="Partial Vacation",K182="Partial Sick Leave"),IF(ISNUMBER(G182),G182,IF(AND(K182="Present",U182),V182,"")),"")</f>
        <v>0.6875</v>
      </c>
      <c r="N182" s="14" t="n">
        <f aca="false">IF(AND(ISNUMBER(L182),ISNUMBER(M182)),MAX(0,(M182-L182)*24),0)</f>
        <v>8.5</v>
      </c>
      <c r="O182" s="14" t="n">
        <f aca="false">IF(NOT(U182),0,IF(K182="Vacation",IF(C182="Eve",Settings!$B$9*Settings!$B$11,W182),IF(K182="Partial Vacation",IF(AND(ISNUMBER(H182),ISNUMBER(I182)),MAX(0,(I182-H182)*24),0),0)))</f>
        <v>0</v>
      </c>
      <c r="P182" s="14" t="n">
        <f aca="false">IF(NOT(U182),0,IF(K182="Sick Leave",W182,IF(K182="Partial Sick Leave",IF(AND(ISNUMBER(H182),ISNUMBER(I182)),MAX(0,(I182-H182)*24),0),0)))</f>
        <v>0</v>
      </c>
      <c r="Q182" s="14" t="n">
        <f aca="false">IF(NOT(U182),0,IF(K182="Vacation",IF(C182="Eve",Settings!$B$11,1),IF(K182="Partial Vacation",O182/Settings!$B$9,0)))</f>
        <v>0</v>
      </c>
      <c r="R182" s="14" t="n">
        <f aca="false">IF(NOT(U182),0,IF(K182="Sick Leave",1,IF(K182="Partial Sick Leave",P182/Settings!$B$9,0)))</f>
        <v>0</v>
      </c>
      <c r="S182" s="35" t="str">
        <f aca="false">IF(AND(OR(E182="Vacation",E182="Sick Leave",E182="Partial Vacation",E182="Partial Sick Leave"),NOT(U182)),"Leave not allowed on this day",IF(AND(E182="Manual Work",OR(NOT(ISNUMBER(F182)),NOT(ISNUMBER(G182)))),"Enter start and end",IF(AND(OR(E182="Partial Vacation",E182="Partial Sick Leave"),OR(NOT(ISNUMBER(H182)),NOT(ISNUMBER(I182)))),"Enter leave from and to",IF(AND(ISNUMBER(F182),ISNUMBER(G182),G182&lt;=F182),"End is before start",IF(AND(ISNUMBER(H182),ISNUMBER(I182),I182&lt;=H182),"Leave end is before start",IF(AND(ISNUMBER(F182),ISNUMBER(G182),ISNUMBER(H182),ISNUMBER(I182),F182&lt;I182,H182&lt;G182),"Work and leave hours overlap",IF(AND(E182&lt;&gt;"",WEEKDAY(A182)=7),"Saturday - administrator only","")))))))</f>
        <v/>
      </c>
      <c r="T182" s="36" t="n">
        <f aca="false">MONTH(A182)</f>
        <v>6</v>
      </c>
      <c r="U182" s="37" t="b">
        <f aca="false">OR(C182="Workday",C182="Eve")</f>
        <v>1</v>
      </c>
      <c r="V182" s="34" t="n">
        <f aca="false">IF(C182="Eve",Settings!$B$8,Settings!$B$7)</f>
        <v>0.6875</v>
      </c>
      <c r="W182" s="14" t="n">
        <f aca="false">IF(U182,(V182-Settings!$B$6)*24,0)</f>
        <v>8.5</v>
      </c>
    </row>
    <row r="183" customFormat="false" ht="15" hidden="false" customHeight="false" outlineLevel="0" collapsed="false">
      <c r="A183" s="29" t="n">
        <v>46199</v>
      </c>
      <c r="B183" s="30" t="str">
        <f aca="false">CHOOSE(WEEKDAY(A183),"Sun","Mon","Tue","Wed","Thu","Fri","Sat")</f>
        <v>Fri</v>
      </c>
      <c r="C183" s="30" t="str">
        <f aca="false">IF(IFERROR(INDEX(Holidays!$D$5:$D$60,MATCH(A183,Holidays!$A$5:$A$60,0)),"")="Holiday","Holiday",IF(WEEKDAY(A183)&gt;=6,"Weekend",IF(IFERROR(INDEX(Holidays!$D$5:$D$60,MATCH(A183,Holidays!$A$5:$A$60,0)),"")="Eve","Eve","Workday")))</f>
        <v>Weekend</v>
      </c>
      <c r="D183" s="18" t="str">
        <f aca="false">IFERROR(INDEX(Holidays!$C$5:$C$60,MATCH(A183,Holidays!$A$5:$A$60,0)),"")</f>
        <v/>
      </c>
      <c r="E183" s="31"/>
      <c r="F183" s="32"/>
      <c r="G183" s="32"/>
      <c r="H183" s="32"/>
      <c r="I183" s="32"/>
      <c r="J183" s="31"/>
      <c r="K183" s="33" t="str">
        <f aca="false">IF(E183&lt;&gt;"",E183,IF(U183,"Present",IF(C183="Holiday","Holiday","Weekend")))</f>
        <v>Weekend</v>
      </c>
      <c r="L183" s="34" t="str">
        <f aca="false">IF(OR(K183="Present",K183="Manual Work",K183="Partial Vacation",K183="Partial Sick Leave"),IF(ISNUMBER(F183),F183,IF(AND(K183="Present",U183),Settings!$B$6,"")),"")</f>
        <v/>
      </c>
      <c r="M183" s="34" t="str">
        <f aca="false">IF(OR(K183="Present",K183="Manual Work",K183="Partial Vacation",K183="Partial Sick Leave"),IF(ISNUMBER(G183),G183,IF(AND(K183="Present",U183),V183,"")),"")</f>
        <v/>
      </c>
      <c r="N183" s="14" t="n">
        <f aca="false">IF(AND(ISNUMBER(L183),ISNUMBER(M183)),MAX(0,(M183-L183)*24),0)</f>
        <v>0</v>
      </c>
      <c r="O183" s="14" t="n">
        <f aca="false">IF(NOT(U183),0,IF(K183="Vacation",IF(C183="Eve",Settings!$B$9*Settings!$B$11,W183),IF(K183="Partial Vacation",IF(AND(ISNUMBER(H183),ISNUMBER(I183)),MAX(0,(I183-H183)*24),0),0)))</f>
        <v>0</v>
      </c>
      <c r="P183" s="14" t="n">
        <f aca="false">IF(NOT(U183),0,IF(K183="Sick Leave",W183,IF(K183="Partial Sick Leave",IF(AND(ISNUMBER(H183),ISNUMBER(I183)),MAX(0,(I183-H183)*24),0),0)))</f>
        <v>0</v>
      </c>
      <c r="Q183" s="14" t="n">
        <f aca="false">IF(NOT(U183),0,IF(K183="Vacation",IF(C183="Eve",Settings!$B$11,1),IF(K183="Partial Vacation",O183/Settings!$B$9,0)))</f>
        <v>0</v>
      </c>
      <c r="R183" s="14" t="n">
        <f aca="false">IF(NOT(U183),0,IF(K183="Sick Leave",1,IF(K183="Partial Sick Leave",P183/Settings!$B$9,0)))</f>
        <v>0</v>
      </c>
      <c r="S183" s="35" t="str">
        <f aca="false">IF(AND(OR(E183="Vacation",E183="Sick Leave",E183="Partial Vacation",E183="Partial Sick Leave"),NOT(U183)),"Leave not allowed on this day",IF(AND(E183="Manual Work",OR(NOT(ISNUMBER(F183)),NOT(ISNUMBER(G183)))),"Enter start and end",IF(AND(OR(E183="Partial Vacation",E183="Partial Sick Leave"),OR(NOT(ISNUMBER(H183)),NOT(ISNUMBER(I183)))),"Enter leave from and to",IF(AND(ISNUMBER(F183),ISNUMBER(G183),G183&lt;=F183),"End is before start",IF(AND(ISNUMBER(H183),ISNUMBER(I183),I183&lt;=H183),"Leave end is before start",IF(AND(ISNUMBER(F183),ISNUMBER(G183),ISNUMBER(H183),ISNUMBER(I183),F183&lt;I183,H183&lt;G183),"Work and leave hours overlap",IF(AND(E183&lt;&gt;"",WEEKDAY(A183)=7),"Saturday - administrator only","")))))))</f>
        <v/>
      </c>
      <c r="T183" s="36" t="n">
        <f aca="false">MONTH(A183)</f>
        <v>6</v>
      </c>
      <c r="U183" s="37" t="b">
        <f aca="false">OR(C183="Workday",C183="Eve")</f>
        <v>0</v>
      </c>
      <c r="V183" s="34" t="n">
        <f aca="false">IF(C183="Eve",Settings!$B$8,Settings!$B$7)</f>
        <v>0.6875</v>
      </c>
      <c r="W183" s="14" t="n">
        <f aca="false">IF(U183,(V183-Settings!$B$6)*24,0)</f>
        <v>0</v>
      </c>
    </row>
    <row r="184" customFormat="false" ht="15" hidden="false" customHeight="false" outlineLevel="0" collapsed="false">
      <c r="A184" s="29" t="n">
        <v>46200</v>
      </c>
      <c r="B184" s="30" t="str">
        <f aca="false">CHOOSE(WEEKDAY(A184),"Sun","Mon","Tue","Wed","Thu","Fri","Sat")</f>
        <v>Sat</v>
      </c>
      <c r="C184" s="30" t="str">
        <f aca="false">IF(IFERROR(INDEX(Holidays!$D$5:$D$60,MATCH(A184,Holidays!$A$5:$A$60,0)),"")="Holiday","Holiday",IF(WEEKDAY(A184)&gt;=6,"Weekend",IF(IFERROR(INDEX(Holidays!$D$5:$D$60,MATCH(A184,Holidays!$A$5:$A$60,0)),"")="Eve","Eve","Workday")))</f>
        <v>Weekend</v>
      </c>
      <c r="D184" s="18" t="str">
        <f aca="false">IFERROR(INDEX(Holidays!$C$5:$C$60,MATCH(A184,Holidays!$A$5:$A$60,0)),"")</f>
        <v/>
      </c>
      <c r="E184" s="31"/>
      <c r="F184" s="32"/>
      <c r="G184" s="32"/>
      <c r="H184" s="32"/>
      <c r="I184" s="32"/>
      <c r="J184" s="31"/>
      <c r="K184" s="33" t="str">
        <f aca="false">IF(E184&lt;&gt;"",E184,IF(U184,"Present",IF(C184="Holiday","Holiday","Weekend")))</f>
        <v>Weekend</v>
      </c>
      <c r="L184" s="34" t="str">
        <f aca="false">IF(OR(K184="Present",K184="Manual Work",K184="Partial Vacation",K184="Partial Sick Leave"),IF(ISNUMBER(F184),F184,IF(AND(K184="Present",U184),Settings!$B$6,"")),"")</f>
        <v/>
      </c>
      <c r="M184" s="34" t="str">
        <f aca="false">IF(OR(K184="Present",K184="Manual Work",K184="Partial Vacation",K184="Partial Sick Leave"),IF(ISNUMBER(G184),G184,IF(AND(K184="Present",U184),V184,"")),"")</f>
        <v/>
      </c>
      <c r="N184" s="14" t="n">
        <f aca="false">IF(AND(ISNUMBER(L184),ISNUMBER(M184)),MAX(0,(M184-L184)*24),0)</f>
        <v>0</v>
      </c>
      <c r="O184" s="14" t="n">
        <f aca="false">IF(NOT(U184),0,IF(K184="Vacation",IF(C184="Eve",Settings!$B$9*Settings!$B$11,W184),IF(K184="Partial Vacation",IF(AND(ISNUMBER(H184),ISNUMBER(I184)),MAX(0,(I184-H184)*24),0),0)))</f>
        <v>0</v>
      </c>
      <c r="P184" s="14" t="n">
        <f aca="false">IF(NOT(U184),0,IF(K184="Sick Leave",W184,IF(K184="Partial Sick Leave",IF(AND(ISNUMBER(H184),ISNUMBER(I184)),MAX(0,(I184-H184)*24),0),0)))</f>
        <v>0</v>
      </c>
      <c r="Q184" s="14" t="n">
        <f aca="false">IF(NOT(U184),0,IF(K184="Vacation",IF(C184="Eve",Settings!$B$11,1),IF(K184="Partial Vacation",O184/Settings!$B$9,0)))</f>
        <v>0</v>
      </c>
      <c r="R184" s="14" t="n">
        <f aca="false">IF(NOT(U184),0,IF(K184="Sick Leave",1,IF(K184="Partial Sick Leave",P184/Settings!$B$9,0)))</f>
        <v>0</v>
      </c>
      <c r="S184" s="35" t="str">
        <f aca="false">IF(AND(OR(E184="Vacation",E184="Sick Leave",E184="Partial Vacation",E184="Partial Sick Leave"),NOT(U184)),"Leave not allowed on this day",IF(AND(E184="Manual Work",OR(NOT(ISNUMBER(F184)),NOT(ISNUMBER(G184)))),"Enter start and end",IF(AND(OR(E184="Partial Vacation",E184="Partial Sick Leave"),OR(NOT(ISNUMBER(H184)),NOT(ISNUMBER(I184)))),"Enter leave from and to",IF(AND(ISNUMBER(F184),ISNUMBER(G184),G184&lt;=F184),"End is before start",IF(AND(ISNUMBER(H184),ISNUMBER(I184),I184&lt;=H184),"Leave end is before start",IF(AND(ISNUMBER(F184),ISNUMBER(G184),ISNUMBER(H184),ISNUMBER(I184),F184&lt;I184,H184&lt;G184),"Work and leave hours overlap",IF(AND(E184&lt;&gt;"",WEEKDAY(A184)=7),"Saturday - administrator only","")))))))</f>
        <v/>
      </c>
      <c r="T184" s="36" t="n">
        <f aca="false">MONTH(A184)</f>
        <v>6</v>
      </c>
      <c r="U184" s="37" t="b">
        <f aca="false">OR(C184="Workday",C184="Eve")</f>
        <v>0</v>
      </c>
      <c r="V184" s="34" t="n">
        <f aca="false">IF(C184="Eve",Settings!$B$8,Settings!$B$7)</f>
        <v>0.6875</v>
      </c>
      <c r="W184" s="14" t="n">
        <f aca="false">IF(U184,(V184-Settings!$B$6)*24,0)</f>
        <v>0</v>
      </c>
    </row>
    <row r="185" customFormat="false" ht="15" hidden="false" customHeight="false" outlineLevel="0" collapsed="false">
      <c r="A185" s="29" t="n">
        <v>46201</v>
      </c>
      <c r="B185" s="30" t="str">
        <f aca="false">CHOOSE(WEEKDAY(A185),"Sun","Mon","Tue","Wed","Thu","Fri","Sat")</f>
        <v>Sun</v>
      </c>
      <c r="C185" s="30" t="str">
        <f aca="false">IF(IFERROR(INDEX(Holidays!$D$5:$D$60,MATCH(A185,Holidays!$A$5:$A$60,0)),"")="Holiday","Holiday",IF(WEEKDAY(A185)&gt;=6,"Weekend",IF(IFERROR(INDEX(Holidays!$D$5:$D$60,MATCH(A185,Holidays!$A$5:$A$60,0)),"")="Eve","Eve","Workday")))</f>
        <v>Workday</v>
      </c>
      <c r="D185" s="18" t="str">
        <f aca="false">IFERROR(INDEX(Holidays!$C$5:$C$60,MATCH(A185,Holidays!$A$5:$A$60,0)),"")</f>
        <v/>
      </c>
      <c r="E185" s="31"/>
      <c r="F185" s="32"/>
      <c r="G185" s="32"/>
      <c r="H185" s="32"/>
      <c r="I185" s="32"/>
      <c r="J185" s="31"/>
      <c r="K185" s="33" t="str">
        <f aca="false">IF(E185&lt;&gt;"",E185,IF(U185,"Present",IF(C185="Holiday","Holiday","Weekend")))</f>
        <v>Present</v>
      </c>
      <c r="L185" s="34" t="n">
        <f aca="false">IF(OR(K185="Present",K185="Manual Work",K185="Partial Vacation",K185="Partial Sick Leave"),IF(ISNUMBER(F185),F185,IF(AND(K185="Present",U185),Settings!$B$6,"")),"")</f>
        <v>0.333333333333333</v>
      </c>
      <c r="M185" s="34" t="n">
        <f aca="false">IF(OR(K185="Present",K185="Manual Work",K185="Partial Vacation",K185="Partial Sick Leave"),IF(ISNUMBER(G185),G185,IF(AND(K185="Present",U185),V185,"")),"")</f>
        <v>0.6875</v>
      </c>
      <c r="N185" s="14" t="n">
        <f aca="false">IF(AND(ISNUMBER(L185),ISNUMBER(M185)),MAX(0,(M185-L185)*24),0)</f>
        <v>8.5</v>
      </c>
      <c r="O185" s="14" t="n">
        <f aca="false">IF(NOT(U185),0,IF(K185="Vacation",IF(C185="Eve",Settings!$B$9*Settings!$B$11,W185),IF(K185="Partial Vacation",IF(AND(ISNUMBER(H185),ISNUMBER(I185)),MAX(0,(I185-H185)*24),0),0)))</f>
        <v>0</v>
      </c>
      <c r="P185" s="14" t="n">
        <f aca="false">IF(NOT(U185),0,IF(K185="Sick Leave",W185,IF(K185="Partial Sick Leave",IF(AND(ISNUMBER(H185),ISNUMBER(I185)),MAX(0,(I185-H185)*24),0),0)))</f>
        <v>0</v>
      </c>
      <c r="Q185" s="14" t="n">
        <f aca="false">IF(NOT(U185),0,IF(K185="Vacation",IF(C185="Eve",Settings!$B$11,1),IF(K185="Partial Vacation",O185/Settings!$B$9,0)))</f>
        <v>0</v>
      </c>
      <c r="R185" s="14" t="n">
        <f aca="false">IF(NOT(U185),0,IF(K185="Sick Leave",1,IF(K185="Partial Sick Leave",P185/Settings!$B$9,0)))</f>
        <v>0</v>
      </c>
      <c r="S185" s="35" t="str">
        <f aca="false">IF(AND(OR(E185="Vacation",E185="Sick Leave",E185="Partial Vacation",E185="Partial Sick Leave"),NOT(U185)),"Leave not allowed on this day",IF(AND(E185="Manual Work",OR(NOT(ISNUMBER(F185)),NOT(ISNUMBER(G185)))),"Enter start and end",IF(AND(OR(E185="Partial Vacation",E185="Partial Sick Leave"),OR(NOT(ISNUMBER(H185)),NOT(ISNUMBER(I185)))),"Enter leave from and to",IF(AND(ISNUMBER(F185),ISNUMBER(G185),G185&lt;=F185),"End is before start",IF(AND(ISNUMBER(H185),ISNUMBER(I185),I185&lt;=H185),"Leave end is before start",IF(AND(ISNUMBER(F185),ISNUMBER(G185),ISNUMBER(H185),ISNUMBER(I185),F185&lt;I185,H185&lt;G185),"Work and leave hours overlap",IF(AND(E185&lt;&gt;"",WEEKDAY(A185)=7),"Saturday - administrator only","")))))))</f>
        <v/>
      </c>
      <c r="T185" s="36" t="n">
        <f aca="false">MONTH(A185)</f>
        <v>6</v>
      </c>
      <c r="U185" s="37" t="b">
        <f aca="false">OR(C185="Workday",C185="Eve")</f>
        <v>1</v>
      </c>
      <c r="V185" s="34" t="n">
        <f aca="false">IF(C185="Eve",Settings!$B$8,Settings!$B$7)</f>
        <v>0.6875</v>
      </c>
      <c r="W185" s="14" t="n">
        <f aca="false">IF(U185,(V185-Settings!$B$6)*24,0)</f>
        <v>8.5</v>
      </c>
    </row>
    <row r="186" customFormat="false" ht="15" hidden="false" customHeight="false" outlineLevel="0" collapsed="false">
      <c r="A186" s="29" t="n">
        <v>46202</v>
      </c>
      <c r="B186" s="30" t="str">
        <f aca="false">CHOOSE(WEEKDAY(A186),"Sun","Mon","Tue","Wed","Thu","Fri","Sat")</f>
        <v>Mon</v>
      </c>
      <c r="C186" s="30" t="str">
        <f aca="false">IF(IFERROR(INDEX(Holidays!$D$5:$D$60,MATCH(A186,Holidays!$A$5:$A$60,0)),"")="Holiday","Holiday",IF(WEEKDAY(A186)&gt;=6,"Weekend",IF(IFERROR(INDEX(Holidays!$D$5:$D$60,MATCH(A186,Holidays!$A$5:$A$60,0)),"")="Eve","Eve","Workday")))</f>
        <v>Workday</v>
      </c>
      <c r="D186" s="18" t="str">
        <f aca="false">IFERROR(INDEX(Holidays!$C$5:$C$60,MATCH(A186,Holidays!$A$5:$A$60,0)),"")</f>
        <v/>
      </c>
      <c r="E186" s="31"/>
      <c r="F186" s="32"/>
      <c r="G186" s="32"/>
      <c r="H186" s="32"/>
      <c r="I186" s="32"/>
      <c r="J186" s="31"/>
      <c r="K186" s="33" t="str">
        <f aca="false">IF(E186&lt;&gt;"",E186,IF(U186,"Present",IF(C186="Holiday","Holiday","Weekend")))</f>
        <v>Present</v>
      </c>
      <c r="L186" s="34" t="n">
        <f aca="false">IF(OR(K186="Present",K186="Manual Work",K186="Partial Vacation",K186="Partial Sick Leave"),IF(ISNUMBER(F186),F186,IF(AND(K186="Present",U186),Settings!$B$6,"")),"")</f>
        <v>0.333333333333333</v>
      </c>
      <c r="M186" s="34" t="n">
        <f aca="false">IF(OR(K186="Present",K186="Manual Work",K186="Partial Vacation",K186="Partial Sick Leave"),IF(ISNUMBER(G186),G186,IF(AND(K186="Present",U186),V186,"")),"")</f>
        <v>0.6875</v>
      </c>
      <c r="N186" s="14" t="n">
        <f aca="false">IF(AND(ISNUMBER(L186),ISNUMBER(M186)),MAX(0,(M186-L186)*24),0)</f>
        <v>8.5</v>
      </c>
      <c r="O186" s="14" t="n">
        <f aca="false">IF(NOT(U186),0,IF(K186="Vacation",IF(C186="Eve",Settings!$B$9*Settings!$B$11,W186),IF(K186="Partial Vacation",IF(AND(ISNUMBER(H186),ISNUMBER(I186)),MAX(0,(I186-H186)*24),0),0)))</f>
        <v>0</v>
      </c>
      <c r="P186" s="14" t="n">
        <f aca="false">IF(NOT(U186),0,IF(K186="Sick Leave",W186,IF(K186="Partial Sick Leave",IF(AND(ISNUMBER(H186),ISNUMBER(I186)),MAX(0,(I186-H186)*24),0),0)))</f>
        <v>0</v>
      </c>
      <c r="Q186" s="14" t="n">
        <f aca="false">IF(NOT(U186),0,IF(K186="Vacation",IF(C186="Eve",Settings!$B$11,1),IF(K186="Partial Vacation",O186/Settings!$B$9,0)))</f>
        <v>0</v>
      </c>
      <c r="R186" s="14" t="n">
        <f aca="false">IF(NOT(U186),0,IF(K186="Sick Leave",1,IF(K186="Partial Sick Leave",P186/Settings!$B$9,0)))</f>
        <v>0</v>
      </c>
      <c r="S186" s="35" t="str">
        <f aca="false">IF(AND(OR(E186="Vacation",E186="Sick Leave",E186="Partial Vacation",E186="Partial Sick Leave"),NOT(U186)),"Leave not allowed on this day",IF(AND(E186="Manual Work",OR(NOT(ISNUMBER(F186)),NOT(ISNUMBER(G186)))),"Enter start and end",IF(AND(OR(E186="Partial Vacation",E186="Partial Sick Leave"),OR(NOT(ISNUMBER(H186)),NOT(ISNUMBER(I186)))),"Enter leave from and to",IF(AND(ISNUMBER(F186),ISNUMBER(G186),G186&lt;=F186),"End is before start",IF(AND(ISNUMBER(H186),ISNUMBER(I186),I186&lt;=H186),"Leave end is before start",IF(AND(ISNUMBER(F186),ISNUMBER(G186),ISNUMBER(H186),ISNUMBER(I186),F186&lt;I186,H186&lt;G186),"Work and leave hours overlap",IF(AND(E186&lt;&gt;"",WEEKDAY(A186)=7),"Saturday - administrator only","")))))))</f>
        <v/>
      </c>
      <c r="T186" s="36" t="n">
        <f aca="false">MONTH(A186)</f>
        <v>6</v>
      </c>
      <c r="U186" s="37" t="b">
        <f aca="false">OR(C186="Workday",C186="Eve")</f>
        <v>1</v>
      </c>
      <c r="V186" s="34" t="n">
        <f aca="false">IF(C186="Eve",Settings!$B$8,Settings!$B$7)</f>
        <v>0.6875</v>
      </c>
      <c r="W186" s="14" t="n">
        <f aca="false">IF(U186,(V186-Settings!$B$6)*24,0)</f>
        <v>8.5</v>
      </c>
    </row>
    <row r="187" customFormat="false" ht="15" hidden="false" customHeight="false" outlineLevel="0" collapsed="false">
      <c r="A187" s="29" t="n">
        <v>46203</v>
      </c>
      <c r="B187" s="30" t="str">
        <f aca="false">CHOOSE(WEEKDAY(A187),"Sun","Mon","Tue","Wed","Thu","Fri","Sat")</f>
        <v>Tue</v>
      </c>
      <c r="C187" s="30" t="str">
        <f aca="false">IF(IFERROR(INDEX(Holidays!$D$5:$D$60,MATCH(A187,Holidays!$A$5:$A$60,0)),"")="Holiday","Holiday",IF(WEEKDAY(A187)&gt;=6,"Weekend",IF(IFERROR(INDEX(Holidays!$D$5:$D$60,MATCH(A187,Holidays!$A$5:$A$60,0)),"")="Eve","Eve","Workday")))</f>
        <v>Workday</v>
      </c>
      <c r="D187" s="18" t="str">
        <f aca="false">IFERROR(INDEX(Holidays!$C$5:$C$60,MATCH(A187,Holidays!$A$5:$A$60,0)),"")</f>
        <v/>
      </c>
      <c r="E187" s="31"/>
      <c r="F187" s="32"/>
      <c r="G187" s="32"/>
      <c r="H187" s="32"/>
      <c r="I187" s="32"/>
      <c r="J187" s="31"/>
      <c r="K187" s="33" t="str">
        <f aca="false">IF(E187&lt;&gt;"",E187,IF(U187,"Present",IF(C187="Holiday","Holiday","Weekend")))</f>
        <v>Present</v>
      </c>
      <c r="L187" s="34" t="n">
        <f aca="false">IF(OR(K187="Present",K187="Manual Work",K187="Partial Vacation",K187="Partial Sick Leave"),IF(ISNUMBER(F187),F187,IF(AND(K187="Present",U187),Settings!$B$6,"")),"")</f>
        <v>0.333333333333333</v>
      </c>
      <c r="M187" s="34" t="n">
        <f aca="false">IF(OR(K187="Present",K187="Manual Work",K187="Partial Vacation",K187="Partial Sick Leave"),IF(ISNUMBER(G187),G187,IF(AND(K187="Present",U187),V187,"")),"")</f>
        <v>0.6875</v>
      </c>
      <c r="N187" s="14" t="n">
        <f aca="false">IF(AND(ISNUMBER(L187),ISNUMBER(M187)),MAX(0,(M187-L187)*24),0)</f>
        <v>8.5</v>
      </c>
      <c r="O187" s="14" t="n">
        <f aca="false">IF(NOT(U187),0,IF(K187="Vacation",IF(C187="Eve",Settings!$B$9*Settings!$B$11,W187),IF(K187="Partial Vacation",IF(AND(ISNUMBER(H187),ISNUMBER(I187)),MAX(0,(I187-H187)*24),0),0)))</f>
        <v>0</v>
      </c>
      <c r="P187" s="14" t="n">
        <f aca="false">IF(NOT(U187),0,IF(K187="Sick Leave",W187,IF(K187="Partial Sick Leave",IF(AND(ISNUMBER(H187),ISNUMBER(I187)),MAX(0,(I187-H187)*24),0),0)))</f>
        <v>0</v>
      </c>
      <c r="Q187" s="14" t="n">
        <f aca="false">IF(NOT(U187),0,IF(K187="Vacation",IF(C187="Eve",Settings!$B$11,1),IF(K187="Partial Vacation",O187/Settings!$B$9,0)))</f>
        <v>0</v>
      </c>
      <c r="R187" s="14" t="n">
        <f aca="false">IF(NOT(U187),0,IF(K187="Sick Leave",1,IF(K187="Partial Sick Leave",P187/Settings!$B$9,0)))</f>
        <v>0</v>
      </c>
      <c r="S187" s="35" t="str">
        <f aca="false">IF(AND(OR(E187="Vacation",E187="Sick Leave",E187="Partial Vacation",E187="Partial Sick Leave"),NOT(U187)),"Leave not allowed on this day",IF(AND(E187="Manual Work",OR(NOT(ISNUMBER(F187)),NOT(ISNUMBER(G187)))),"Enter start and end",IF(AND(OR(E187="Partial Vacation",E187="Partial Sick Leave"),OR(NOT(ISNUMBER(H187)),NOT(ISNUMBER(I187)))),"Enter leave from and to",IF(AND(ISNUMBER(F187),ISNUMBER(G187),G187&lt;=F187),"End is before start",IF(AND(ISNUMBER(H187),ISNUMBER(I187),I187&lt;=H187),"Leave end is before start",IF(AND(ISNUMBER(F187),ISNUMBER(G187),ISNUMBER(H187),ISNUMBER(I187),F187&lt;I187,H187&lt;G187),"Work and leave hours overlap",IF(AND(E187&lt;&gt;"",WEEKDAY(A187)=7),"Saturday - administrator only","")))))))</f>
        <v/>
      </c>
      <c r="T187" s="36" t="n">
        <f aca="false">MONTH(A187)</f>
        <v>6</v>
      </c>
      <c r="U187" s="37" t="b">
        <f aca="false">OR(C187="Workday",C187="Eve")</f>
        <v>1</v>
      </c>
      <c r="V187" s="34" t="n">
        <f aca="false">IF(C187="Eve",Settings!$B$8,Settings!$B$7)</f>
        <v>0.6875</v>
      </c>
      <c r="W187" s="14" t="n">
        <f aca="false">IF(U187,(V187-Settings!$B$6)*24,0)</f>
        <v>8.5</v>
      </c>
    </row>
    <row r="188" customFormat="false" ht="15" hidden="false" customHeight="false" outlineLevel="0" collapsed="false">
      <c r="A188" s="29" t="n">
        <v>46204</v>
      </c>
      <c r="B188" s="30" t="str">
        <f aca="false">CHOOSE(WEEKDAY(A188),"Sun","Mon","Tue","Wed","Thu","Fri","Sat")</f>
        <v>Wed</v>
      </c>
      <c r="C188" s="30" t="str">
        <f aca="false">IF(IFERROR(INDEX(Holidays!$D$5:$D$60,MATCH(A188,Holidays!$A$5:$A$60,0)),"")="Holiday","Holiday",IF(WEEKDAY(A188)&gt;=6,"Weekend",IF(IFERROR(INDEX(Holidays!$D$5:$D$60,MATCH(A188,Holidays!$A$5:$A$60,0)),"")="Eve","Eve","Workday")))</f>
        <v>Workday</v>
      </c>
      <c r="D188" s="18" t="str">
        <f aca="false">IFERROR(INDEX(Holidays!$C$5:$C$60,MATCH(A188,Holidays!$A$5:$A$60,0)),"")</f>
        <v/>
      </c>
      <c r="E188" s="31"/>
      <c r="F188" s="32"/>
      <c r="G188" s="32"/>
      <c r="H188" s="32"/>
      <c r="I188" s="32"/>
      <c r="J188" s="31"/>
      <c r="K188" s="33" t="str">
        <f aca="false">IF(E188&lt;&gt;"",E188,IF(U188,"Present",IF(C188="Holiday","Holiday","Weekend")))</f>
        <v>Present</v>
      </c>
      <c r="L188" s="34" t="n">
        <f aca="false">IF(OR(K188="Present",K188="Manual Work",K188="Partial Vacation",K188="Partial Sick Leave"),IF(ISNUMBER(F188),F188,IF(AND(K188="Present",U188),Settings!$B$6,"")),"")</f>
        <v>0.333333333333333</v>
      </c>
      <c r="M188" s="34" t="n">
        <f aca="false">IF(OR(K188="Present",K188="Manual Work",K188="Partial Vacation",K188="Partial Sick Leave"),IF(ISNUMBER(G188),G188,IF(AND(K188="Present",U188),V188,"")),"")</f>
        <v>0.6875</v>
      </c>
      <c r="N188" s="14" t="n">
        <f aca="false">IF(AND(ISNUMBER(L188),ISNUMBER(M188)),MAX(0,(M188-L188)*24),0)</f>
        <v>8.5</v>
      </c>
      <c r="O188" s="14" t="n">
        <f aca="false">IF(NOT(U188),0,IF(K188="Vacation",IF(C188="Eve",Settings!$B$9*Settings!$B$11,W188),IF(K188="Partial Vacation",IF(AND(ISNUMBER(H188),ISNUMBER(I188)),MAX(0,(I188-H188)*24),0),0)))</f>
        <v>0</v>
      </c>
      <c r="P188" s="14" t="n">
        <f aca="false">IF(NOT(U188),0,IF(K188="Sick Leave",W188,IF(K188="Partial Sick Leave",IF(AND(ISNUMBER(H188),ISNUMBER(I188)),MAX(0,(I188-H188)*24),0),0)))</f>
        <v>0</v>
      </c>
      <c r="Q188" s="14" t="n">
        <f aca="false">IF(NOT(U188),0,IF(K188="Vacation",IF(C188="Eve",Settings!$B$11,1),IF(K188="Partial Vacation",O188/Settings!$B$9,0)))</f>
        <v>0</v>
      </c>
      <c r="R188" s="14" t="n">
        <f aca="false">IF(NOT(U188),0,IF(K188="Sick Leave",1,IF(K188="Partial Sick Leave",P188/Settings!$B$9,0)))</f>
        <v>0</v>
      </c>
      <c r="S188" s="35" t="str">
        <f aca="false">IF(AND(OR(E188="Vacation",E188="Sick Leave",E188="Partial Vacation",E188="Partial Sick Leave"),NOT(U188)),"Leave not allowed on this day",IF(AND(E188="Manual Work",OR(NOT(ISNUMBER(F188)),NOT(ISNUMBER(G188)))),"Enter start and end",IF(AND(OR(E188="Partial Vacation",E188="Partial Sick Leave"),OR(NOT(ISNUMBER(H188)),NOT(ISNUMBER(I188)))),"Enter leave from and to",IF(AND(ISNUMBER(F188),ISNUMBER(G188),G188&lt;=F188),"End is before start",IF(AND(ISNUMBER(H188),ISNUMBER(I188),I188&lt;=H188),"Leave end is before start",IF(AND(ISNUMBER(F188),ISNUMBER(G188),ISNUMBER(H188),ISNUMBER(I188),F188&lt;I188,H188&lt;G188),"Work and leave hours overlap",IF(AND(E188&lt;&gt;"",WEEKDAY(A188)=7),"Saturday - administrator only","")))))))</f>
        <v/>
      </c>
      <c r="T188" s="36" t="n">
        <f aca="false">MONTH(A188)</f>
        <v>7</v>
      </c>
      <c r="U188" s="37" t="b">
        <f aca="false">OR(C188="Workday",C188="Eve")</f>
        <v>1</v>
      </c>
      <c r="V188" s="34" t="n">
        <f aca="false">IF(C188="Eve",Settings!$B$8,Settings!$B$7)</f>
        <v>0.6875</v>
      </c>
      <c r="W188" s="14" t="n">
        <f aca="false">IF(U188,(V188-Settings!$B$6)*24,0)</f>
        <v>8.5</v>
      </c>
    </row>
    <row r="189" customFormat="false" ht="15" hidden="false" customHeight="false" outlineLevel="0" collapsed="false">
      <c r="A189" s="29" t="n">
        <v>46205</v>
      </c>
      <c r="B189" s="30" t="str">
        <f aca="false">CHOOSE(WEEKDAY(A189),"Sun","Mon","Tue","Wed","Thu","Fri","Sat")</f>
        <v>Thu</v>
      </c>
      <c r="C189" s="30" t="str">
        <f aca="false">IF(IFERROR(INDEX(Holidays!$D$5:$D$60,MATCH(A189,Holidays!$A$5:$A$60,0)),"")="Holiday","Holiday",IF(WEEKDAY(A189)&gt;=6,"Weekend",IF(IFERROR(INDEX(Holidays!$D$5:$D$60,MATCH(A189,Holidays!$A$5:$A$60,0)),"")="Eve","Eve","Workday")))</f>
        <v>Workday</v>
      </c>
      <c r="D189" s="18" t="str">
        <f aca="false">IFERROR(INDEX(Holidays!$C$5:$C$60,MATCH(A189,Holidays!$A$5:$A$60,0)),"")</f>
        <v/>
      </c>
      <c r="E189" s="31"/>
      <c r="F189" s="32"/>
      <c r="G189" s="32"/>
      <c r="H189" s="32"/>
      <c r="I189" s="32"/>
      <c r="J189" s="31"/>
      <c r="K189" s="33" t="str">
        <f aca="false">IF(E189&lt;&gt;"",E189,IF(U189,"Present",IF(C189="Holiday","Holiday","Weekend")))</f>
        <v>Present</v>
      </c>
      <c r="L189" s="34" t="n">
        <f aca="false">IF(OR(K189="Present",K189="Manual Work",K189="Partial Vacation",K189="Partial Sick Leave"),IF(ISNUMBER(F189),F189,IF(AND(K189="Present",U189),Settings!$B$6,"")),"")</f>
        <v>0.333333333333333</v>
      </c>
      <c r="M189" s="34" t="n">
        <f aca="false">IF(OR(K189="Present",K189="Manual Work",K189="Partial Vacation",K189="Partial Sick Leave"),IF(ISNUMBER(G189),G189,IF(AND(K189="Present",U189),V189,"")),"")</f>
        <v>0.6875</v>
      </c>
      <c r="N189" s="14" t="n">
        <f aca="false">IF(AND(ISNUMBER(L189),ISNUMBER(M189)),MAX(0,(M189-L189)*24),0)</f>
        <v>8.5</v>
      </c>
      <c r="O189" s="14" t="n">
        <f aca="false">IF(NOT(U189),0,IF(K189="Vacation",IF(C189="Eve",Settings!$B$9*Settings!$B$11,W189),IF(K189="Partial Vacation",IF(AND(ISNUMBER(H189),ISNUMBER(I189)),MAX(0,(I189-H189)*24),0),0)))</f>
        <v>0</v>
      </c>
      <c r="P189" s="14" t="n">
        <f aca="false">IF(NOT(U189),0,IF(K189="Sick Leave",W189,IF(K189="Partial Sick Leave",IF(AND(ISNUMBER(H189),ISNUMBER(I189)),MAX(0,(I189-H189)*24),0),0)))</f>
        <v>0</v>
      </c>
      <c r="Q189" s="14" t="n">
        <f aca="false">IF(NOT(U189),0,IF(K189="Vacation",IF(C189="Eve",Settings!$B$11,1),IF(K189="Partial Vacation",O189/Settings!$B$9,0)))</f>
        <v>0</v>
      </c>
      <c r="R189" s="14" t="n">
        <f aca="false">IF(NOT(U189),0,IF(K189="Sick Leave",1,IF(K189="Partial Sick Leave",P189/Settings!$B$9,0)))</f>
        <v>0</v>
      </c>
      <c r="S189" s="35" t="str">
        <f aca="false">IF(AND(OR(E189="Vacation",E189="Sick Leave",E189="Partial Vacation",E189="Partial Sick Leave"),NOT(U189)),"Leave not allowed on this day",IF(AND(E189="Manual Work",OR(NOT(ISNUMBER(F189)),NOT(ISNUMBER(G189)))),"Enter start and end",IF(AND(OR(E189="Partial Vacation",E189="Partial Sick Leave"),OR(NOT(ISNUMBER(H189)),NOT(ISNUMBER(I189)))),"Enter leave from and to",IF(AND(ISNUMBER(F189),ISNUMBER(G189),G189&lt;=F189),"End is before start",IF(AND(ISNUMBER(H189),ISNUMBER(I189),I189&lt;=H189),"Leave end is before start",IF(AND(ISNUMBER(F189),ISNUMBER(G189),ISNUMBER(H189),ISNUMBER(I189),F189&lt;I189,H189&lt;G189),"Work and leave hours overlap",IF(AND(E189&lt;&gt;"",WEEKDAY(A189)=7),"Saturday - administrator only","")))))))</f>
        <v/>
      </c>
      <c r="T189" s="36" t="n">
        <f aca="false">MONTH(A189)</f>
        <v>7</v>
      </c>
      <c r="U189" s="37" t="b">
        <f aca="false">OR(C189="Workday",C189="Eve")</f>
        <v>1</v>
      </c>
      <c r="V189" s="34" t="n">
        <f aca="false">IF(C189="Eve",Settings!$B$8,Settings!$B$7)</f>
        <v>0.6875</v>
      </c>
      <c r="W189" s="14" t="n">
        <f aca="false">IF(U189,(V189-Settings!$B$6)*24,0)</f>
        <v>8.5</v>
      </c>
    </row>
    <row r="190" customFormat="false" ht="15" hidden="false" customHeight="false" outlineLevel="0" collapsed="false">
      <c r="A190" s="29" t="n">
        <v>46206</v>
      </c>
      <c r="B190" s="30" t="str">
        <f aca="false">CHOOSE(WEEKDAY(A190),"Sun","Mon","Tue","Wed","Thu","Fri","Sat")</f>
        <v>Fri</v>
      </c>
      <c r="C190" s="30" t="str">
        <f aca="false">IF(IFERROR(INDEX(Holidays!$D$5:$D$60,MATCH(A190,Holidays!$A$5:$A$60,0)),"")="Holiday","Holiday",IF(WEEKDAY(A190)&gt;=6,"Weekend",IF(IFERROR(INDEX(Holidays!$D$5:$D$60,MATCH(A190,Holidays!$A$5:$A$60,0)),"")="Eve","Eve","Workday")))</f>
        <v>Weekend</v>
      </c>
      <c r="D190" s="18" t="str">
        <f aca="false">IFERROR(INDEX(Holidays!$C$5:$C$60,MATCH(A190,Holidays!$A$5:$A$60,0)),"")</f>
        <v/>
      </c>
      <c r="E190" s="31"/>
      <c r="F190" s="32"/>
      <c r="G190" s="32"/>
      <c r="H190" s="32"/>
      <c r="I190" s="32"/>
      <c r="J190" s="31"/>
      <c r="K190" s="33" t="str">
        <f aca="false">IF(E190&lt;&gt;"",E190,IF(U190,"Present",IF(C190="Holiday","Holiday","Weekend")))</f>
        <v>Weekend</v>
      </c>
      <c r="L190" s="34" t="str">
        <f aca="false">IF(OR(K190="Present",K190="Manual Work",K190="Partial Vacation",K190="Partial Sick Leave"),IF(ISNUMBER(F190),F190,IF(AND(K190="Present",U190),Settings!$B$6,"")),"")</f>
        <v/>
      </c>
      <c r="M190" s="34" t="str">
        <f aca="false">IF(OR(K190="Present",K190="Manual Work",K190="Partial Vacation",K190="Partial Sick Leave"),IF(ISNUMBER(G190),G190,IF(AND(K190="Present",U190),V190,"")),"")</f>
        <v/>
      </c>
      <c r="N190" s="14" t="n">
        <f aca="false">IF(AND(ISNUMBER(L190),ISNUMBER(M190)),MAX(0,(M190-L190)*24),0)</f>
        <v>0</v>
      </c>
      <c r="O190" s="14" t="n">
        <f aca="false">IF(NOT(U190),0,IF(K190="Vacation",IF(C190="Eve",Settings!$B$9*Settings!$B$11,W190),IF(K190="Partial Vacation",IF(AND(ISNUMBER(H190),ISNUMBER(I190)),MAX(0,(I190-H190)*24),0),0)))</f>
        <v>0</v>
      </c>
      <c r="P190" s="14" t="n">
        <f aca="false">IF(NOT(U190),0,IF(K190="Sick Leave",W190,IF(K190="Partial Sick Leave",IF(AND(ISNUMBER(H190),ISNUMBER(I190)),MAX(0,(I190-H190)*24),0),0)))</f>
        <v>0</v>
      </c>
      <c r="Q190" s="14" t="n">
        <f aca="false">IF(NOT(U190),0,IF(K190="Vacation",IF(C190="Eve",Settings!$B$11,1),IF(K190="Partial Vacation",O190/Settings!$B$9,0)))</f>
        <v>0</v>
      </c>
      <c r="R190" s="14" t="n">
        <f aca="false">IF(NOT(U190),0,IF(K190="Sick Leave",1,IF(K190="Partial Sick Leave",P190/Settings!$B$9,0)))</f>
        <v>0</v>
      </c>
      <c r="S190" s="35" t="str">
        <f aca="false">IF(AND(OR(E190="Vacation",E190="Sick Leave",E190="Partial Vacation",E190="Partial Sick Leave"),NOT(U190)),"Leave not allowed on this day",IF(AND(E190="Manual Work",OR(NOT(ISNUMBER(F190)),NOT(ISNUMBER(G190)))),"Enter start and end",IF(AND(OR(E190="Partial Vacation",E190="Partial Sick Leave"),OR(NOT(ISNUMBER(H190)),NOT(ISNUMBER(I190)))),"Enter leave from and to",IF(AND(ISNUMBER(F190),ISNUMBER(G190),G190&lt;=F190),"End is before start",IF(AND(ISNUMBER(H190),ISNUMBER(I190),I190&lt;=H190),"Leave end is before start",IF(AND(ISNUMBER(F190),ISNUMBER(G190),ISNUMBER(H190),ISNUMBER(I190),F190&lt;I190,H190&lt;G190),"Work and leave hours overlap",IF(AND(E190&lt;&gt;"",WEEKDAY(A190)=7),"Saturday - administrator only","")))))))</f>
        <v/>
      </c>
      <c r="T190" s="36" t="n">
        <f aca="false">MONTH(A190)</f>
        <v>7</v>
      </c>
      <c r="U190" s="37" t="b">
        <f aca="false">OR(C190="Workday",C190="Eve")</f>
        <v>0</v>
      </c>
      <c r="V190" s="34" t="n">
        <f aca="false">IF(C190="Eve",Settings!$B$8,Settings!$B$7)</f>
        <v>0.6875</v>
      </c>
      <c r="W190" s="14" t="n">
        <f aca="false">IF(U190,(V190-Settings!$B$6)*24,0)</f>
        <v>0</v>
      </c>
    </row>
    <row r="191" customFormat="false" ht="15" hidden="false" customHeight="false" outlineLevel="0" collapsed="false">
      <c r="A191" s="29" t="n">
        <v>46207</v>
      </c>
      <c r="B191" s="30" t="str">
        <f aca="false">CHOOSE(WEEKDAY(A191),"Sun","Mon","Tue","Wed","Thu","Fri","Sat")</f>
        <v>Sat</v>
      </c>
      <c r="C191" s="30" t="str">
        <f aca="false">IF(IFERROR(INDEX(Holidays!$D$5:$D$60,MATCH(A191,Holidays!$A$5:$A$60,0)),"")="Holiday","Holiday",IF(WEEKDAY(A191)&gt;=6,"Weekend",IF(IFERROR(INDEX(Holidays!$D$5:$D$60,MATCH(A191,Holidays!$A$5:$A$60,0)),"")="Eve","Eve","Workday")))</f>
        <v>Weekend</v>
      </c>
      <c r="D191" s="18" t="str">
        <f aca="false">IFERROR(INDEX(Holidays!$C$5:$C$60,MATCH(A191,Holidays!$A$5:$A$60,0)),"")</f>
        <v/>
      </c>
      <c r="E191" s="31"/>
      <c r="F191" s="32"/>
      <c r="G191" s="32"/>
      <c r="H191" s="32"/>
      <c r="I191" s="32"/>
      <c r="J191" s="31"/>
      <c r="K191" s="33" t="str">
        <f aca="false">IF(E191&lt;&gt;"",E191,IF(U191,"Present",IF(C191="Holiday","Holiday","Weekend")))</f>
        <v>Weekend</v>
      </c>
      <c r="L191" s="34" t="str">
        <f aca="false">IF(OR(K191="Present",K191="Manual Work",K191="Partial Vacation",K191="Partial Sick Leave"),IF(ISNUMBER(F191),F191,IF(AND(K191="Present",U191),Settings!$B$6,"")),"")</f>
        <v/>
      </c>
      <c r="M191" s="34" t="str">
        <f aca="false">IF(OR(K191="Present",K191="Manual Work",K191="Partial Vacation",K191="Partial Sick Leave"),IF(ISNUMBER(G191),G191,IF(AND(K191="Present",U191),V191,"")),"")</f>
        <v/>
      </c>
      <c r="N191" s="14" t="n">
        <f aca="false">IF(AND(ISNUMBER(L191),ISNUMBER(M191)),MAX(0,(M191-L191)*24),0)</f>
        <v>0</v>
      </c>
      <c r="O191" s="14" t="n">
        <f aca="false">IF(NOT(U191),0,IF(K191="Vacation",IF(C191="Eve",Settings!$B$9*Settings!$B$11,W191),IF(K191="Partial Vacation",IF(AND(ISNUMBER(H191),ISNUMBER(I191)),MAX(0,(I191-H191)*24),0),0)))</f>
        <v>0</v>
      </c>
      <c r="P191" s="14" t="n">
        <f aca="false">IF(NOT(U191),0,IF(K191="Sick Leave",W191,IF(K191="Partial Sick Leave",IF(AND(ISNUMBER(H191),ISNUMBER(I191)),MAX(0,(I191-H191)*24),0),0)))</f>
        <v>0</v>
      </c>
      <c r="Q191" s="14" t="n">
        <f aca="false">IF(NOT(U191),0,IF(K191="Vacation",IF(C191="Eve",Settings!$B$11,1),IF(K191="Partial Vacation",O191/Settings!$B$9,0)))</f>
        <v>0</v>
      </c>
      <c r="R191" s="14" t="n">
        <f aca="false">IF(NOT(U191),0,IF(K191="Sick Leave",1,IF(K191="Partial Sick Leave",P191/Settings!$B$9,0)))</f>
        <v>0</v>
      </c>
      <c r="S191" s="35" t="str">
        <f aca="false">IF(AND(OR(E191="Vacation",E191="Sick Leave",E191="Partial Vacation",E191="Partial Sick Leave"),NOT(U191)),"Leave not allowed on this day",IF(AND(E191="Manual Work",OR(NOT(ISNUMBER(F191)),NOT(ISNUMBER(G191)))),"Enter start and end",IF(AND(OR(E191="Partial Vacation",E191="Partial Sick Leave"),OR(NOT(ISNUMBER(H191)),NOT(ISNUMBER(I191)))),"Enter leave from and to",IF(AND(ISNUMBER(F191),ISNUMBER(G191),G191&lt;=F191),"End is before start",IF(AND(ISNUMBER(H191),ISNUMBER(I191),I191&lt;=H191),"Leave end is before start",IF(AND(ISNUMBER(F191),ISNUMBER(G191),ISNUMBER(H191),ISNUMBER(I191),F191&lt;I191,H191&lt;G191),"Work and leave hours overlap",IF(AND(E191&lt;&gt;"",WEEKDAY(A191)=7),"Saturday - administrator only","")))))))</f>
        <v/>
      </c>
      <c r="T191" s="36" t="n">
        <f aca="false">MONTH(A191)</f>
        <v>7</v>
      </c>
      <c r="U191" s="37" t="b">
        <f aca="false">OR(C191="Workday",C191="Eve")</f>
        <v>0</v>
      </c>
      <c r="V191" s="34" t="n">
        <f aca="false">IF(C191="Eve",Settings!$B$8,Settings!$B$7)</f>
        <v>0.6875</v>
      </c>
      <c r="W191" s="14" t="n">
        <f aca="false">IF(U191,(V191-Settings!$B$6)*24,0)</f>
        <v>0</v>
      </c>
    </row>
    <row r="192" customFormat="false" ht="15" hidden="false" customHeight="false" outlineLevel="0" collapsed="false">
      <c r="A192" s="29" t="n">
        <v>46208</v>
      </c>
      <c r="B192" s="30" t="str">
        <f aca="false">CHOOSE(WEEKDAY(A192),"Sun","Mon","Tue","Wed","Thu","Fri","Sat")</f>
        <v>Sun</v>
      </c>
      <c r="C192" s="30" t="str">
        <f aca="false">IF(IFERROR(INDEX(Holidays!$D$5:$D$60,MATCH(A192,Holidays!$A$5:$A$60,0)),"")="Holiday","Holiday",IF(WEEKDAY(A192)&gt;=6,"Weekend",IF(IFERROR(INDEX(Holidays!$D$5:$D$60,MATCH(A192,Holidays!$A$5:$A$60,0)),"")="Eve","Eve","Workday")))</f>
        <v>Workday</v>
      </c>
      <c r="D192" s="18" t="str">
        <f aca="false">IFERROR(INDEX(Holidays!$C$5:$C$60,MATCH(A192,Holidays!$A$5:$A$60,0)),"")</f>
        <v/>
      </c>
      <c r="E192" s="31"/>
      <c r="F192" s="32"/>
      <c r="G192" s="32"/>
      <c r="H192" s="32"/>
      <c r="I192" s="32"/>
      <c r="J192" s="31"/>
      <c r="K192" s="33" t="str">
        <f aca="false">IF(E192&lt;&gt;"",E192,IF(U192,"Present",IF(C192="Holiday","Holiday","Weekend")))</f>
        <v>Present</v>
      </c>
      <c r="L192" s="34" t="n">
        <f aca="false">IF(OR(K192="Present",K192="Manual Work",K192="Partial Vacation",K192="Partial Sick Leave"),IF(ISNUMBER(F192),F192,IF(AND(K192="Present",U192),Settings!$B$6,"")),"")</f>
        <v>0.333333333333333</v>
      </c>
      <c r="M192" s="34" t="n">
        <f aca="false">IF(OR(K192="Present",K192="Manual Work",K192="Partial Vacation",K192="Partial Sick Leave"),IF(ISNUMBER(G192),G192,IF(AND(K192="Present",U192),V192,"")),"")</f>
        <v>0.6875</v>
      </c>
      <c r="N192" s="14" t="n">
        <f aca="false">IF(AND(ISNUMBER(L192),ISNUMBER(M192)),MAX(0,(M192-L192)*24),0)</f>
        <v>8.5</v>
      </c>
      <c r="O192" s="14" t="n">
        <f aca="false">IF(NOT(U192),0,IF(K192="Vacation",IF(C192="Eve",Settings!$B$9*Settings!$B$11,W192),IF(K192="Partial Vacation",IF(AND(ISNUMBER(H192),ISNUMBER(I192)),MAX(0,(I192-H192)*24),0),0)))</f>
        <v>0</v>
      </c>
      <c r="P192" s="14" t="n">
        <f aca="false">IF(NOT(U192),0,IF(K192="Sick Leave",W192,IF(K192="Partial Sick Leave",IF(AND(ISNUMBER(H192),ISNUMBER(I192)),MAX(0,(I192-H192)*24),0),0)))</f>
        <v>0</v>
      </c>
      <c r="Q192" s="14" t="n">
        <f aca="false">IF(NOT(U192),0,IF(K192="Vacation",IF(C192="Eve",Settings!$B$11,1),IF(K192="Partial Vacation",O192/Settings!$B$9,0)))</f>
        <v>0</v>
      </c>
      <c r="R192" s="14" t="n">
        <f aca="false">IF(NOT(U192),0,IF(K192="Sick Leave",1,IF(K192="Partial Sick Leave",P192/Settings!$B$9,0)))</f>
        <v>0</v>
      </c>
      <c r="S192" s="35" t="str">
        <f aca="false">IF(AND(OR(E192="Vacation",E192="Sick Leave",E192="Partial Vacation",E192="Partial Sick Leave"),NOT(U192)),"Leave not allowed on this day",IF(AND(E192="Manual Work",OR(NOT(ISNUMBER(F192)),NOT(ISNUMBER(G192)))),"Enter start and end",IF(AND(OR(E192="Partial Vacation",E192="Partial Sick Leave"),OR(NOT(ISNUMBER(H192)),NOT(ISNUMBER(I192)))),"Enter leave from and to",IF(AND(ISNUMBER(F192),ISNUMBER(G192),G192&lt;=F192),"End is before start",IF(AND(ISNUMBER(H192),ISNUMBER(I192),I192&lt;=H192),"Leave end is before start",IF(AND(ISNUMBER(F192),ISNUMBER(G192),ISNUMBER(H192),ISNUMBER(I192),F192&lt;I192,H192&lt;G192),"Work and leave hours overlap",IF(AND(E192&lt;&gt;"",WEEKDAY(A192)=7),"Saturday - administrator only","")))))))</f>
        <v/>
      </c>
      <c r="T192" s="36" t="n">
        <f aca="false">MONTH(A192)</f>
        <v>7</v>
      </c>
      <c r="U192" s="37" t="b">
        <f aca="false">OR(C192="Workday",C192="Eve")</f>
        <v>1</v>
      </c>
      <c r="V192" s="34" t="n">
        <f aca="false">IF(C192="Eve",Settings!$B$8,Settings!$B$7)</f>
        <v>0.6875</v>
      </c>
      <c r="W192" s="14" t="n">
        <f aca="false">IF(U192,(V192-Settings!$B$6)*24,0)</f>
        <v>8.5</v>
      </c>
    </row>
    <row r="193" customFormat="false" ht="15" hidden="false" customHeight="false" outlineLevel="0" collapsed="false">
      <c r="A193" s="29" t="n">
        <v>46209</v>
      </c>
      <c r="B193" s="30" t="str">
        <f aca="false">CHOOSE(WEEKDAY(A193),"Sun","Mon","Tue","Wed","Thu","Fri","Sat")</f>
        <v>Mon</v>
      </c>
      <c r="C193" s="30" t="str">
        <f aca="false">IF(IFERROR(INDEX(Holidays!$D$5:$D$60,MATCH(A193,Holidays!$A$5:$A$60,0)),"")="Holiday","Holiday",IF(WEEKDAY(A193)&gt;=6,"Weekend",IF(IFERROR(INDEX(Holidays!$D$5:$D$60,MATCH(A193,Holidays!$A$5:$A$60,0)),"")="Eve","Eve","Workday")))</f>
        <v>Workday</v>
      </c>
      <c r="D193" s="18" t="str">
        <f aca="false">IFERROR(INDEX(Holidays!$C$5:$C$60,MATCH(A193,Holidays!$A$5:$A$60,0)),"")</f>
        <v/>
      </c>
      <c r="E193" s="31"/>
      <c r="F193" s="32"/>
      <c r="G193" s="32"/>
      <c r="H193" s="32"/>
      <c r="I193" s="32"/>
      <c r="J193" s="31"/>
      <c r="K193" s="33" t="str">
        <f aca="false">IF(E193&lt;&gt;"",E193,IF(U193,"Present",IF(C193="Holiday","Holiday","Weekend")))</f>
        <v>Present</v>
      </c>
      <c r="L193" s="34" t="n">
        <f aca="false">IF(OR(K193="Present",K193="Manual Work",K193="Partial Vacation",K193="Partial Sick Leave"),IF(ISNUMBER(F193),F193,IF(AND(K193="Present",U193),Settings!$B$6,"")),"")</f>
        <v>0.333333333333333</v>
      </c>
      <c r="M193" s="34" t="n">
        <f aca="false">IF(OR(K193="Present",K193="Manual Work",K193="Partial Vacation",K193="Partial Sick Leave"),IF(ISNUMBER(G193),G193,IF(AND(K193="Present",U193),V193,"")),"")</f>
        <v>0.6875</v>
      </c>
      <c r="N193" s="14" t="n">
        <f aca="false">IF(AND(ISNUMBER(L193),ISNUMBER(M193)),MAX(0,(M193-L193)*24),0)</f>
        <v>8.5</v>
      </c>
      <c r="O193" s="14" t="n">
        <f aca="false">IF(NOT(U193),0,IF(K193="Vacation",IF(C193="Eve",Settings!$B$9*Settings!$B$11,W193),IF(K193="Partial Vacation",IF(AND(ISNUMBER(H193),ISNUMBER(I193)),MAX(0,(I193-H193)*24),0),0)))</f>
        <v>0</v>
      </c>
      <c r="P193" s="14" t="n">
        <f aca="false">IF(NOT(U193),0,IF(K193="Sick Leave",W193,IF(K193="Partial Sick Leave",IF(AND(ISNUMBER(H193),ISNUMBER(I193)),MAX(0,(I193-H193)*24),0),0)))</f>
        <v>0</v>
      </c>
      <c r="Q193" s="14" t="n">
        <f aca="false">IF(NOT(U193),0,IF(K193="Vacation",IF(C193="Eve",Settings!$B$11,1),IF(K193="Partial Vacation",O193/Settings!$B$9,0)))</f>
        <v>0</v>
      </c>
      <c r="R193" s="14" t="n">
        <f aca="false">IF(NOT(U193),0,IF(K193="Sick Leave",1,IF(K193="Partial Sick Leave",P193/Settings!$B$9,0)))</f>
        <v>0</v>
      </c>
      <c r="S193" s="35" t="str">
        <f aca="false">IF(AND(OR(E193="Vacation",E193="Sick Leave",E193="Partial Vacation",E193="Partial Sick Leave"),NOT(U193)),"Leave not allowed on this day",IF(AND(E193="Manual Work",OR(NOT(ISNUMBER(F193)),NOT(ISNUMBER(G193)))),"Enter start and end",IF(AND(OR(E193="Partial Vacation",E193="Partial Sick Leave"),OR(NOT(ISNUMBER(H193)),NOT(ISNUMBER(I193)))),"Enter leave from and to",IF(AND(ISNUMBER(F193),ISNUMBER(G193),G193&lt;=F193),"End is before start",IF(AND(ISNUMBER(H193),ISNUMBER(I193),I193&lt;=H193),"Leave end is before start",IF(AND(ISNUMBER(F193),ISNUMBER(G193),ISNUMBER(H193),ISNUMBER(I193),F193&lt;I193,H193&lt;G193),"Work and leave hours overlap",IF(AND(E193&lt;&gt;"",WEEKDAY(A193)=7),"Saturday - administrator only","")))))))</f>
        <v/>
      </c>
      <c r="T193" s="36" t="n">
        <f aca="false">MONTH(A193)</f>
        <v>7</v>
      </c>
      <c r="U193" s="37" t="b">
        <f aca="false">OR(C193="Workday",C193="Eve")</f>
        <v>1</v>
      </c>
      <c r="V193" s="34" t="n">
        <f aca="false">IF(C193="Eve",Settings!$B$8,Settings!$B$7)</f>
        <v>0.6875</v>
      </c>
      <c r="W193" s="14" t="n">
        <f aca="false">IF(U193,(V193-Settings!$B$6)*24,0)</f>
        <v>8.5</v>
      </c>
    </row>
    <row r="194" customFormat="false" ht="15" hidden="false" customHeight="false" outlineLevel="0" collapsed="false">
      <c r="A194" s="29" t="n">
        <v>46210</v>
      </c>
      <c r="B194" s="30" t="str">
        <f aca="false">CHOOSE(WEEKDAY(A194),"Sun","Mon","Tue","Wed","Thu","Fri","Sat")</f>
        <v>Tue</v>
      </c>
      <c r="C194" s="30" t="str">
        <f aca="false">IF(IFERROR(INDEX(Holidays!$D$5:$D$60,MATCH(A194,Holidays!$A$5:$A$60,0)),"")="Holiday","Holiday",IF(WEEKDAY(A194)&gt;=6,"Weekend",IF(IFERROR(INDEX(Holidays!$D$5:$D$60,MATCH(A194,Holidays!$A$5:$A$60,0)),"")="Eve","Eve","Workday")))</f>
        <v>Workday</v>
      </c>
      <c r="D194" s="18" t="str">
        <f aca="false">IFERROR(INDEX(Holidays!$C$5:$C$60,MATCH(A194,Holidays!$A$5:$A$60,0)),"")</f>
        <v/>
      </c>
      <c r="E194" s="31"/>
      <c r="F194" s="32"/>
      <c r="G194" s="32"/>
      <c r="H194" s="32"/>
      <c r="I194" s="32"/>
      <c r="J194" s="31"/>
      <c r="K194" s="33" t="str">
        <f aca="false">IF(E194&lt;&gt;"",E194,IF(U194,"Present",IF(C194="Holiday","Holiday","Weekend")))</f>
        <v>Present</v>
      </c>
      <c r="L194" s="34" t="n">
        <f aca="false">IF(OR(K194="Present",K194="Manual Work",K194="Partial Vacation",K194="Partial Sick Leave"),IF(ISNUMBER(F194),F194,IF(AND(K194="Present",U194),Settings!$B$6,"")),"")</f>
        <v>0.333333333333333</v>
      </c>
      <c r="M194" s="34" t="n">
        <f aca="false">IF(OR(K194="Present",K194="Manual Work",K194="Partial Vacation",K194="Partial Sick Leave"),IF(ISNUMBER(G194),G194,IF(AND(K194="Present",U194),V194,"")),"")</f>
        <v>0.6875</v>
      </c>
      <c r="N194" s="14" t="n">
        <f aca="false">IF(AND(ISNUMBER(L194),ISNUMBER(M194)),MAX(0,(M194-L194)*24),0)</f>
        <v>8.5</v>
      </c>
      <c r="O194" s="14" t="n">
        <f aca="false">IF(NOT(U194),0,IF(K194="Vacation",IF(C194="Eve",Settings!$B$9*Settings!$B$11,W194),IF(K194="Partial Vacation",IF(AND(ISNUMBER(H194),ISNUMBER(I194)),MAX(0,(I194-H194)*24),0),0)))</f>
        <v>0</v>
      </c>
      <c r="P194" s="14" t="n">
        <f aca="false">IF(NOT(U194),0,IF(K194="Sick Leave",W194,IF(K194="Partial Sick Leave",IF(AND(ISNUMBER(H194),ISNUMBER(I194)),MAX(0,(I194-H194)*24),0),0)))</f>
        <v>0</v>
      </c>
      <c r="Q194" s="14" t="n">
        <f aca="false">IF(NOT(U194),0,IF(K194="Vacation",IF(C194="Eve",Settings!$B$11,1),IF(K194="Partial Vacation",O194/Settings!$B$9,0)))</f>
        <v>0</v>
      </c>
      <c r="R194" s="14" t="n">
        <f aca="false">IF(NOT(U194),0,IF(K194="Sick Leave",1,IF(K194="Partial Sick Leave",P194/Settings!$B$9,0)))</f>
        <v>0</v>
      </c>
      <c r="S194" s="35" t="str">
        <f aca="false">IF(AND(OR(E194="Vacation",E194="Sick Leave",E194="Partial Vacation",E194="Partial Sick Leave"),NOT(U194)),"Leave not allowed on this day",IF(AND(E194="Manual Work",OR(NOT(ISNUMBER(F194)),NOT(ISNUMBER(G194)))),"Enter start and end",IF(AND(OR(E194="Partial Vacation",E194="Partial Sick Leave"),OR(NOT(ISNUMBER(H194)),NOT(ISNUMBER(I194)))),"Enter leave from and to",IF(AND(ISNUMBER(F194),ISNUMBER(G194),G194&lt;=F194),"End is before start",IF(AND(ISNUMBER(H194),ISNUMBER(I194),I194&lt;=H194),"Leave end is before start",IF(AND(ISNUMBER(F194),ISNUMBER(G194),ISNUMBER(H194),ISNUMBER(I194),F194&lt;I194,H194&lt;G194),"Work and leave hours overlap",IF(AND(E194&lt;&gt;"",WEEKDAY(A194)=7),"Saturday - administrator only","")))))))</f>
        <v/>
      </c>
      <c r="T194" s="36" t="n">
        <f aca="false">MONTH(A194)</f>
        <v>7</v>
      </c>
      <c r="U194" s="37" t="b">
        <f aca="false">OR(C194="Workday",C194="Eve")</f>
        <v>1</v>
      </c>
      <c r="V194" s="34" t="n">
        <f aca="false">IF(C194="Eve",Settings!$B$8,Settings!$B$7)</f>
        <v>0.6875</v>
      </c>
      <c r="W194" s="14" t="n">
        <f aca="false">IF(U194,(V194-Settings!$B$6)*24,0)</f>
        <v>8.5</v>
      </c>
    </row>
    <row r="195" customFormat="false" ht="15" hidden="false" customHeight="false" outlineLevel="0" collapsed="false">
      <c r="A195" s="29" t="n">
        <v>46211</v>
      </c>
      <c r="B195" s="30" t="str">
        <f aca="false">CHOOSE(WEEKDAY(A195),"Sun","Mon","Tue","Wed","Thu","Fri","Sat")</f>
        <v>Wed</v>
      </c>
      <c r="C195" s="30" t="str">
        <f aca="false">IF(IFERROR(INDEX(Holidays!$D$5:$D$60,MATCH(A195,Holidays!$A$5:$A$60,0)),"")="Holiday","Holiday",IF(WEEKDAY(A195)&gt;=6,"Weekend",IF(IFERROR(INDEX(Holidays!$D$5:$D$60,MATCH(A195,Holidays!$A$5:$A$60,0)),"")="Eve","Eve","Workday")))</f>
        <v>Workday</v>
      </c>
      <c r="D195" s="18" t="str">
        <f aca="false">IFERROR(INDEX(Holidays!$C$5:$C$60,MATCH(A195,Holidays!$A$5:$A$60,0)),"")</f>
        <v/>
      </c>
      <c r="E195" s="31"/>
      <c r="F195" s="32"/>
      <c r="G195" s="32"/>
      <c r="H195" s="32"/>
      <c r="I195" s="32"/>
      <c r="J195" s="31"/>
      <c r="K195" s="33" t="str">
        <f aca="false">IF(E195&lt;&gt;"",E195,IF(U195,"Present",IF(C195="Holiday","Holiday","Weekend")))</f>
        <v>Present</v>
      </c>
      <c r="L195" s="34" t="n">
        <f aca="false">IF(OR(K195="Present",K195="Manual Work",K195="Partial Vacation",K195="Partial Sick Leave"),IF(ISNUMBER(F195),F195,IF(AND(K195="Present",U195),Settings!$B$6,"")),"")</f>
        <v>0.333333333333333</v>
      </c>
      <c r="M195" s="34" t="n">
        <f aca="false">IF(OR(K195="Present",K195="Manual Work",K195="Partial Vacation",K195="Partial Sick Leave"),IF(ISNUMBER(G195),G195,IF(AND(K195="Present",U195),V195,"")),"")</f>
        <v>0.6875</v>
      </c>
      <c r="N195" s="14" t="n">
        <f aca="false">IF(AND(ISNUMBER(L195),ISNUMBER(M195)),MAX(0,(M195-L195)*24),0)</f>
        <v>8.5</v>
      </c>
      <c r="O195" s="14" t="n">
        <f aca="false">IF(NOT(U195),0,IF(K195="Vacation",IF(C195="Eve",Settings!$B$9*Settings!$B$11,W195),IF(K195="Partial Vacation",IF(AND(ISNUMBER(H195),ISNUMBER(I195)),MAX(0,(I195-H195)*24),0),0)))</f>
        <v>0</v>
      </c>
      <c r="P195" s="14" t="n">
        <f aca="false">IF(NOT(U195),0,IF(K195="Sick Leave",W195,IF(K195="Partial Sick Leave",IF(AND(ISNUMBER(H195),ISNUMBER(I195)),MAX(0,(I195-H195)*24),0),0)))</f>
        <v>0</v>
      </c>
      <c r="Q195" s="14" t="n">
        <f aca="false">IF(NOT(U195),0,IF(K195="Vacation",IF(C195="Eve",Settings!$B$11,1),IF(K195="Partial Vacation",O195/Settings!$B$9,0)))</f>
        <v>0</v>
      </c>
      <c r="R195" s="14" t="n">
        <f aca="false">IF(NOT(U195),0,IF(K195="Sick Leave",1,IF(K195="Partial Sick Leave",P195/Settings!$B$9,0)))</f>
        <v>0</v>
      </c>
      <c r="S195" s="35" t="str">
        <f aca="false">IF(AND(OR(E195="Vacation",E195="Sick Leave",E195="Partial Vacation",E195="Partial Sick Leave"),NOT(U195)),"Leave not allowed on this day",IF(AND(E195="Manual Work",OR(NOT(ISNUMBER(F195)),NOT(ISNUMBER(G195)))),"Enter start and end",IF(AND(OR(E195="Partial Vacation",E195="Partial Sick Leave"),OR(NOT(ISNUMBER(H195)),NOT(ISNUMBER(I195)))),"Enter leave from and to",IF(AND(ISNUMBER(F195),ISNUMBER(G195),G195&lt;=F195),"End is before start",IF(AND(ISNUMBER(H195),ISNUMBER(I195),I195&lt;=H195),"Leave end is before start",IF(AND(ISNUMBER(F195),ISNUMBER(G195),ISNUMBER(H195),ISNUMBER(I195),F195&lt;I195,H195&lt;G195),"Work and leave hours overlap",IF(AND(E195&lt;&gt;"",WEEKDAY(A195)=7),"Saturday - administrator only","")))))))</f>
        <v/>
      </c>
      <c r="T195" s="36" t="n">
        <f aca="false">MONTH(A195)</f>
        <v>7</v>
      </c>
      <c r="U195" s="37" t="b">
        <f aca="false">OR(C195="Workday",C195="Eve")</f>
        <v>1</v>
      </c>
      <c r="V195" s="34" t="n">
        <f aca="false">IF(C195="Eve",Settings!$B$8,Settings!$B$7)</f>
        <v>0.6875</v>
      </c>
      <c r="W195" s="14" t="n">
        <f aca="false">IF(U195,(V195-Settings!$B$6)*24,0)</f>
        <v>8.5</v>
      </c>
    </row>
    <row r="196" customFormat="false" ht="15" hidden="false" customHeight="false" outlineLevel="0" collapsed="false">
      <c r="A196" s="29" t="n">
        <v>46212</v>
      </c>
      <c r="B196" s="30" t="str">
        <f aca="false">CHOOSE(WEEKDAY(A196),"Sun","Mon","Tue","Wed","Thu","Fri","Sat")</f>
        <v>Thu</v>
      </c>
      <c r="C196" s="30" t="str">
        <f aca="false">IF(IFERROR(INDEX(Holidays!$D$5:$D$60,MATCH(A196,Holidays!$A$5:$A$60,0)),"")="Holiday","Holiday",IF(WEEKDAY(A196)&gt;=6,"Weekend",IF(IFERROR(INDEX(Holidays!$D$5:$D$60,MATCH(A196,Holidays!$A$5:$A$60,0)),"")="Eve","Eve","Workday")))</f>
        <v>Workday</v>
      </c>
      <c r="D196" s="18" t="str">
        <f aca="false">IFERROR(INDEX(Holidays!$C$5:$C$60,MATCH(A196,Holidays!$A$5:$A$60,0)),"")</f>
        <v/>
      </c>
      <c r="E196" s="31"/>
      <c r="F196" s="32"/>
      <c r="G196" s="32"/>
      <c r="H196" s="32"/>
      <c r="I196" s="32"/>
      <c r="J196" s="31"/>
      <c r="K196" s="33" t="str">
        <f aca="false">IF(E196&lt;&gt;"",E196,IF(U196,"Present",IF(C196="Holiday","Holiday","Weekend")))</f>
        <v>Present</v>
      </c>
      <c r="L196" s="34" t="n">
        <f aca="false">IF(OR(K196="Present",K196="Manual Work",K196="Partial Vacation",K196="Partial Sick Leave"),IF(ISNUMBER(F196),F196,IF(AND(K196="Present",U196),Settings!$B$6,"")),"")</f>
        <v>0.333333333333333</v>
      </c>
      <c r="M196" s="34" t="n">
        <f aca="false">IF(OR(K196="Present",K196="Manual Work",K196="Partial Vacation",K196="Partial Sick Leave"),IF(ISNUMBER(G196),G196,IF(AND(K196="Present",U196),V196,"")),"")</f>
        <v>0.6875</v>
      </c>
      <c r="N196" s="14" t="n">
        <f aca="false">IF(AND(ISNUMBER(L196),ISNUMBER(M196)),MAX(0,(M196-L196)*24),0)</f>
        <v>8.5</v>
      </c>
      <c r="O196" s="14" t="n">
        <f aca="false">IF(NOT(U196),0,IF(K196="Vacation",IF(C196="Eve",Settings!$B$9*Settings!$B$11,W196),IF(K196="Partial Vacation",IF(AND(ISNUMBER(H196),ISNUMBER(I196)),MAX(0,(I196-H196)*24),0),0)))</f>
        <v>0</v>
      </c>
      <c r="P196" s="14" t="n">
        <f aca="false">IF(NOT(U196),0,IF(K196="Sick Leave",W196,IF(K196="Partial Sick Leave",IF(AND(ISNUMBER(H196),ISNUMBER(I196)),MAX(0,(I196-H196)*24),0),0)))</f>
        <v>0</v>
      </c>
      <c r="Q196" s="14" t="n">
        <f aca="false">IF(NOT(U196),0,IF(K196="Vacation",IF(C196="Eve",Settings!$B$11,1),IF(K196="Partial Vacation",O196/Settings!$B$9,0)))</f>
        <v>0</v>
      </c>
      <c r="R196" s="14" t="n">
        <f aca="false">IF(NOT(U196),0,IF(K196="Sick Leave",1,IF(K196="Partial Sick Leave",P196/Settings!$B$9,0)))</f>
        <v>0</v>
      </c>
      <c r="S196" s="35" t="str">
        <f aca="false">IF(AND(OR(E196="Vacation",E196="Sick Leave",E196="Partial Vacation",E196="Partial Sick Leave"),NOT(U196)),"Leave not allowed on this day",IF(AND(E196="Manual Work",OR(NOT(ISNUMBER(F196)),NOT(ISNUMBER(G196)))),"Enter start and end",IF(AND(OR(E196="Partial Vacation",E196="Partial Sick Leave"),OR(NOT(ISNUMBER(H196)),NOT(ISNUMBER(I196)))),"Enter leave from and to",IF(AND(ISNUMBER(F196),ISNUMBER(G196),G196&lt;=F196),"End is before start",IF(AND(ISNUMBER(H196),ISNUMBER(I196),I196&lt;=H196),"Leave end is before start",IF(AND(ISNUMBER(F196),ISNUMBER(G196),ISNUMBER(H196),ISNUMBER(I196),F196&lt;I196,H196&lt;G196),"Work and leave hours overlap",IF(AND(E196&lt;&gt;"",WEEKDAY(A196)=7),"Saturday - administrator only","")))))))</f>
        <v/>
      </c>
      <c r="T196" s="36" t="n">
        <f aca="false">MONTH(A196)</f>
        <v>7</v>
      </c>
      <c r="U196" s="37" t="b">
        <f aca="false">OR(C196="Workday",C196="Eve")</f>
        <v>1</v>
      </c>
      <c r="V196" s="34" t="n">
        <f aca="false">IF(C196="Eve",Settings!$B$8,Settings!$B$7)</f>
        <v>0.6875</v>
      </c>
      <c r="W196" s="14" t="n">
        <f aca="false">IF(U196,(V196-Settings!$B$6)*24,0)</f>
        <v>8.5</v>
      </c>
    </row>
    <row r="197" customFormat="false" ht="15" hidden="false" customHeight="false" outlineLevel="0" collapsed="false">
      <c r="A197" s="29" t="n">
        <v>46213</v>
      </c>
      <c r="B197" s="30" t="str">
        <f aca="false">CHOOSE(WEEKDAY(A197),"Sun","Mon","Tue","Wed","Thu","Fri","Sat")</f>
        <v>Fri</v>
      </c>
      <c r="C197" s="30" t="str">
        <f aca="false">IF(IFERROR(INDEX(Holidays!$D$5:$D$60,MATCH(A197,Holidays!$A$5:$A$60,0)),"")="Holiday","Holiday",IF(WEEKDAY(A197)&gt;=6,"Weekend",IF(IFERROR(INDEX(Holidays!$D$5:$D$60,MATCH(A197,Holidays!$A$5:$A$60,0)),"")="Eve","Eve","Workday")))</f>
        <v>Weekend</v>
      </c>
      <c r="D197" s="18" t="str">
        <f aca="false">IFERROR(INDEX(Holidays!$C$5:$C$60,MATCH(A197,Holidays!$A$5:$A$60,0)),"")</f>
        <v/>
      </c>
      <c r="E197" s="31"/>
      <c r="F197" s="32"/>
      <c r="G197" s="32"/>
      <c r="H197" s="32"/>
      <c r="I197" s="32"/>
      <c r="J197" s="31"/>
      <c r="K197" s="33" t="str">
        <f aca="false">IF(E197&lt;&gt;"",E197,IF(U197,"Present",IF(C197="Holiday","Holiday","Weekend")))</f>
        <v>Weekend</v>
      </c>
      <c r="L197" s="34" t="str">
        <f aca="false">IF(OR(K197="Present",K197="Manual Work",K197="Partial Vacation",K197="Partial Sick Leave"),IF(ISNUMBER(F197),F197,IF(AND(K197="Present",U197),Settings!$B$6,"")),"")</f>
        <v/>
      </c>
      <c r="M197" s="34" t="str">
        <f aca="false">IF(OR(K197="Present",K197="Manual Work",K197="Partial Vacation",K197="Partial Sick Leave"),IF(ISNUMBER(G197),G197,IF(AND(K197="Present",U197),V197,"")),"")</f>
        <v/>
      </c>
      <c r="N197" s="14" t="n">
        <f aca="false">IF(AND(ISNUMBER(L197),ISNUMBER(M197)),MAX(0,(M197-L197)*24),0)</f>
        <v>0</v>
      </c>
      <c r="O197" s="14" t="n">
        <f aca="false">IF(NOT(U197),0,IF(K197="Vacation",IF(C197="Eve",Settings!$B$9*Settings!$B$11,W197),IF(K197="Partial Vacation",IF(AND(ISNUMBER(H197),ISNUMBER(I197)),MAX(0,(I197-H197)*24),0),0)))</f>
        <v>0</v>
      </c>
      <c r="P197" s="14" t="n">
        <f aca="false">IF(NOT(U197),0,IF(K197="Sick Leave",W197,IF(K197="Partial Sick Leave",IF(AND(ISNUMBER(H197),ISNUMBER(I197)),MAX(0,(I197-H197)*24),0),0)))</f>
        <v>0</v>
      </c>
      <c r="Q197" s="14" t="n">
        <f aca="false">IF(NOT(U197),0,IF(K197="Vacation",IF(C197="Eve",Settings!$B$11,1),IF(K197="Partial Vacation",O197/Settings!$B$9,0)))</f>
        <v>0</v>
      </c>
      <c r="R197" s="14" t="n">
        <f aca="false">IF(NOT(U197),0,IF(K197="Sick Leave",1,IF(K197="Partial Sick Leave",P197/Settings!$B$9,0)))</f>
        <v>0</v>
      </c>
      <c r="S197" s="35" t="str">
        <f aca="false">IF(AND(OR(E197="Vacation",E197="Sick Leave",E197="Partial Vacation",E197="Partial Sick Leave"),NOT(U197)),"Leave not allowed on this day",IF(AND(E197="Manual Work",OR(NOT(ISNUMBER(F197)),NOT(ISNUMBER(G197)))),"Enter start and end",IF(AND(OR(E197="Partial Vacation",E197="Partial Sick Leave"),OR(NOT(ISNUMBER(H197)),NOT(ISNUMBER(I197)))),"Enter leave from and to",IF(AND(ISNUMBER(F197),ISNUMBER(G197),G197&lt;=F197),"End is before start",IF(AND(ISNUMBER(H197),ISNUMBER(I197),I197&lt;=H197),"Leave end is before start",IF(AND(ISNUMBER(F197),ISNUMBER(G197),ISNUMBER(H197),ISNUMBER(I197),F197&lt;I197,H197&lt;G197),"Work and leave hours overlap",IF(AND(E197&lt;&gt;"",WEEKDAY(A197)=7),"Saturday - administrator only","")))))))</f>
        <v/>
      </c>
      <c r="T197" s="36" t="n">
        <f aca="false">MONTH(A197)</f>
        <v>7</v>
      </c>
      <c r="U197" s="37" t="b">
        <f aca="false">OR(C197="Workday",C197="Eve")</f>
        <v>0</v>
      </c>
      <c r="V197" s="34" t="n">
        <f aca="false">IF(C197="Eve",Settings!$B$8,Settings!$B$7)</f>
        <v>0.6875</v>
      </c>
      <c r="W197" s="14" t="n">
        <f aca="false">IF(U197,(V197-Settings!$B$6)*24,0)</f>
        <v>0</v>
      </c>
    </row>
    <row r="198" customFormat="false" ht="15" hidden="false" customHeight="false" outlineLevel="0" collapsed="false">
      <c r="A198" s="29" t="n">
        <v>46214</v>
      </c>
      <c r="B198" s="30" t="str">
        <f aca="false">CHOOSE(WEEKDAY(A198),"Sun","Mon","Tue","Wed","Thu","Fri","Sat")</f>
        <v>Sat</v>
      </c>
      <c r="C198" s="30" t="str">
        <f aca="false">IF(IFERROR(INDEX(Holidays!$D$5:$D$60,MATCH(A198,Holidays!$A$5:$A$60,0)),"")="Holiday","Holiday",IF(WEEKDAY(A198)&gt;=6,"Weekend",IF(IFERROR(INDEX(Holidays!$D$5:$D$60,MATCH(A198,Holidays!$A$5:$A$60,0)),"")="Eve","Eve","Workday")))</f>
        <v>Weekend</v>
      </c>
      <c r="D198" s="18" t="str">
        <f aca="false">IFERROR(INDEX(Holidays!$C$5:$C$60,MATCH(A198,Holidays!$A$5:$A$60,0)),"")</f>
        <v/>
      </c>
      <c r="E198" s="31"/>
      <c r="F198" s="32"/>
      <c r="G198" s="32"/>
      <c r="H198" s="32"/>
      <c r="I198" s="32"/>
      <c r="J198" s="31"/>
      <c r="K198" s="33" t="str">
        <f aca="false">IF(E198&lt;&gt;"",E198,IF(U198,"Present",IF(C198="Holiday","Holiday","Weekend")))</f>
        <v>Weekend</v>
      </c>
      <c r="L198" s="34" t="str">
        <f aca="false">IF(OR(K198="Present",K198="Manual Work",K198="Partial Vacation",K198="Partial Sick Leave"),IF(ISNUMBER(F198),F198,IF(AND(K198="Present",U198),Settings!$B$6,"")),"")</f>
        <v/>
      </c>
      <c r="M198" s="34" t="str">
        <f aca="false">IF(OR(K198="Present",K198="Manual Work",K198="Partial Vacation",K198="Partial Sick Leave"),IF(ISNUMBER(G198),G198,IF(AND(K198="Present",U198),V198,"")),"")</f>
        <v/>
      </c>
      <c r="N198" s="14" t="n">
        <f aca="false">IF(AND(ISNUMBER(L198),ISNUMBER(M198)),MAX(0,(M198-L198)*24),0)</f>
        <v>0</v>
      </c>
      <c r="O198" s="14" t="n">
        <f aca="false">IF(NOT(U198),0,IF(K198="Vacation",IF(C198="Eve",Settings!$B$9*Settings!$B$11,W198),IF(K198="Partial Vacation",IF(AND(ISNUMBER(H198),ISNUMBER(I198)),MAX(0,(I198-H198)*24),0),0)))</f>
        <v>0</v>
      </c>
      <c r="P198" s="14" t="n">
        <f aca="false">IF(NOT(U198),0,IF(K198="Sick Leave",W198,IF(K198="Partial Sick Leave",IF(AND(ISNUMBER(H198),ISNUMBER(I198)),MAX(0,(I198-H198)*24),0),0)))</f>
        <v>0</v>
      </c>
      <c r="Q198" s="14" t="n">
        <f aca="false">IF(NOT(U198),0,IF(K198="Vacation",IF(C198="Eve",Settings!$B$11,1),IF(K198="Partial Vacation",O198/Settings!$B$9,0)))</f>
        <v>0</v>
      </c>
      <c r="R198" s="14" t="n">
        <f aca="false">IF(NOT(U198),0,IF(K198="Sick Leave",1,IF(K198="Partial Sick Leave",P198/Settings!$B$9,0)))</f>
        <v>0</v>
      </c>
      <c r="S198" s="35" t="str">
        <f aca="false">IF(AND(OR(E198="Vacation",E198="Sick Leave",E198="Partial Vacation",E198="Partial Sick Leave"),NOT(U198)),"Leave not allowed on this day",IF(AND(E198="Manual Work",OR(NOT(ISNUMBER(F198)),NOT(ISNUMBER(G198)))),"Enter start and end",IF(AND(OR(E198="Partial Vacation",E198="Partial Sick Leave"),OR(NOT(ISNUMBER(H198)),NOT(ISNUMBER(I198)))),"Enter leave from and to",IF(AND(ISNUMBER(F198),ISNUMBER(G198),G198&lt;=F198),"End is before start",IF(AND(ISNUMBER(H198),ISNUMBER(I198),I198&lt;=H198),"Leave end is before start",IF(AND(ISNUMBER(F198),ISNUMBER(G198),ISNUMBER(H198),ISNUMBER(I198),F198&lt;I198,H198&lt;G198),"Work and leave hours overlap",IF(AND(E198&lt;&gt;"",WEEKDAY(A198)=7),"Saturday - administrator only","")))))))</f>
        <v/>
      </c>
      <c r="T198" s="36" t="n">
        <f aca="false">MONTH(A198)</f>
        <v>7</v>
      </c>
      <c r="U198" s="37" t="b">
        <f aca="false">OR(C198="Workday",C198="Eve")</f>
        <v>0</v>
      </c>
      <c r="V198" s="34" t="n">
        <f aca="false">IF(C198="Eve",Settings!$B$8,Settings!$B$7)</f>
        <v>0.6875</v>
      </c>
      <c r="W198" s="14" t="n">
        <f aca="false">IF(U198,(V198-Settings!$B$6)*24,0)</f>
        <v>0</v>
      </c>
    </row>
    <row r="199" customFormat="false" ht="15" hidden="false" customHeight="false" outlineLevel="0" collapsed="false">
      <c r="A199" s="29" t="n">
        <v>46215</v>
      </c>
      <c r="B199" s="30" t="str">
        <f aca="false">CHOOSE(WEEKDAY(A199),"Sun","Mon","Tue","Wed","Thu","Fri","Sat")</f>
        <v>Sun</v>
      </c>
      <c r="C199" s="30" t="str">
        <f aca="false">IF(IFERROR(INDEX(Holidays!$D$5:$D$60,MATCH(A199,Holidays!$A$5:$A$60,0)),"")="Holiday","Holiday",IF(WEEKDAY(A199)&gt;=6,"Weekend",IF(IFERROR(INDEX(Holidays!$D$5:$D$60,MATCH(A199,Holidays!$A$5:$A$60,0)),"")="Eve","Eve","Workday")))</f>
        <v>Workday</v>
      </c>
      <c r="D199" s="18" t="str">
        <f aca="false">IFERROR(INDEX(Holidays!$C$5:$C$60,MATCH(A199,Holidays!$A$5:$A$60,0)),"")</f>
        <v/>
      </c>
      <c r="E199" s="31"/>
      <c r="F199" s="32"/>
      <c r="G199" s="32"/>
      <c r="H199" s="32"/>
      <c r="I199" s="32"/>
      <c r="J199" s="31"/>
      <c r="K199" s="33" t="str">
        <f aca="false">IF(E199&lt;&gt;"",E199,IF(U199,"Present",IF(C199="Holiday","Holiday","Weekend")))</f>
        <v>Present</v>
      </c>
      <c r="L199" s="34" t="n">
        <f aca="false">IF(OR(K199="Present",K199="Manual Work",K199="Partial Vacation",K199="Partial Sick Leave"),IF(ISNUMBER(F199),F199,IF(AND(K199="Present",U199),Settings!$B$6,"")),"")</f>
        <v>0.333333333333333</v>
      </c>
      <c r="M199" s="34" t="n">
        <f aca="false">IF(OR(K199="Present",K199="Manual Work",K199="Partial Vacation",K199="Partial Sick Leave"),IF(ISNUMBER(G199),G199,IF(AND(K199="Present",U199),V199,"")),"")</f>
        <v>0.6875</v>
      </c>
      <c r="N199" s="14" t="n">
        <f aca="false">IF(AND(ISNUMBER(L199),ISNUMBER(M199)),MAX(0,(M199-L199)*24),0)</f>
        <v>8.5</v>
      </c>
      <c r="O199" s="14" t="n">
        <f aca="false">IF(NOT(U199),0,IF(K199="Vacation",IF(C199="Eve",Settings!$B$9*Settings!$B$11,W199),IF(K199="Partial Vacation",IF(AND(ISNUMBER(H199),ISNUMBER(I199)),MAX(0,(I199-H199)*24),0),0)))</f>
        <v>0</v>
      </c>
      <c r="P199" s="14" t="n">
        <f aca="false">IF(NOT(U199),0,IF(K199="Sick Leave",W199,IF(K199="Partial Sick Leave",IF(AND(ISNUMBER(H199),ISNUMBER(I199)),MAX(0,(I199-H199)*24),0),0)))</f>
        <v>0</v>
      </c>
      <c r="Q199" s="14" t="n">
        <f aca="false">IF(NOT(U199),0,IF(K199="Vacation",IF(C199="Eve",Settings!$B$11,1),IF(K199="Partial Vacation",O199/Settings!$B$9,0)))</f>
        <v>0</v>
      </c>
      <c r="R199" s="14" t="n">
        <f aca="false">IF(NOT(U199),0,IF(K199="Sick Leave",1,IF(K199="Partial Sick Leave",P199/Settings!$B$9,0)))</f>
        <v>0</v>
      </c>
      <c r="S199" s="35" t="str">
        <f aca="false">IF(AND(OR(E199="Vacation",E199="Sick Leave",E199="Partial Vacation",E199="Partial Sick Leave"),NOT(U199)),"Leave not allowed on this day",IF(AND(E199="Manual Work",OR(NOT(ISNUMBER(F199)),NOT(ISNUMBER(G199)))),"Enter start and end",IF(AND(OR(E199="Partial Vacation",E199="Partial Sick Leave"),OR(NOT(ISNUMBER(H199)),NOT(ISNUMBER(I199)))),"Enter leave from and to",IF(AND(ISNUMBER(F199),ISNUMBER(G199),G199&lt;=F199),"End is before start",IF(AND(ISNUMBER(H199),ISNUMBER(I199),I199&lt;=H199),"Leave end is before start",IF(AND(ISNUMBER(F199),ISNUMBER(G199),ISNUMBER(H199),ISNUMBER(I199),F199&lt;I199,H199&lt;G199),"Work and leave hours overlap",IF(AND(E199&lt;&gt;"",WEEKDAY(A199)=7),"Saturday - administrator only","")))))))</f>
        <v/>
      </c>
      <c r="T199" s="36" t="n">
        <f aca="false">MONTH(A199)</f>
        <v>7</v>
      </c>
      <c r="U199" s="37" t="b">
        <f aca="false">OR(C199="Workday",C199="Eve")</f>
        <v>1</v>
      </c>
      <c r="V199" s="34" t="n">
        <f aca="false">IF(C199="Eve",Settings!$B$8,Settings!$B$7)</f>
        <v>0.6875</v>
      </c>
      <c r="W199" s="14" t="n">
        <f aca="false">IF(U199,(V199-Settings!$B$6)*24,0)</f>
        <v>8.5</v>
      </c>
    </row>
    <row r="200" customFormat="false" ht="15" hidden="false" customHeight="false" outlineLevel="0" collapsed="false">
      <c r="A200" s="29" t="n">
        <v>46216</v>
      </c>
      <c r="B200" s="30" t="str">
        <f aca="false">CHOOSE(WEEKDAY(A200),"Sun","Mon","Tue","Wed","Thu","Fri","Sat")</f>
        <v>Mon</v>
      </c>
      <c r="C200" s="30" t="str">
        <f aca="false">IF(IFERROR(INDEX(Holidays!$D$5:$D$60,MATCH(A200,Holidays!$A$5:$A$60,0)),"")="Holiday","Holiday",IF(WEEKDAY(A200)&gt;=6,"Weekend",IF(IFERROR(INDEX(Holidays!$D$5:$D$60,MATCH(A200,Holidays!$A$5:$A$60,0)),"")="Eve","Eve","Workday")))</f>
        <v>Workday</v>
      </c>
      <c r="D200" s="18" t="str">
        <f aca="false">IFERROR(INDEX(Holidays!$C$5:$C$60,MATCH(A200,Holidays!$A$5:$A$60,0)),"")</f>
        <v/>
      </c>
      <c r="E200" s="31"/>
      <c r="F200" s="32"/>
      <c r="G200" s="32"/>
      <c r="H200" s="32"/>
      <c r="I200" s="32"/>
      <c r="J200" s="31"/>
      <c r="K200" s="33" t="str">
        <f aca="false">IF(E200&lt;&gt;"",E200,IF(U200,"Present",IF(C200="Holiday","Holiday","Weekend")))</f>
        <v>Present</v>
      </c>
      <c r="L200" s="34" t="n">
        <f aca="false">IF(OR(K200="Present",K200="Manual Work",K200="Partial Vacation",K200="Partial Sick Leave"),IF(ISNUMBER(F200),F200,IF(AND(K200="Present",U200),Settings!$B$6,"")),"")</f>
        <v>0.333333333333333</v>
      </c>
      <c r="M200" s="34" t="n">
        <f aca="false">IF(OR(K200="Present",K200="Manual Work",K200="Partial Vacation",K200="Partial Sick Leave"),IF(ISNUMBER(G200),G200,IF(AND(K200="Present",U200),V200,"")),"")</f>
        <v>0.6875</v>
      </c>
      <c r="N200" s="14" t="n">
        <f aca="false">IF(AND(ISNUMBER(L200),ISNUMBER(M200)),MAX(0,(M200-L200)*24),0)</f>
        <v>8.5</v>
      </c>
      <c r="O200" s="14" t="n">
        <f aca="false">IF(NOT(U200),0,IF(K200="Vacation",IF(C200="Eve",Settings!$B$9*Settings!$B$11,W200),IF(K200="Partial Vacation",IF(AND(ISNUMBER(H200),ISNUMBER(I200)),MAX(0,(I200-H200)*24),0),0)))</f>
        <v>0</v>
      </c>
      <c r="P200" s="14" t="n">
        <f aca="false">IF(NOT(U200),0,IF(K200="Sick Leave",W200,IF(K200="Partial Sick Leave",IF(AND(ISNUMBER(H200),ISNUMBER(I200)),MAX(0,(I200-H200)*24),0),0)))</f>
        <v>0</v>
      </c>
      <c r="Q200" s="14" t="n">
        <f aca="false">IF(NOT(U200),0,IF(K200="Vacation",IF(C200="Eve",Settings!$B$11,1),IF(K200="Partial Vacation",O200/Settings!$B$9,0)))</f>
        <v>0</v>
      </c>
      <c r="R200" s="14" t="n">
        <f aca="false">IF(NOT(U200),0,IF(K200="Sick Leave",1,IF(K200="Partial Sick Leave",P200/Settings!$B$9,0)))</f>
        <v>0</v>
      </c>
      <c r="S200" s="35" t="str">
        <f aca="false">IF(AND(OR(E200="Vacation",E200="Sick Leave",E200="Partial Vacation",E200="Partial Sick Leave"),NOT(U200)),"Leave not allowed on this day",IF(AND(E200="Manual Work",OR(NOT(ISNUMBER(F200)),NOT(ISNUMBER(G200)))),"Enter start and end",IF(AND(OR(E200="Partial Vacation",E200="Partial Sick Leave"),OR(NOT(ISNUMBER(H200)),NOT(ISNUMBER(I200)))),"Enter leave from and to",IF(AND(ISNUMBER(F200),ISNUMBER(G200),G200&lt;=F200),"End is before start",IF(AND(ISNUMBER(H200),ISNUMBER(I200),I200&lt;=H200),"Leave end is before start",IF(AND(ISNUMBER(F200),ISNUMBER(G200),ISNUMBER(H200),ISNUMBER(I200),F200&lt;I200,H200&lt;G200),"Work and leave hours overlap",IF(AND(E200&lt;&gt;"",WEEKDAY(A200)=7),"Saturday - administrator only","")))))))</f>
        <v/>
      </c>
      <c r="T200" s="36" t="n">
        <f aca="false">MONTH(A200)</f>
        <v>7</v>
      </c>
      <c r="U200" s="37" t="b">
        <f aca="false">OR(C200="Workday",C200="Eve")</f>
        <v>1</v>
      </c>
      <c r="V200" s="34" t="n">
        <f aca="false">IF(C200="Eve",Settings!$B$8,Settings!$B$7)</f>
        <v>0.6875</v>
      </c>
      <c r="W200" s="14" t="n">
        <f aca="false">IF(U200,(V200-Settings!$B$6)*24,0)</f>
        <v>8.5</v>
      </c>
    </row>
    <row r="201" customFormat="false" ht="15" hidden="false" customHeight="false" outlineLevel="0" collapsed="false">
      <c r="A201" s="29" t="n">
        <v>46217</v>
      </c>
      <c r="B201" s="30" t="str">
        <f aca="false">CHOOSE(WEEKDAY(A201),"Sun","Mon","Tue","Wed","Thu","Fri","Sat")</f>
        <v>Tue</v>
      </c>
      <c r="C201" s="30" t="str">
        <f aca="false">IF(IFERROR(INDEX(Holidays!$D$5:$D$60,MATCH(A201,Holidays!$A$5:$A$60,0)),"")="Holiday","Holiday",IF(WEEKDAY(A201)&gt;=6,"Weekend",IF(IFERROR(INDEX(Holidays!$D$5:$D$60,MATCH(A201,Holidays!$A$5:$A$60,0)),"")="Eve","Eve","Workday")))</f>
        <v>Workday</v>
      </c>
      <c r="D201" s="18" t="str">
        <f aca="false">IFERROR(INDEX(Holidays!$C$5:$C$60,MATCH(A201,Holidays!$A$5:$A$60,0)),"")</f>
        <v/>
      </c>
      <c r="E201" s="31"/>
      <c r="F201" s="32"/>
      <c r="G201" s="32"/>
      <c r="H201" s="32"/>
      <c r="I201" s="32"/>
      <c r="J201" s="31"/>
      <c r="K201" s="33" t="str">
        <f aca="false">IF(E201&lt;&gt;"",E201,IF(U201,"Present",IF(C201="Holiday","Holiday","Weekend")))</f>
        <v>Present</v>
      </c>
      <c r="L201" s="34" t="n">
        <f aca="false">IF(OR(K201="Present",K201="Manual Work",K201="Partial Vacation",K201="Partial Sick Leave"),IF(ISNUMBER(F201),F201,IF(AND(K201="Present",U201),Settings!$B$6,"")),"")</f>
        <v>0.333333333333333</v>
      </c>
      <c r="M201" s="34" t="n">
        <f aca="false">IF(OR(K201="Present",K201="Manual Work",K201="Partial Vacation",K201="Partial Sick Leave"),IF(ISNUMBER(G201),G201,IF(AND(K201="Present",U201),V201,"")),"")</f>
        <v>0.6875</v>
      </c>
      <c r="N201" s="14" t="n">
        <f aca="false">IF(AND(ISNUMBER(L201),ISNUMBER(M201)),MAX(0,(M201-L201)*24),0)</f>
        <v>8.5</v>
      </c>
      <c r="O201" s="14" t="n">
        <f aca="false">IF(NOT(U201),0,IF(K201="Vacation",IF(C201="Eve",Settings!$B$9*Settings!$B$11,W201),IF(K201="Partial Vacation",IF(AND(ISNUMBER(H201),ISNUMBER(I201)),MAX(0,(I201-H201)*24),0),0)))</f>
        <v>0</v>
      </c>
      <c r="P201" s="14" t="n">
        <f aca="false">IF(NOT(U201),0,IF(K201="Sick Leave",W201,IF(K201="Partial Sick Leave",IF(AND(ISNUMBER(H201),ISNUMBER(I201)),MAX(0,(I201-H201)*24),0),0)))</f>
        <v>0</v>
      </c>
      <c r="Q201" s="14" t="n">
        <f aca="false">IF(NOT(U201),0,IF(K201="Vacation",IF(C201="Eve",Settings!$B$11,1),IF(K201="Partial Vacation",O201/Settings!$B$9,0)))</f>
        <v>0</v>
      </c>
      <c r="R201" s="14" t="n">
        <f aca="false">IF(NOT(U201),0,IF(K201="Sick Leave",1,IF(K201="Partial Sick Leave",P201/Settings!$B$9,0)))</f>
        <v>0</v>
      </c>
      <c r="S201" s="35" t="str">
        <f aca="false">IF(AND(OR(E201="Vacation",E201="Sick Leave",E201="Partial Vacation",E201="Partial Sick Leave"),NOT(U201)),"Leave not allowed on this day",IF(AND(E201="Manual Work",OR(NOT(ISNUMBER(F201)),NOT(ISNUMBER(G201)))),"Enter start and end",IF(AND(OR(E201="Partial Vacation",E201="Partial Sick Leave"),OR(NOT(ISNUMBER(H201)),NOT(ISNUMBER(I201)))),"Enter leave from and to",IF(AND(ISNUMBER(F201),ISNUMBER(G201),G201&lt;=F201),"End is before start",IF(AND(ISNUMBER(H201),ISNUMBER(I201),I201&lt;=H201),"Leave end is before start",IF(AND(ISNUMBER(F201),ISNUMBER(G201),ISNUMBER(H201),ISNUMBER(I201),F201&lt;I201,H201&lt;G201),"Work and leave hours overlap",IF(AND(E201&lt;&gt;"",WEEKDAY(A201)=7),"Saturday - administrator only","")))))))</f>
        <v/>
      </c>
      <c r="T201" s="36" t="n">
        <f aca="false">MONTH(A201)</f>
        <v>7</v>
      </c>
      <c r="U201" s="37" t="b">
        <f aca="false">OR(C201="Workday",C201="Eve")</f>
        <v>1</v>
      </c>
      <c r="V201" s="34" t="n">
        <f aca="false">IF(C201="Eve",Settings!$B$8,Settings!$B$7)</f>
        <v>0.6875</v>
      </c>
      <c r="W201" s="14" t="n">
        <f aca="false">IF(U201,(V201-Settings!$B$6)*24,0)</f>
        <v>8.5</v>
      </c>
    </row>
    <row r="202" customFormat="false" ht="15" hidden="false" customHeight="false" outlineLevel="0" collapsed="false">
      <c r="A202" s="29" t="n">
        <v>46218</v>
      </c>
      <c r="B202" s="30" t="str">
        <f aca="false">CHOOSE(WEEKDAY(A202),"Sun","Mon","Tue","Wed","Thu","Fri","Sat")</f>
        <v>Wed</v>
      </c>
      <c r="C202" s="30" t="str">
        <f aca="false">IF(IFERROR(INDEX(Holidays!$D$5:$D$60,MATCH(A202,Holidays!$A$5:$A$60,0)),"")="Holiday","Holiday",IF(WEEKDAY(A202)&gt;=6,"Weekend",IF(IFERROR(INDEX(Holidays!$D$5:$D$60,MATCH(A202,Holidays!$A$5:$A$60,0)),"")="Eve","Eve","Workday")))</f>
        <v>Workday</v>
      </c>
      <c r="D202" s="18" t="str">
        <f aca="false">IFERROR(INDEX(Holidays!$C$5:$C$60,MATCH(A202,Holidays!$A$5:$A$60,0)),"")</f>
        <v/>
      </c>
      <c r="E202" s="31"/>
      <c r="F202" s="32"/>
      <c r="G202" s="32"/>
      <c r="H202" s="32"/>
      <c r="I202" s="32"/>
      <c r="J202" s="31"/>
      <c r="K202" s="33" t="str">
        <f aca="false">IF(E202&lt;&gt;"",E202,IF(U202,"Present",IF(C202="Holiday","Holiday","Weekend")))</f>
        <v>Present</v>
      </c>
      <c r="L202" s="34" t="n">
        <f aca="false">IF(OR(K202="Present",K202="Manual Work",K202="Partial Vacation",K202="Partial Sick Leave"),IF(ISNUMBER(F202),F202,IF(AND(K202="Present",U202),Settings!$B$6,"")),"")</f>
        <v>0.333333333333333</v>
      </c>
      <c r="M202" s="34" t="n">
        <f aca="false">IF(OR(K202="Present",K202="Manual Work",K202="Partial Vacation",K202="Partial Sick Leave"),IF(ISNUMBER(G202),G202,IF(AND(K202="Present",U202),V202,"")),"")</f>
        <v>0.6875</v>
      </c>
      <c r="N202" s="14" t="n">
        <f aca="false">IF(AND(ISNUMBER(L202),ISNUMBER(M202)),MAX(0,(M202-L202)*24),0)</f>
        <v>8.5</v>
      </c>
      <c r="O202" s="14" t="n">
        <f aca="false">IF(NOT(U202),0,IF(K202="Vacation",IF(C202="Eve",Settings!$B$9*Settings!$B$11,W202),IF(K202="Partial Vacation",IF(AND(ISNUMBER(H202),ISNUMBER(I202)),MAX(0,(I202-H202)*24),0),0)))</f>
        <v>0</v>
      </c>
      <c r="P202" s="14" t="n">
        <f aca="false">IF(NOT(U202),0,IF(K202="Sick Leave",W202,IF(K202="Partial Sick Leave",IF(AND(ISNUMBER(H202),ISNUMBER(I202)),MAX(0,(I202-H202)*24),0),0)))</f>
        <v>0</v>
      </c>
      <c r="Q202" s="14" t="n">
        <f aca="false">IF(NOT(U202),0,IF(K202="Vacation",IF(C202="Eve",Settings!$B$11,1),IF(K202="Partial Vacation",O202/Settings!$B$9,0)))</f>
        <v>0</v>
      </c>
      <c r="R202" s="14" t="n">
        <f aca="false">IF(NOT(U202),0,IF(K202="Sick Leave",1,IF(K202="Partial Sick Leave",P202/Settings!$B$9,0)))</f>
        <v>0</v>
      </c>
      <c r="S202" s="35" t="str">
        <f aca="false">IF(AND(OR(E202="Vacation",E202="Sick Leave",E202="Partial Vacation",E202="Partial Sick Leave"),NOT(U202)),"Leave not allowed on this day",IF(AND(E202="Manual Work",OR(NOT(ISNUMBER(F202)),NOT(ISNUMBER(G202)))),"Enter start and end",IF(AND(OR(E202="Partial Vacation",E202="Partial Sick Leave"),OR(NOT(ISNUMBER(H202)),NOT(ISNUMBER(I202)))),"Enter leave from and to",IF(AND(ISNUMBER(F202),ISNUMBER(G202),G202&lt;=F202),"End is before start",IF(AND(ISNUMBER(H202),ISNUMBER(I202),I202&lt;=H202),"Leave end is before start",IF(AND(ISNUMBER(F202),ISNUMBER(G202),ISNUMBER(H202),ISNUMBER(I202),F202&lt;I202,H202&lt;G202),"Work and leave hours overlap",IF(AND(E202&lt;&gt;"",WEEKDAY(A202)=7),"Saturday - administrator only","")))))))</f>
        <v/>
      </c>
      <c r="T202" s="36" t="n">
        <f aca="false">MONTH(A202)</f>
        <v>7</v>
      </c>
      <c r="U202" s="37" t="b">
        <f aca="false">OR(C202="Workday",C202="Eve")</f>
        <v>1</v>
      </c>
      <c r="V202" s="34" t="n">
        <f aca="false">IF(C202="Eve",Settings!$B$8,Settings!$B$7)</f>
        <v>0.6875</v>
      </c>
      <c r="W202" s="14" t="n">
        <f aca="false">IF(U202,(V202-Settings!$B$6)*24,0)</f>
        <v>8.5</v>
      </c>
    </row>
    <row r="203" customFormat="false" ht="15" hidden="false" customHeight="false" outlineLevel="0" collapsed="false">
      <c r="A203" s="29" t="n">
        <v>46219</v>
      </c>
      <c r="B203" s="30" t="str">
        <f aca="false">CHOOSE(WEEKDAY(A203),"Sun","Mon","Tue","Wed","Thu","Fri","Sat")</f>
        <v>Thu</v>
      </c>
      <c r="C203" s="30" t="str">
        <f aca="false">IF(IFERROR(INDEX(Holidays!$D$5:$D$60,MATCH(A203,Holidays!$A$5:$A$60,0)),"")="Holiday","Holiday",IF(WEEKDAY(A203)&gt;=6,"Weekend",IF(IFERROR(INDEX(Holidays!$D$5:$D$60,MATCH(A203,Holidays!$A$5:$A$60,0)),"")="Eve","Eve","Workday")))</f>
        <v>Workday</v>
      </c>
      <c r="D203" s="18" t="str">
        <f aca="false">IFERROR(INDEX(Holidays!$C$5:$C$60,MATCH(A203,Holidays!$A$5:$A$60,0)),"")</f>
        <v/>
      </c>
      <c r="E203" s="31"/>
      <c r="F203" s="32"/>
      <c r="G203" s="32"/>
      <c r="H203" s="32"/>
      <c r="I203" s="32"/>
      <c r="J203" s="31"/>
      <c r="K203" s="33" t="str">
        <f aca="false">IF(E203&lt;&gt;"",E203,IF(U203,"Present",IF(C203="Holiday","Holiday","Weekend")))</f>
        <v>Present</v>
      </c>
      <c r="L203" s="34" t="n">
        <f aca="false">IF(OR(K203="Present",K203="Manual Work",K203="Partial Vacation",K203="Partial Sick Leave"),IF(ISNUMBER(F203),F203,IF(AND(K203="Present",U203),Settings!$B$6,"")),"")</f>
        <v>0.333333333333333</v>
      </c>
      <c r="M203" s="34" t="n">
        <f aca="false">IF(OR(K203="Present",K203="Manual Work",K203="Partial Vacation",K203="Partial Sick Leave"),IF(ISNUMBER(G203),G203,IF(AND(K203="Present",U203),V203,"")),"")</f>
        <v>0.6875</v>
      </c>
      <c r="N203" s="14" t="n">
        <f aca="false">IF(AND(ISNUMBER(L203),ISNUMBER(M203)),MAX(0,(M203-L203)*24),0)</f>
        <v>8.5</v>
      </c>
      <c r="O203" s="14" t="n">
        <f aca="false">IF(NOT(U203),0,IF(K203="Vacation",IF(C203="Eve",Settings!$B$9*Settings!$B$11,W203),IF(K203="Partial Vacation",IF(AND(ISNUMBER(H203),ISNUMBER(I203)),MAX(0,(I203-H203)*24),0),0)))</f>
        <v>0</v>
      </c>
      <c r="P203" s="14" t="n">
        <f aca="false">IF(NOT(U203),0,IF(K203="Sick Leave",W203,IF(K203="Partial Sick Leave",IF(AND(ISNUMBER(H203),ISNUMBER(I203)),MAX(0,(I203-H203)*24),0),0)))</f>
        <v>0</v>
      </c>
      <c r="Q203" s="14" t="n">
        <f aca="false">IF(NOT(U203),0,IF(K203="Vacation",IF(C203="Eve",Settings!$B$11,1),IF(K203="Partial Vacation",O203/Settings!$B$9,0)))</f>
        <v>0</v>
      </c>
      <c r="R203" s="14" t="n">
        <f aca="false">IF(NOT(U203),0,IF(K203="Sick Leave",1,IF(K203="Partial Sick Leave",P203/Settings!$B$9,0)))</f>
        <v>0</v>
      </c>
      <c r="S203" s="35" t="str">
        <f aca="false">IF(AND(OR(E203="Vacation",E203="Sick Leave",E203="Partial Vacation",E203="Partial Sick Leave"),NOT(U203)),"Leave not allowed on this day",IF(AND(E203="Manual Work",OR(NOT(ISNUMBER(F203)),NOT(ISNUMBER(G203)))),"Enter start and end",IF(AND(OR(E203="Partial Vacation",E203="Partial Sick Leave"),OR(NOT(ISNUMBER(H203)),NOT(ISNUMBER(I203)))),"Enter leave from and to",IF(AND(ISNUMBER(F203),ISNUMBER(G203),G203&lt;=F203),"End is before start",IF(AND(ISNUMBER(H203),ISNUMBER(I203),I203&lt;=H203),"Leave end is before start",IF(AND(ISNUMBER(F203),ISNUMBER(G203),ISNUMBER(H203),ISNUMBER(I203),F203&lt;I203,H203&lt;G203),"Work and leave hours overlap",IF(AND(E203&lt;&gt;"",WEEKDAY(A203)=7),"Saturday - administrator only","")))))))</f>
        <v/>
      </c>
      <c r="T203" s="36" t="n">
        <f aca="false">MONTH(A203)</f>
        <v>7</v>
      </c>
      <c r="U203" s="37" t="b">
        <f aca="false">OR(C203="Workday",C203="Eve")</f>
        <v>1</v>
      </c>
      <c r="V203" s="34" t="n">
        <f aca="false">IF(C203="Eve",Settings!$B$8,Settings!$B$7)</f>
        <v>0.6875</v>
      </c>
      <c r="W203" s="14" t="n">
        <f aca="false">IF(U203,(V203-Settings!$B$6)*24,0)</f>
        <v>8.5</v>
      </c>
    </row>
    <row r="204" customFormat="false" ht="15" hidden="false" customHeight="false" outlineLevel="0" collapsed="false">
      <c r="A204" s="29" t="n">
        <v>46220</v>
      </c>
      <c r="B204" s="30" t="str">
        <f aca="false">CHOOSE(WEEKDAY(A204),"Sun","Mon","Tue","Wed","Thu","Fri","Sat")</f>
        <v>Fri</v>
      </c>
      <c r="C204" s="30" t="str">
        <f aca="false">IF(IFERROR(INDEX(Holidays!$D$5:$D$60,MATCH(A204,Holidays!$A$5:$A$60,0)),"")="Holiday","Holiday",IF(WEEKDAY(A204)&gt;=6,"Weekend",IF(IFERROR(INDEX(Holidays!$D$5:$D$60,MATCH(A204,Holidays!$A$5:$A$60,0)),"")="Eve","Eve","Workday")))</f>
        <v>Weekend</v>
      </c>
      <c r="D204" s="18" t="str">
        <f aca="false">IFERROR(INDEX(Holidays!$C$5:$C$60,MATCH(A204,Holidays!$A$5:$A$60,0)),"")</f>
        <v/>
      </c>
      <c r="E204" s="31"/>
      <c r="F204" s="32"/>
      <c r="G204" s="32"/>
      <c r="H204" s="32"/>
      <c r="I204" s="32"/>
      <c r="J204" s="31"/>
      <c r="K204" s="33" t="str">
        <f aca="false">IF(E204&lt;&gt;"",E204,IF(U204,"Present",IF(C204="Holiday","Holiday","Weekend")))</f>
        <v>Weekend</v>
      </c>
      <c r="L204" s="34" t="str">
        <f aca="false">IF(OR(K204="Present",K204="Manual Work",K204="Partial Vacation",K204="Partial Sick Leave"),IF(ISNUMBER(F204),F204,IF(AND(K204="Present",U204),Settings!$B$6,"")),"")</f>
        <v/>
      </c>
      <c r="M204" s="34" t="str">
        <f aca="false">IF(OR(K204="Present",K204="Manual Work",K204="Partial Vacation",K204="Partial Sick Leave"),IF(ISNUMBER(G204),G204,IF(AND(K204="Present",U204),V204,"")),"")</f>
        <v/>
      </c>
      <c r="N204" s="14" t="n">
        <f aca="false">IF(AND(ISNUMBER(L204),ISNUMBER(M204)),MAX(0,(M204-L204)*24),0)</f>
        <v>0</v>
      </c>
      <c r="O204" s="14" t="n">
        <f aca="false">IF(NOT(U204),0,IF(K204="Vacation",IF(C204="Eve",Settings!$B$9*Settings!$B$11,W204),IF(K204="Partial Vacation",IF(AND(ISNUMBER(H204),ISNUMBER(I204)),MAX(0,(I204-H204)*24),0),0)))</f>
        <v>0</v>
      </c>
      <c r="P204" s="14" t="n">
        <f aca="false">IF(NOT(U204),0,IF(K204="Sick Leave",W204,IF(K204="Partial Sick Leave",IF(AND(ISNUMBER(H204),ISNUMBER(I204)),MAX(0,(I204-H204)*24),0),0)))</f>
        <v>0</v>
      </c>
      <c r="Q204" s="14" t="n">
        <f aca="false">IF(NOT(U204),0,IF(K204="Vacation",IF(C204="Eve",Settings!$B$11,1),IF(K204="Partial Vacation",O204/Settings!$B$9,0)))</f>
        <v>0</v>
      </c>
      <c r="R204" s="14" t="n">
        <f aca="false">IF(NOT(U204),0,IF(K204="Sick Leave",1,IF(K204="Partial Sick Leave",P204/Settings!$B$9,0)))</f>
        <v>0</v>
      </c>
      <c r="S204" s="35" t="str">
        <f aca="false">IF(AND(OR(E204="Vacation",E204="Sick Leave",E204="Partial Vacation",E204="Partial Sick Leave"),NOT(U204)),"Leave not allowed on this day",IF(AND(E204="Manual Work",OR(NOT(ISNUMBER(F204)),NOT(ISNUMBER(G204)))),"Enter start and end",IF(AND(OR(E204="Partial Vacation",E204="Partial Sick Leave"),OR(NOT(ISNUMBER(H204)),NOT(ISNUMBER(I204)))),"Enter leave from and to",IF(AND(ISNUMBER(F204),ISNUMBER(G204),G204&lt;=F204),"End is before start",IF(AND(ISNUMBER(H204),ISNUMBER(I204),I204&lt;=H204),"Leave end is before start",IF(AND(ISNUMBER(F204),ISNUMBER(G204),ISNUMBER(H204),ISNUMBER(I204),F204&lt;I204,H204&lt;G204),"Work and leave hours overlap",IF(AND(E204&lt;&gt;"",WEEKDAY(A204)=7),"Saturday - administrator only","")))))))</f>
        <v/>
      </c>
      <c r="T204" s="36" t="n">
        <f aca="false">MONTH(A204)</f>
        <v>7</v>
      </c>
      <c r="U204" s="37" t="b">
        <f aca="false">OR(C204="Workday",C204="Eve")</f>
        <v>0</v>
      </c>
      <c r="V204" s="34" t="n">
        <f aca="false">IF(C204="Eve",Settings!$B$8,Settings!$B$7)</f>
        <v>0.6875</v>
      </c>
      <c r="W204" s="14" t="n">
        <f aca="false">IF(U204,(V204-Settings!$B$6)*24,0)</f>
        <v>0</v>
      </c>
    </row>
    <row r="205" customFormat="false" ht="15" hidden="false" customHeight="false" outlineLevel="0" collapsed="false">
      <c r="A205" s="29" t="n">
        <v>46221</v>
      </c>
      <c r="B205" s="30" t="str">
        <f aca="false">CHOOSE(WEEKDAY(A205),"Sun","Mon","Tue","Wed","Thu","Fri","Sat")</f>
        <v>Sat</v>
      </c>
      <c r="C205" s="30" t="str">
        <f aca="false">IF(IFERROR(INDEX(Holidays!$D$5:$D$60,MATCH(A205,Holidays!$A$5:$A$60,0)),"")="Holiday","Holiday",IF(WEEKDAY(A205)&gt;=6,"Weekend",IF(IFERROR(INDEX(Holidays!$D$5:$D$60,MATCH(A205,Holidays!$A$5:$A$60,0)),"")="Eve","Eve","Workday")))</f>
        <v>Weekend</v>
      </c>
      <c r="D205" s="18" t="str">
        <f aca="false">IFERROR(INDEX(Holidays!$C$5:$C$60,MATCH(A205,Holidays!$A$5:$A$60,0)),"")</f>
        <v/>
      </c>
      <c r="E205" s="31"/>
      <c r="F205" s="32"/>
      <c r="G205" s="32"/>
      <c r="H205" s="32"/>
      <c r="I205" s="32"/>
      <c r="J205" s="31"/>
      <c r="K205" s="33" t="str">
        <f aca="false">IF(E205&lt;&gt;"",E205,IF(U205,"Present",IF(C205="Holiday","Holiday","Weekend")))</f>
        <v>Weekend</v>
      </c>
      <c r="L205" s="34" t="str">
        <f aca="false">IF(OR(K205="Present",K205="Manual Work",K205="Partial Vacation",K205="Partial Sick Leave"),IF(ISNUMBER(F205),F205,IF(AND(K205="Present",U205),Settings!$B$6,"")),"")</f>
        <v/>
      </c>
      <c r="M205" s="34" t="str">
        <f aca="false">IF(OR(K205="Present",K205="Manual Work",K205="Partial Vacation",K205="Partial Sick Leave"),IF(ISNUMBER(G205),G205,IF(AND(K205="Present",U205),V205,"")),"")</f>
        <v/>
      </c>
      <c r="N205" s="14" t="n">
        <f aca="false">IF(AND(ISNUMBER(L205),ISNUMBER(M205)),MAX(0,(M205-L205)*24),0)</f>
        <v>0</v>
      </c>
      <c r="O205" s="14" t="n">
        <f aca="false">IF(NOT(U205),0,IF(K205="Vacation",IF(C205="Eve",Settings!$B$9*Settings!$B$11,W205),IF(K205="Partial Vacation",IF(AND(ISNUMBER(H205),ISNUMBER(I205)),MAX(0,(I205-H205)*24),0),0)))</f>
        <v>0</v>
      </c>
      <c r="P205" s="14" t="n">
        <f aca="false">IF(NOT(U205),0,IF(K205="Sick Leave",W205,IF(K205="Partial Sick Leave",IF(AND(ISNUMBER(H205),ISNUMBER(I205)),MAX(0,(I205-H205)*24),0),0)))</f>
        <v>0</v>
      </c>
      <c r="Q205" s="14" t="n">
        <f aca="false">IF(NOT(U205),0,IF(K205="Vacation",IF(C205="Eve",Settings!$B$11,1),IF(K205="Partial Vacation",O205/Settings!$B$9,0)))</f>
        <v>0</v>
      </c>
      <c r="R205" s="14" t="n">
        <f aca="false">IF(NOT(U205),0,IF(K205="Sick Leave",1,IF(K205="Partial Sick Leave",P205/Settings!$B$9,0)))</f>
        <v>0</v>
      </c>
      <c r="S205" s="35" t="str">
        <f aca="false">IF(AND(OR(E205="Vacation",E205="Sick Leave",E205="Partial Vacation",E205="Partial Sick Leave"),NOT(U205)),"Leave not allowed on this day",IF(AND(E205="Manual Work",OR(NOT(ISNUMBER(F205)),NOT(ISNUMBER(G205)))),"Enter start and end",IF(AND(OR(E205="Partial Vacation",E205="Partial Sick Leave"),OR(NOT(ISNUMBER(H205)),NOT(ISNUMBER(I205)))),"Enter leave from and to",IF(AND(ISNUMBER(F205),ISNUMBER(G205),G205&lt;=F205),"End is before start",IF(AND(ISNUMBER(H205),ISNUMBER(I205),I205&lt;=H205),"Leave end is before start",IF(AND(ISNUMBER(F205),ISNUMBER(G205),ISNUMBER(H205),ISNUMBER(I205),F205&lt;I205,H205&lt;G205),"Work and leave hours overlap",IF(AND(E205&lt;&gt;"",WEEKDAY(A205)=7),"Saturday - administrator only","")))))))</f>
        <v/>
      </c>
      <c r="T205" s="36" t="n">
        <f aca="false">MONTH(A205)</f>
        <v>7</v>
      </c>
      <c r="U205" s="37" t="b">
        <f aca="false">OR(C205="Workday",C205="Eve")</f>
        <v>0</v>
      </c>
      <c r="V205" s="34" t="n">
        <f aca="false">IF(C205="Eve",Settings!$B$8,Settings!$B$7)</f>
        <v>0.6875</v>
      </c>
      <c r="W205" s="14" t="n">
        <f aca="false">IF(U205,(V205-Settings!$B$6)*24,0)</f>
        <v>0</v>
      </c>
    </row>
    <row r="206" customFormat="false" ht="15" hidden="false" customHeight="false" outlineLevel="0" collapsed="false">
      <c r="A206" s="29" t="n">
        <v>46222</v>
      </c>
      <c r="B206" s="30" t="str">
        <f aca="false">CHOOSE(WEEKDAY(A206),"Sun","Mon","Tue","Wed","Thu","Fri","Sat")</f>
        <v>Sun</v>
      </c>
      <c r="C206" s="30" t="str">
        <f aca="false">IF(IFERROR(INDEX(Holidays!$D$5:$D$60,MATCH(A206,Holidays!$A$5:$A$60,0)),"")="Holiday","Holiday",IF(WEEKDAY(A206)&gt;=6,"Weekend",IF(IFERROR(INDEX(Holidays!$D$5:$D$60,MATCH(A206,Holidays!$A$5:$A$60,0)),"")="Eve","Eve","Workday")))</f>
        <v>Workday</v>
      </c>
      <c r="D206" s="18" t="str">
        <f aca="false">IFERROR(INDEX(Holidays!$C$5:$C$60,MATCH(A206,Holidays!$A$5:$A$60,0)),"")</f>
        <v/>
      </c>
      <c r="E206" s="31"/>
      <c r="F206" s="32"/>
      <c r="G206" s="32"/>
      <c r="H206" s="32"/>
      <c r="I206" s="32"/>
      <c r="J206" s="31"/>
      <c r="K206" s="33" t="str">
        <f aca="false">IF(E206&lt;&gt;"",E206,IF(U206,"Present",IF(C206="Holiday","Holiday","Weekend")))</f>
        <v>Present</v>
      </c>
      <c r="L206" s="34" t="n">
        <f aca="false">IF(OR(K206="Present",K206="Manual Work",K206="Partial Vacation",K206="Partial Sick Leave"),IF(ISNUMBER(F206),F206,IF(AND(K206="Present",U206),Settings!$B$6,"")),"")</f>
        <v>0.333333333333333</v>
      </c>
      <c r="M206" s="34" t="n">
        <f aca="false">IF(OR(K206="Present",K206="Manual Work",K206="Partial Vacation",K206="Partial Sick Leave"),IF(ISNUMBER(G206),G206,IF(AND(K206="Present",U206),V206,"")),"")</f>
        <v>0.6875</v>
      </c>
      <c r="N206" s="14" t="n">
        <f aca="false">IF(AND(ISNUMBER(L206),ISNUMBER(M206)),MAX(0,(M206-L206)*24),0)</f>
        <v>8.5</v>
      </c>
      <c r="O206" s="14" t="n">
        <f aca="false">IF(NOT(U206),0,IF(K206="Vacation",IF(C206="Eve",Settings!$B$9*Settings!$B$11,W206),IF(K206="Partial Vacation",IF(AND(ISNUMBER(H206),ISNUMBER(I206)),MAX(0,(I206-H206)*24),0),0)))</f>
        <v>0</v>
      </c>
      <c r="P206" s="14" t="n">
        <f aca="false">IF(NOT(U206),0,IF(K206="Sick Leave",W206,IF(K206="Partial Sick Leave",IF(AND(ISNUMBER(H206),ISNUMBER(I206)),MAX(0,(I206-H206)*24),0),0)))</f>
        <v>0</v>
      </c>
      <c r="Q206" s="14" t="n">
        <f aca="false">IF(NOT(U206),0,IF(K206="Vacation",IF(C206="Eve",Settings!$B$11,1),IF(K206="Partial Vacation",O206/Settings!$B$9,0)))</f>
        <v>0</v>
      </c>
      <c r="R206" s="14" t="n">
        <f aca="false">IF(NOT(U206),0,IF(K206="Sick Leave",1,IF(K206="Partial Sick Leave",P206/Settings!$B$9,0)))</f>
        <v>0</v>
      </c>
      <c r="S206" s="35" t="str">
        <f aca="false">IF(AND(OR(E206="Vacation",E206="Sick Leave",E206="Partial Vacation",E206="Partial Sick Leave"),NOT(U206)),"Leave not allowed on this day",IF(AND(E206="Manual Work",OR(NOT(ISNUMBER(F206)),NOT(ISNUMBER(G206)))),"Enter start and end",IF(AND(OR(E206="Partial Vacation",E206="Partial Sick Leave"),OR(NOT(ISNUMBER(H206)),NOT(ISNUMBER(I206)))),"Enter leave from and to",IF(AND(ISNUMBER(F206),ISNUMBER(G206),G206&lt;=F206),"End is before start",IF(AND(ISNUMBER(H206),ISNUMBER(I206),I206&lt;=H206),"Leave end is before start",IF(AND(ISNUMBER(F206),ISNUMBER(G206),ISNUMBER(H206),ISNUMBER(I206),F206&lt;I206,H206&lt;G206),"Work and leave hours overlap",IF(AND(E206&lt;&gt;"",WEEKDAY(A206)=7),"Saturday - administrator only","")))))))</f>
        <v/>
      </c>
      <c r="T206" s="36" t="n">
        <f aca="false">MONTH(A206)</f>
        <v>7</v>
      </c>
      <c r="U206" s="37" t="b">
        <f aca="false">OR(C206="Workday",C206="Eve")</f>
        <v>1</v>
      </c>
      <c r="V206" s="34" t="n">
        <f aca="false">IF(C206="Eve",Settings!$B$8,Settings!$B$7)</f>
        <v>0.6875</v>
      </c>
      <c r="W206" s="14" t="n">
        <f aca="false">IF(U206,(V206-Settings!$B$6)*24,0)</f>
        <v>8.5</v>
      </c>
    </row>
    <row r="207" customFormat="false" ht="15" hidden="false" customHeight="false" outlineLevel="0" collapsed="false">
      <c r="A207" s="29" t="n">
        <v>46223</v>
      </c>
      <c r="B207" s="30" t="str">
        <f aca="false">CHOOSE(WEEKDAY(A207),"Sun","Mon","Tue","Wed","Thu","Fri","Sat")</f>
        <v>Mon</v>
      </c>
      <c r="C207" s="30" t="str">
        <f aca="false">IF(IFERROR(INDEX(Holidays!$D$5:$D$60,MATCH(A207,Holidays!$A$5:$A$60,0)),"")="Holiday","Holiday",IF(WEEKDAY(A207)&gt;=6,"Weekend",IF(IFERROR(INDEX(Holidays!$D$5:$D$60,MATCH(A207,Holidays!$A$5:$A$60,0)),"")="Eve","Eve","Workday")))</f>
        <v>Workday</v>
      </c>
      <c r="D207" s="18" t="str">
        <f aca="false">IFERROR(INDEX(Holidays!$C$5:$C$60,MATCH(A207,Holidays!$A$5:$A$60,0)),"")</f>
        <v/>
      </c>
      <c r="E207" s="31"/>
      <c r="F207" s="32"/>
      <c r="G207" s="32"/>
      <c r="H207" s="32"/>
      <c r="I207" s="32"/>
      <c r="J207" s="31"/>
      <c r="K207" s="33" t="str">
        <f aca="false">IF(E207&lt;&gt;"",E207,IF(U207,"Present",IF(C207="Holiday","Holiday","Weekend")))</f>
        <v>Present</v>
      </c>
      <c r="L207" s="34" t="n">
        <f aca="false">IF(OR(K207="Present",K207="Manual Work",K207="Partial Vacation",K207="Partial Sick Leave"),IF(ISNUMBER(F207),F207,IF(AND(K207="Present",U207),Settings!$B$6,"")),"")</f>
        <v>0.333333333333333</v>
      </c>
      <c r="M207" s="34" t="n">
        <f aca="false">IF(OR(K207="Present",K207="Manual Work",K207="Partial Vacation",K207="Partial Sick Leave"),IF(ISNUMBER(G207),G207,IF(AND(K207="Present",U207),V207,"")),"")</f>
        <v>0.6875</v>
      </c>
      <c r="N207" s="14" t="n">
        <f aca="false">IF(AND(ISNUMBER(L207),ISNUMBER(M207)),MAX(0,(M207-L207)*24),0)</f>
        <v>8.5</v>
      </c>
      <c r="O207" s="14" t="n">
        <f aca="false">IF(NOT(U207),0,IF(K207="Vacation",IF(C207="Eve",Settings!$B$9*Settings!$B$11,W207),IF(K207="Partial Vacation",IF(AND(ISNUMBER(H207),ISNUMBER(I207)),MAX(0,(I207-H207)*24),0),0)))</f>
        <v>0</v>
      </c>
      <c r="P207" s="14" t="n">
        <f aca="false">IF(NOT(U207),0,IF(K207="Sick Leave",W207,IF(K207="Partial Sick Leave",IF(AND(ISNUMBER(H207),ISNUMBER(I207)),MAX(0,(I207-H207)*24),0),0)))</f>
        <v>0</v>
      </c>
      <c r="Q207" s="14" t="n">
        <f aca="false">IF(NOT(U207),0,IF(K207="Vacation",IF(C207="Eve",Settings!$B$11,1),IF(K207="Partial Vacation",O207/Settings!$B$9,0)))</f>
        <v>0</v>
      </c>
      <c r="R207" s="14" t="n">
        <f aca="false">IF(NOT(U207),0,IF(K207="Sick Leave",1,IF(K207="Partial Sick Leave",P207/Settings!$B$9,0)))</f>
        <v>0</v>
      </c>
      <c r="S207" s="35" t="str">
        <f aca="false">IF(AND(OR(E207="Vacation",E207="Sick Leave",E207="Partial Vacation",E207="Partial Sick Leave"),NOT(U207)),"Leave not allowed on this day",IF(AND(E207="Manual Work",OR(NOT(ISNUMBER(F207)),NOT(ISNUMBER(G207)))),"Enter start and end",IF(AND(OR(E207="Partial Vacation",E207="Partial Sick Leave"),OR(NOT(ISNUMBER(H207)),NOT(ISNUMBER(I207)))),"Enter leave from and to",IF(AND(ISNUMBER(F207),ISNUMBER(G207),G207&lt;=F207),"End is before start",IF(AND(ISNUMBER(H207),ISNUMBER(I207),I207&lt;=H207),"Leave end is before start",IF(AND(ISNUMBER(F207),ISNUMBER(G207),ISNUMBER(H207),ISNUMBER(I207),F207&lt;I207,H207&lt;G207),"Work and leave hours overlap",IF(AND(E207&lt;&gt;"",WEEKDAY(A207)=7),"Saturday - administrator only","")))))))</f>
        <v/>
      </c>
      <c r="T207" s="36" t="n">
        <f aca="false">MONTH(A207)</f>
        <v>7</v>
      </c>
      <c r="U207" s="37" t="b">
        <f aca="false">OR(C207="Workday",C207="Eve")</f>
        <v>1</v>
      </c>
      <c r="V207" s="34" t="n">
        <f aca="false">IF(C207="Eve",Settings!$B$8,Settings!$B$7)</f>
        <v>0.6875</v>
      </c>
      <c r="W207" s="14" t="n">
        <f aca="false">IF(U207,(V207-Settings!$B$6)*24,0)</f>
        <v>8.5</v>
      </c>
    </row>
    <row r="208" customFormat="false" ht="15" hidden="false" customHeight="false" outlineLevel="0" collapsed="false">
      <c r="A208" s="29" t="n">
        <v>46224</v>
      </c>
      <c r="B208" s="30" t="str">
        <f aca="false">CHOOSE(WEEKDAY(A208),"Sun","Mon","Tue","Wed","Thu","Fri","Sat")</f>
        <v>Tue</v>
      </c>
      <c r="C208" s="30" t="str">
        <f aca="false">IF(IFERROR(INDEX(Holidays!$D$5:$D$60,MATCH(A208,Holidays!$A$5:$A$60,0)),"")="Holiday","Holiday",IF(WEEKDAY(A208)&gt;=6,"Weekend",IF(IFERROR(INDEX(Holidays!$D$5:$D$60,MATCH(A208,Holidays!$A$5:$A$60,0)),"")="Eve","Eve","Workday")))</f>
        <v>Workday</v>
      </c>
      <c r="D208" s="18" t="str">
        <f aca="false">IFERROR(INDEX(Holidays!$C$5:$C$60,MATCH(A208,Holidays!$A$5:$A$60,0)),"")</f>
        <v/>
      </c>
      <c r="E208" s="31"/>
      <c r="F208" s="32"/>
      <c r="G208" s="32"/>
      <c r="H208" s="32"/>
      <c r="I208" s="32"/>
      <c r="J208" s="31"/>
      <c r="K208" s="33" t="str">
        <f aca="false">IF(E208&lt;&gt;"",E208,IF(U208,"Present",IF(C208="Holiday","Holiday","Weekend")))</f>
        <v>Present</v>
      </c>
      <c r="L208" s="34" t="n">
        <f aca="false">IF(OR(K208="Present",K208="Manual Work",K208="Partial Vacation",K208="Partial Sick Leave"),IF(ISNUMBER(F208),F208,IF(AND(K208="Present",U208),Settings!$B$6,"")),"")</f>
        <v>0.333333333333333</v>
      </c>
      <c r="M208" s="34" t="n">
        <f aca="false">IF(OR(K208="Present",K208="Manual Work",K208="Partial Vacation",K208="Partial Sick Leave"),IF(ISNUMBER(G208),G208,IF(AND(K208="Present",U208),V208,"")),"")</f>
        <v>0.6875</v>
      </c>
      <c r="N208" s="14" t="n">
        <f aca="false">IF(AND(ISNUMBER(L208),ISNUMBER(M208)),MAX(0,(M208-L208)*24),0)</f>
        <v>8.5</v>
      </c>
      <c r="O208" s="14" t="n">
        <f aca="false">IF(NOT(U208),0,IF(K208="Vacation",IF(C208="Eve",Settings!$B$9*Settings!$B$11,W208),IF(K208="Partial Vacation",IF(AND(ISNUMBER(H208),ISNUMBER(I208)),MAX(0,(I208-H208)*24),0),0)))</f>
        <v>0</v>
      </c>
      <c r="P208" s="14" t="n">
        <f aca="false">IF(NOT(U208),0,IF(K208="Sick Leave",W208,IF(K208="Partial Sick Leave",IF(AND(ISNUMBER(H208),ISNUMBER(I208)),MAX(0,(I208-H208)*24),0),0)))</f>
        <v>0</v>
      </c>
      <c r="Q208" s="14" t="n">
        <f aca="false">IF(NOT(U208),0,IF(K208="Vacation",IF(C208="Eve",Settings!$B$11,1),IF(K208="Partial Vacation",O208/Settings!$B$9,0)))</f>
        <v>0</v>
      </c>
      <c r="R208" s="14" t="n">
        <f aca="false">IF(NOT(U208),0,IF(K208="Sick Leave",1,IF(K208="Partial Sick Leave",P208/Settings!$B$9,0)))</f>
        <v>0</v>
      </c>
      <c r="S208" s="35" t="str">
        <f aca="false">IF(AND(OR(E208="Vacation",E208="Sick Leave",E208="Partial Vacation",E208="Partial Sick Leave"),NOT(U208)),"Leave not allowed on this day",IF(AND(E208="Manual Work",OR(NOT(ISNUMBER(F208)),NOT(ISNUMBER(G208)))),"Enter start and end",IF(AND(OR(E208="Partial Vacation",E208="Partial Sick Leave"),OR(NOT(ISNUMBER(H208)),NOT(ISNUMBER(I208)))),"Enter leave from and to",IF(AND(ISNUMBER(F208),ISNUMBER(G208),G208&lt;=F208),"End is before start",IF(AND(ISNUMBER(H208),ISNUMBER(I208),I208&lt;=H208),"Leave end is before start",IF(AND(ISNUMBER(F208),ISNUMBER(G208),ISNUMBER(H208),ISNUMBER(I208),F208&lt;I208,H208&lt;G208),"Work and leave hours overlap",IF(AND(E208&lt;&gt;"",WEEKDAY(A208)=7),"Saturday - administrator only","")))))))</f>
        <v/>
      </c>
      <c r="T208" s="36" t="n">
        <f aca="false">MONTH(A208)</f>
        <v>7</v>
      </c>
      <c r="U208" s="37" t="b">
        <f aca="false">OR(C208="Workday",C208="Eve")</f>
        <v>1</v>
      </c>
      <c r="V208" s="34" t="n">
        <f aca="false">IF(C208="Eve",Settings!$B$8,Settings!$B$7)</f>
        <v>0.6875</v>
      </c>
      <c r="W208" s="14" t="n">
        <f aca="false">IF(U208,(V208-Settings!$B$6)*24,0)</f>
        <v>8.5</v>
      </c>
    </row>
    <row r="209" customFormat="false" ht="15" hidden="false" customHeight="false" outlineLevel="0" collapsed="false">
      <c r="A209" s="29" t="n">
        <v>46225</v>
      </c>
      <c r="B209" s="30" t="str">
        <f aca="false">CHOOSE(WEEKDAY(A209),"Sun","Mon","Tue","Wed","Thu","Fri","Sat")</f>
        <v>Wed</v>
      </c>
      <c r="C209" s="30" t="str">
        <f aca="false">IF(IFERROR(INDEX(Holidays!$D$5:$D$60,MATCH(A209,Holidays!$A$5:$A$60,0)),"")="Holiday","Holiday",IF(WEEKDAY(A209)&gt;=6,"Weekend",IF(IFERROR(INDEX(Holidays!$D$5:$D$60,MATCH(A209,Holidays!$A$5:$A$60,0)),"")="Eve","Eve","Workday")))</f>
        <v>Workday</v>
      </c>
      <c r="D209" s="18" t="str">
        <f aca="false">IFERROR(INDEX(Holidays!$C$5:$C$60,MATCH(A209,Holidays!$A$5:$A$60,0)),"")</f>
        <v/>
      </c>
      <c r="E209" s="31"/>
      <c r="F209" s="32"/>
      <c r="G209" s="32"/>
      <c r="H209" s="32"/>
      <c r="I209" s="32"/>
      <c r="J209" s="31"/>
      <c r="K209" s="33" t="str">
        <f aca="false">IF(E209&lt;&gt;"",E209,IF(U209,"Present",IF(C209="Holiday","Holiday","Weekend")))</f>
        <v>Present</v>
      </c>
      <c r="L209" s="34" t="n">
        <f aca="false">IF(OR(K209="Present",K209="Manual Work",K209="Partial Vacation",K209="Partial Sick Leave"),IF(ISNUMBER(F209),F209,IF(AND(K209="Present",U209),Settings!$B$6,"")),"")</f>
        <v>0.333333333333333</v>
      </c>
      <c r="M209" s="34" t="n">
        <f aca="false">IF(OR(K209="Present",K209="Manual Work",K209="Partial Vacation",K209="Partial Sick Leave"),IF(ISNUMBER(G209),G209,IF(AND(K209="Present",U209),V209,"")),"")</f>
        <v>0.6875</v>
      </c>
      <c r="N209" s="14" t="n">
        <f aca="false">IF(AND(ISNUMBER(L209),ISNUMBER(M209)),MAX(0,(M209-L209)*24),0)</f>
        <v>8.5</v>
      </c>
      <c r="O209" s="14" t="n">
        <f aca="false">IF(NOT(U209),0,IF(K209="Vacation",IF(C209="Eve",Settings!$B$9*Settings!$B$11,W209),IF(K209="Partial Vacation",IF(AND(ISNUMBER(H209),ISNUMBER(I209)),MAX(0,(I209-H209)*24),0),0)))</f>
        <v>0</v>
      </c>
      <c r="P209" s="14" t="n">
        <f aca="false">IF(NOT(U209),0,IF(K209="Sick Leave",W209,IF(K209="Partial Sick Leave",IF(AND(ISNUMBER(H209),ISNUMBER(I209)),MAX(0,(I209-H209)*24),0),0)))</f>
        <v>0</v>
      </c>
      <c r="Q209" s="14" t="n">
        <f aca="false">IF(NOT(U209),0,IF(K209="Vacation",IF(C209="Eve",Settings!$B$11,1),IF(K209="Partial Vacation",O209/Settings!$B$9,0)))</f>
        <v>0</v>
      </c>
      <c r="R209" s="14" t="n">
        <f aca="false">IF(NOT(U209),0,IF(K209="Sick Leave",1,IF(K209="Partial Sick Leave",P209/Settings!$B$9,0)))</f>
        <v>0</v>
      </c>
      <c r="S209" s="35" t="str">
        <f aca="false">IF(AND(OR(E209="Vacation",E209="Sick Leave",E209="Partial Vacation",E209="Partial Sick Leave"),NOT(U209)),"Leave not allowed on this day",IF(AND(E209="Manual Work",OR(NOT(ISNUMBER(F209)),NOT(ISNUMBER(G209)))),"Enter start and end",IF(AND(OR(E209="Partial Vacation",E209="Partial Sick Leave"),OR(NOT(ISNUMBER(H209)),NOT(ISNUMBER(I209)))),"Enter leave from and to",IF(AND(ISNUMBER(F209),ISNUMBER(G209),G209&lt;=F209),"End is before start",IF(AND(ISNUMBER(H209),ISNUMBER(I209),I209&lt;=H209),"Leave end is before start",IF(AND(ISNUMBER(F209),ISNUMBER(G209),ISNUMBER(H209),ISNUMBER(I209),F209&lt;I209,H209&lt;G209),"Work and leave hours overlap",IF(AND(E209&lt;&gt;"",WEEKDAY(A209)=7),"Saturday - administrator only","")))))))</f>
        <v/>
      </c>
      <c r="T209" s="36" t="n">
        <f aca="false">MONTH(A209)</f>
        <v>7</v>
      </c>
      <c r="U209" s="37" t="b">
        <f aca="false">OR(C209="Workday",C209="Eve")</f>
        <v>1</v>
      </c>
      <c r="V209" s="34" t="n">
        <f aca="false">IF(C209="Eve",Settings!$B$8,Settings!$B$7)</f>
        <v>0.6875</v>
      </c>
      <c r="W209" s="14" t="n">
        <f aca="false">IF(U209,(V209-Settings!$B$6)*24,0)</f>
        <v>8.5</v>
      </c>
    </row>
    <row r="210" customFormat="false" ht="15" hidden="false" customHeight="false" outlineLevel="0" collapsed="false">
      <c r="A210" s="29" t="n">
        <v>46226</v>
      </c>
      <c r="B210" s="30" t="str">
        <f aca="false">CHOOSE(WEEKDAY(A210),"Sun","Mon","Tue","Wed","Thu","Fri","Sat")</f>
        <v>Thu</v>
      </c>
      <c r="C210" s="30" t="str">
        <f aca="false">IF(IFERROR(INDEX(Holidays!$D$5:$D$60,MATCH(A210,Holidays!$A$5:$A$60,0)),"")="Holiday","Holiday",IF(WEEKDAY(A210)&gt;=6,"Weekend",IF(IFERROR(INDEX(Holidays!$D$5:$D$60,MATCH(A210,Holidays!$A$5:$A$60,0)),"")="Eve","Eve","Workday")))</f>
        <v>Workday</v>
      </c>
      <c r="D210" s="18" t="str">
        <f aca="false">IFERROR(INDEX(Holidays!$C$5:$C$60,MATCH(A210,Holidays!$A$5:$A$60,0)),"")</f>
        <v/>
      </c>
      <c r="E210" s="31"/>
      <c r="F210" s="32"/>
      <c r="G210" s="32"/>
      <c r="H210" s="32"/>
      <c r="I210" s="32"/>
      <c r="J210" s="31"/>
      <c r="K210" s="33" t="str">
        <f aca="false">IF(E210&lt;&gt;"",E210,IF(U210,"Present",IF(C210="Holiday","Holiday","Weekend")))</f>
        <v>Present</v>
      </c>
      <c r="L210" s="34" t="n">
        <f aca="false">IF(OR(K210="Present",K210="Manual Work",K210="Partial Vacation",K210="Partial Sick Leave"),IF(ISNUMBER(F210),F210,IF(AND(K210="Present",U210),Settings!$B$6,"")),"")</f>
        <v>0.333333333333333</v>
      </c>
      <c r="M210" s="34" t="n">
        <f aca="false">IF(OR(K210="Present",K210="Manual Work",K210="Partial Vacation",K210="Partial Sick Leave"),IF(ISNUMBER(G210),G210,IF(AND(K210="Present",U210),V210,"")),"")</f>
        <v>0.6875</v>
      </c>
      <c r="N210" s="14" t="n">
        <f aca="false">IF(AND(ISNUMBER(L210),ISNUMBER(M210)),MAX(0,(M210-L210)*24),0)</f>
        <v>8.5</v>
      </c>
      <c r="O210" s="14" t="n">
        <f aca="false">IF(NOT(U210),0,IF(K210="Vacation",IF(C210="Eve",Settings!$B$9*Settings!$B$11,W210),IF(K210="Partial Vacation",IF(AND(ISNUMBER(H210),ISNUMBER(I210)),MAX(0,(I210-H210)*24),0),0)))</f>
        <v>0</v>
      </c>
      <c r="P210" s="14" t="n">
        <f aca="false">IF(NOT(U210),0,IF(K210="Sick Leave",W210,IF(K210="Partial Sick Leave",IF(AND(ISNUMBER(H210),ISNUMBER(I210)),MAX(0,(I210-H210)*24),0),0)))</f>
        <v>0</v>
      </c>
      <c r="Q210" s="14" t="n">
        <f aca="false">IF(NOT(U210),0,IF(K210="Vacation",IF(C210="Eve",Settings!$B$11,1),IF(K210="Partial Vacation",O210/Settings!$B$9,0)))</f>
        <v>0</v>
      </c>
      <c r="R210" s="14" t="n">
        <f aca="false">IF(NOT(U210),0,IF(K210="Sick Leave",1,IF(K210="Partial Sick Leave",P210/Settings!$B$9,0)))</f>
        <v>0</v>
      </c>
      <c r="S210" s="35" t="str">
        <f aca="false">IF(AND(OR(E210="Vacation",E210="Sick Leave",E210="Partial Vacation",E210="Partial Sick Leave"),NOT(U210)),"Leave not allowed on this day",IF(AND(E210="Manual Work",OR(NOT(ISNUMBER(F210)),NOT(ISNUMBER(G210)))),"Enter start and end",IF(AND(OR(E210="Partial Vacation",E210="Partial Sick Leave"),OR(NOT(ISNUMBER(H210)),NOT(ISNUMBER(I210)))),"Enter leave from and to",IF(AND(ISNUMBER(F210),ISNUMBER(G210),G210&lt;=F210),"End is before start",IF(AND(ISNUMBER(H210),ISNUMBER(I210),I210&lt;=H210),"Leave end is before start",IF(AND(ISNUMBER(F210),ISNUMBER(G210),ISNUMBER(H210),ISNUMBER(I210),F210&lt;I210,H210&lt;G210),"Work and leave hours overlap",IF(AND(E210&lt;&gt;"",WEEKDAY(A210)=7),"Saturday - administrator only","")))))))</f>
        <v/>
      </c>
      <c r="T210" s="36" t="n">
        <f aca="false">MONTH(A210)</f>
        <v>7</v>
      </c>
      <c r="U210" s="37" t="b">
        <f aca="false">OR(C210="Workday",C210="Eve")</f>
        <v>1</v>
      </c>
      <c r="V210" s="34" t="n">
        <f aca="false">IF(C210="Eve",Settings!$B$8,Settings!$B$7)</f>
        <v>0.6875</v>
      </c>
      <c r="W210" s="14" t="n">
        <f aca="false">IF(U210,(V210-Settings!$B$6)*24,0)</f>
        <v>8.5</v>
      </c>
    </row>
    <row r="211" customFormat="false" ht="15" hidden="false" customHeight="false" outlineLevel="0" collapsed="false">
      <c r="A211" s="29" t="n">
        <v>46227</v>
      </c>
      <c r="B211" s="30" t="str">
        <f aca="false">CHOOSE(WEEKDAY(A211),"Sun","Mon","Tue","Wed","Thu","Fri","Sat")</f>
        <v>Fri</v>
      </c>
      <c r="C211" s="30" t="str">
        <f aca="false">IF(IFERROR(INDEX(Holidays!$D$5:$D$60,MATCH(A211,Holidays!$A$5:$A$60,0)),"")="Holiday","Holiday",IF(WEEKDAY(A211)&gt;=6,"Weekend",IF(IFERROR(INDEX(Holidays!$D$5:$D$60,MATCH(A211,Holidays!$A$5:$A$60,0)),"")="Eve","Eve","Workday")))</f>
        <v>Weekend</v>
      </c>
      <c r="D211" s="18" t="str">
        <f aca="false">IFERROR(INDEX(Holidays!$C$5:$C$60,MATCH(A211,Holidays!$A$5:$A$60,0)),"")</f>
        <v/>
      </c>
      <c r="E211" s="31"/>
      <c r="F211" s="32"/>
      <c r="G211" s="32"/>
      <c r="H211" s="32"/>
      <c r="I211" s="32"/>
      <c r="J211" s="31"/>
      <c r="K211" s="33" t="str">
        <f aca="false">IF(E211&lt;&gt;"",E211,IF(U211,"Present",IF(C211="Holiday","Holiday","Weekend")))</f>
        <v>Weekend</v>
      </c>
      <c r="L211" s="34" t="str">
        <f aca="false">IF(OR(K211="Present",K211="Manual Work",K211="Partial Vacation",K211="Partial Sick Leave"),IF(ISNUMBER(F211),F211,IF(AND(K211="Present",U211),Settings!$B$6,"")),"")</f>
        <v/>
      </c>
      <c r="M211" s="34" t="str">
        <f aca="false">IF(OR(K211="Present",K211="Manual Work",K211="Partial Vacation",K211="Partial Sick Leave"),IF(ISNUMBER(G211),G211,IF(AND(K211="Present",U211),V211,"")),"")</f>
        <v/>
      </c>
      <c r="N211" s="14" t="n">
        <f aca="false">IF(AND(ISNUMBER(L211),ISNUMBER(M211)),MAX(0,(M211-L211)*24),0)</f>
        <v>0</v>
      </c>
      <c r="O211" s="14" t="n">
        <f aca="false">IF(NOT(U211),0,IF(K211="Vacation",IF(C211="Eve",Settings!$B$9*Settings!$B$11,W211),IF(K211="Partial Vacation",IF(AND(ISNUMBER(H211),ISNUMBER(I211)),MAX(0,(I211-H211)*24),0),0)))</f>
        <v>0</v>
      </c>
      <c r="P211" s="14" t="n">
        <f aca="false">IF(NOT(U211),0,IF(K211="Sick Leave",W211,IF(K211="Partial Sick Leave",IF(AND(ISNUMBER(H211),ISNUMBER(I211)),MAX(0,(I211-H211)*24),0),0)))</f>
        <v>0</v>
      </c>
      <c r="Q211" s="14" t="n">
        <f aca="false">IF(NOT(U211),0,IF(K211="Vacation",IF(C211="Eve",Settings!$B$11,1),IF(K211="Partial Vacation",O211/Settings!$B$9,0)))</f>
        <v>0</v>
      </c>
      <c r="R211" s="14" t="n">
        <f aca="false">IF(NOT(U211),0,IF(K211="Sick Leave",1,IF(K211="Partial Sick Leave",P211/Settings!$B$9,0)))</f>
        <v>0</v>
      </c>
      <c r="S211" s="35" t="str">
        <f aca="false">IF(AND(OR(E211="Vacation",E211="Sick Leave",E211="Partial Vacation",E211="Partial Sick Leave"),NOT(U211)),"Leave not allowed on this day",IF(AND(E211="Manual Work",OR(NOT(ISNUMBER(F211)),NOT(ISNUMBER(G211)))),"Enter start and end",IF(AND(OR(E211="Partial Vacation",E211="Partial Sick Leave"),OR(NOT(ISNUMBER(H211)),NOT(ISNUMBER(I211)))),"Enter leave from and to",IF(AND(ISNUMBER(F211),ISNUMBER(G211),G211&lt;=F211),"End is before start",IF(AND(ISNUMBER(H211),ISNUMBER(I211),I211&lt;=H211),"Leave end is before start",IF(AND(ISNUMBER(F211),ISNUMBER(G211),ISNUMBER(H211),ISNUMBER(I211),F211&lt;I211,H211&lt;G211),"Work and leave hours overlap",IF(AND(E211&lt;&gt;"",WEEKDAY(A211)=7),"Saturday - administrator only","")))))))</f>
        <v/>
      </c>
      <c r="T211" s="36" t="n">
        <f aca="false">MONTH(A211)</f>
        <v>7</v>
      </c>
      <c r="U211" s="37" t="b">
        <f aca="false">OR(C211="Workday",C211="Eve")</f>
        <v>0</v>
      </c>
      <c r="V211" s="34" t="n">
        <f aca="false">IF(C211="Eve",Settings!$B$8,Settings!$B$7)</f>
        <v>0.6875</v>
      </c>
      <c r="W211" s="14" t="n">
        <f aca="false">IF(U211,(V211-Settings!$B$6)*24,0)</f>
        <v>0</v>
      </c>
    </row>
    <row r="212" customFormat="false" ht="15" hidden="false" customHeight="false" outlineLevel="0" collapsed="false">
      <c r="A212" s="29" t="n">
        <v>46228</v>
      </c>
      <c r="B212" s="30" t="str">
        <f aca="false">CHOOSE(WEEKDAY(A212),"Sun","Mon","Tue","Wed","Thu","Fri","Sat")</f>
        <v>Sat</v>
      </c>
      <c r="C212" s="30" t="str">
        <f aca="false">IF(IFERROR(INDEX(Holidays!$D$5:$D$60,MATCH(A212,Holidays!$A$5:$A$60,0)),"")="Holiday","Holiday",IF(WEEKDAY(A212)&gt;=6,"Weekend",IF(IFERROR(INDEX(Holidays!$D$5:$D$60,MATCH(A212,Holidays!$A$5:$A$60,0)),"")="Eve","Eve","Workday")))</f>
        <v>Weekend</v>
      </c>
      <c r="D212" s="18" t="str">
        <f aca="false">IFERROR(INDEX(Holidays!$C$5:$C$60,MATCH(A212,Holidays!$A$5:$A$60,0)),"")</f>
        <v/>
      </c>
      <c r="E212" s="31"/>
      <c r="F212" s="32"/>
      <c r="G212" s="32"/>
      <c r="H212" s="32"/>
      <c r="I212" s="32"/>
      <c r="J212" s="31"/>
      <c r="K212" s="33" t="str">
        <f aca="false">IF(E212&lt;&gt;"",E212,IF(U212,"Present",IF(C212="Holiday","Holiday","Weekend")))</f>
        <v>Weekend</v>
      </c>
      <c r="L212" s="34" t="str">
        <f aca="false">IF(OR(K212="Present",K212="Manual Work",K212="Partial Vacation",K212="Partial Sick Leave"),IF(ISNUMBER(F212),F212,IF(AND(K212="Present",U212),Settings!$B$6,"")),"")</f>
        <v/>
      </c>
      <c r="M212" s="34" t="str">
        <f aca="false">IF(OR(K212="Present",K212="Manual Work",K212="Partial Vacation",K212="Partial Sick Leave"),IF(ISNUMBER(G212),G212,IF(AND(K212="Present",U212),V212,"")),"")</f>
        <v/>
      </c>
      <c r="N212" s="14" t="n">
        <f aca="false">IF(AND(ISNUMBER(L212),ISNUMBER(M212)),MAX(0,(M212-L212)*24),0)</f>
        <v>0</v>
      </c>
      <c r="O212" s="14" t="n">
        <f aca="false">IF(NOT(U212),0,IF(K212="Vacation",IF(C212="Eve",Settings!$B$9*Settings!$B$11,W212),IF(K212="Partial Vacation",IF(AND(ISNUMBER(H212),ISNUMBER(I212)),MAX(0,(I212-H212)*24),0),0)))</f>
        <v>0</v>
      </c>
      <c r="P212" s="14" t="n">
        <f aca="false">IF(NOT(U212),0,IF(K212="Sick Leave",W212,IF(K212="Partial Sick Leave",IF(AND(ISNUMBER(H212),ISNUMBER(I212)),MAX(0,(I212-H212)*24),0),0)))</f>
        <v>0</v>
      </c>
      <c r="Q212" s="14" t="n">
        <f aca="false">IF(NOT(U212),0,IF(K212="Vacation",IF(C212="Eve",Settings!$B$11,1),IF(K212="Partial Vacation",O212/Settings!$B$9,0)))</f>
        <v>0</v>
      </c>
      <c r="R212" s="14" t="n">
        <f aca="false">IF(NOT(U212),0,IF(K212="Sick Leave",1,IF(K212="Partial Sick Leave",P212/Settings!$B$9,0)))</f>
        <v>0</v>
      </c>
      <c r="S212" s="35" t="str">
        <f aca="false">IF(AND(OR(E212="Vacation",E212="Sick Leave",E212="Partial Vacation",E212="Partial Sick Leave"),NOT(U212)),"Leave not allowed on this day",IF(AND(E212="Manual Work",OR(NOT(ISNUMBER(F212)),NOT(ISNUMBER(G212)))),"Enter start and end",IF(AND(OR(E212="Partial Vacation",E212="Partial Sick Leave"),OR(NOT(ISNUMBER(H212)),NOT(ISNUMBER(I212)))),"Enter leave from and to",IF(AND(ISNUMBER(F212),ISNUMBER(G212),G212&lt;=F212),"End is before start",IF(AND(ISNUMBER(H212),ISNUMBER(I212),I212&lt;=H212),"Leave end is before start",IF(AND(ISNUMBER(F212),ISNUMBER(G212),ISNUMBER(H212),ISNUMBER(I212),F212&lt;I212,H212&lt;G212),"Work and leave hours overlap",IF(AND(E212&lt;&gt;"",WEEKDAY(A212)=7),"Saturday - administrator only","")))))))</f>
        <v/>
      </c>
      <c r="T212" s="36" t="n">
        <f aca="false">MONTH(A212)</f>
        <v>7</v>
      </c>
      <c r="U212" s="37" t="b">
        <f aca="false">OR(C212="Workday",C212="Eve")</f>
        <v>0</v>
      </c>
      <c r="V212" s="34" t="n">
        <f aca="false">IF(C212="Eve",Settings!$B$8,Settings!$B$7)</f>
        <v>0.6875</v>
      </c>
      <c r="W212" s="14" t="n">
        <f aca="false">IF(U212,(V212-Settings!$B$6)*24,0)</f>
        <v>0</v>
      </c>
    </row>
    <row r="213" customFormat="false" ht="15" hidden="false" customHeight="false" outlineLevel="0" collapsed="false">
      <c r="A213" s="29" t="n">
        <v>46229</v>
      </c>
      <c r="B213" s="30" t="str">
        <f aca="false">CHOOSE(WEEKDAY(A213),"Sun","Mon","Tue","Wed","Thu","Fri","Sat")</f>
        <v>Sun</v>
      </c>
      <c r="C213" s="30" t="str">
        <f aca="false">IF(IFERROR(INDEX(Holidays!$D$5:$D$60,MATCH(A213,Holidays!$A$5:$A$60,0)),"")="Holiday","Holiday",IF(WEEKDAY(A213)&gt;=6,"Weekend",IF(IFERROR(INDEX(Holidays!$D$5:$D$60,MATCH(A213,Holidays!$A$5:$A$60,0)),"")="Eve","Eve","Workday")))</f>
        <v>Workday</v>
      </c>
      <c r="D213" s="18" t="str">
        <f aca="false">IFERROR(INDEX(Holidays!$C$5:$C$60,MATCH(A213,Holidays!$A$5:$A$60,0)),"")</f>
        <v/>
      </c>
      <c r="E213" s="31"/>
      <c r="F213" s="32"/>
      <c r="G213" s="32"/>
      <c r="H213" s="32"/>
      <c r="I213" s="32"/>
      <c r="J213" s="31"/>
      <c r="K213" s="33" t="str">
        <f aca="false">IF(E213&lt;&gt;"",E213,IF(U213,"Present",IF(C213="Holiday","Holiday","Weekend")))</f>
        <v>Present</v>
      </c>
      <c r="L213" s="34" t="n">
        <f aca="false">IF(OR(K213="Present",K213="Manual Work",K213="Partial Vacation",K213="Partial Sick Leave"),IF(ISNUMBER(F213),F213,IF(AND(K213="Present",U213),Settings!$B$6,"")),"")</f>
        <v>0.333333333333333</v>
      </c>
      <c r="M213" s="34" t="n">
        <f aca="false">IF(OR(K213="Present",K213="Manual Work",K213="Partial Vacation",K213="Partial Sick Leave"),IF(ISNUMBER(G213),G213,IF(AND(K213="Present",U213),V213,"")),"")</f>
        <v>0.6875</v>
      </c>
      <c r="N213" s="14" t="n">
        <f aca="false">IF(AND(ISNUMBER(L213),ISNUMBER(M213)),MAX(0,(M213-L213)*24),0)</f>
        <v>8.5</v>
      </c>
      <c r="O213" s="14" t="n">
        <f aca="false">IF(NOT(U213),0,IF(K213="Vacation",IF(C213="Eve",Settings!$B$9*Settings!$B$11,W213),IF(K213="Partial Vacation",IF(AND(ISNUMBER(H213),ISNUMBER(I213)),MAX(0,(I213-H213)*24),0),0)))</f>
        <v>0</v>
      </c>
      <c r="P213" s="14" t="n">
        <f aca="false">IF(NOT(U213),0,IF(K213="Sick Leave",W213,IF(K213="Partial Sick Leave",IF(AND(ISNUMBER(H213),ISNUMBER(I213)),MAX(0,(I213-H213)*24),0),0)))</f>
        <v>0</v>
      </c>
      <c r="Q213" s="14" t="n">
        <f aca="false">IF(NOT(U213),0,IF(K213="Vacation",IF(C213="Eve",Settings!$B$11,1),IF(K213="Partial Vacation",O213/Settings!$B$9,0)))</f>
        <v>0</v>
      </c>
      <c r="R213" s="14" t="n">
        <f aca="false">IF(NOT(U213),0,IF(K213="Sick Leave",1,IF(K213="Partial Sick Leave",P213/Settings!$B$9,0)))</f>
        <v>0</v>
      </c>
      <c r="S213" s="35" t="str">
        <f aca="false">IF(AND(OR(E213="Vacation",E213="Sick Leave",E213="Partial Vacation",E213="Partial Sick Leave"),NOT(U213)),"Leave not allowed on this day",IF(AND(E213="Manual Work",OR(NOT(ISNUMBER(F213)),NOT(ISNUMBER(G213)))),"Enter start and end",IF(AND(OR(E213="Partial Vacation",E213="Partial Sick Leave"),OR(NOT(ISNUMBER(H213)),NOT(ISNUMBER(I213)))),"Enter leave from and to",IF(AND(ISNUMBER(F213),ISNUMBER(G213),G213&lt;=F213),"End is before start",IF(AND(ISNUMBER(H213),ISNUMBER(I213),I213&lt;=H213),"Leave end is before start",IF(AND(ISNUMBER(F213),ISNUMBER(G213),ISNUMBER(H213),ISNUMBER(I213),F213&lt;I213,H213&lt;G213),"Work and leave hours overlap",IF(AND(E213&lt;&gt;"",WEEKDAY(A213)=7),"Saturday - administrator only","")))))))</f>
        <v/>
      </c>
      <c r="T213" s="36" t="n">
        <f aca="false">MONTH(A213)</f>
        <v>7</v>
      </c>
      <c r="U213" s="37" t="b">
        <f aca="false">OR(C213="Workday",C213="Eve")</f>
        <v>1</v>
      </c>
      <c r="V213" s="34" t="n">
        <f aca="false">IF(C213="Eve",Settings!$B$8,Settings!$B$7)</f>
        <v>0.6875</v>
      </c>
      <c r="W213" s="14" t="n">
        <f aca="false">IF(U213,(V213-Settings!$B$6)*24,0)</f>
        <v>8.5</v>
      </c>
    </row>
    <row r="214" customFormat="false" ht="15" hidden="false" customHeight="false" outlineLevel="0" collapsed="false">
      <c r="A214" s="29" t="n">
        <v>46230</v>
      </c>
      <c r="B214" s="30" t="str">
        <f aca="false">CHOOSE(WEEKDAY(A214),"Sun","Mon","Tue","Wed","Thu","Fri","Sat")</f>
        <v>Mon</v>
      </c>
      <c r="C214" s="30" t="str">
        <f aca="false">IF(IFERROR(INDEX(Holidays!$D$5:$D$60,MATCH(A214,Holidays!$A$5:$A$60,0)),"")="Holiday","Holiday",IF(WEEKDAY(A214)&gt;=6,"Weekend",IF(IFERROR(INDEX(Holidays!$D$5:$D$60,MATCH(A214,Holidays!$A$5:$A$60,0)),"")="Eve","Eve","Workday")))</f>
        <v>Workday</v>
      </c>
      <c r="D214" s="18" t="str">
        <f aca="false">IFERROR(INDEX(Holidays!$C$5:$C$60,MATCH(A214,Holidays!$A$5:$A$60,0)),"")</f>
        <v/>
      </c>
      <c r="E214" s="31"/>
      <c r="F214" s="32"/>
      <c r="G214" s="32"/>
      <c r="H214" s="32"/>
      <c r="I214" s="32"/>
      <c r="J214" s="31"/>
      <c r="K214" s="33" t="str">
        <f aca="false">IF(E214&lt;&gt;"",E214,IF(U214,"Present",IF(C214="Holiday","Holiday","Weekend")))</f>
        <v>Present</v>
      </c>
      <c r="L214" s="34" t="n">
        <f aca="false">IF(OR(K214="Present",K214="Manual Work",K214="Partial Vacation",K214="Partial Sick Leave"),IF(ISNUMBER(F214),F214,IF(AND(K214="Present",U214),Settings!$B$6,"")),"")</f>
        <v>0.333333333333333</v>
      </c>
      <c r="M214" s="34" t="n">
        <f aca="false">IF(OR(K214="Present",K214="Manual Work",K214="Partial Vacation",K214="Partial Sick Leave"),IF(ISNUMBER(G214),G214,IF(AND(K214="Present",U214),V214,"")),"")</f>
        <v>0.6875</v>
      </c>
      <c r="N214" s="14" t="n">
        <f aca="false">IF(AND(ISNUMBER(L214),ISNUMBER(M214)),MAX(0,(M214-L214)*24),0)</f>
        <v>8.5</v>
      </c>
      <c r="O214" s="14" t="n">
        <f aca="false">IF(NOT(U214),0,IF(K214="Vacation",IF(C214="Eve",Settings!$B$9*Settings!$B$11,W214),IF(K214="Partial Vacation",IF(AND(ISNUMBER(H214),ISNUMBER(I214)),MAX(0,(I214-H214)*24),0),0)))</f>
        <v>0</v>
      </c>
      <c r="P214" s="14" t="n">
        <f aca="false">IF(NOT(U214),0,IF(K214="Sick Leave",W214,IF(K214="Partial Sick Leave",IF(AND(ISNUMBER(H214),ISNUMBER(I214)),MAX(0,(I214-H214)*24),0),0)))</f>
        <v>0</v>
      </c>
      <c r="Q214" s="14" t="n">
        <f aca="false">IF(NOT(U214),0,IF(K214="Vacation",IF(C214="Eve",Settings!$B$11,1),IF(K214="Partial Vacation",O214/Settings!$B$9,0)))</f>
        <v>0</v>
      </c>
      <c r="R214" s="14" t="n">
        <f aca="false">IF(NOT(U214),0,IF(K214="Sick Leave",1,IF(K214="Partial Sick Leave",P214/Settings!$B$9,0)))</f>
        <v>0</v>
      </c>
      <c r="S214" s="35" t="str">
        <f aca="false">IF(AND(OR(E214="Vacation",E214="Sick Leave",E214="Partial Vacation",E214="Partial Sick Leave"),NOT(U214)),"Leave not allowed on this day",IF(AND(E214="Manual Work",OR(NOT(ISNUMBER(F214)),NOT(ISNUMBER(G214)))),"Enter start and end",IF(AND(OR(E214="Partial Vacation",E214="Partial Sick Leave"),OR(NOT(ISNUMBER(H214)),NOT(ISNUMBER(I214)))),"Enter leave from and to",IF(AND(ISNUMBER(F214),ISNUMBER(G214),G214&lt;=F214),"End is before start",IF(AND(ISNUMBER(H214),ISNUMBER(I214),I214&lt;=H214),"Leave end is before start",IF(AND(ISNUMBER(F214),ISNUMBER(G214),ISNUMBER(H214),ISNUMBER(I214),F214&lt;I214,H214&lt;G214),"Work and leave hours overlap",IF(AND(E214&lt;&gt;"",WEEKDAY(A214)=7),"Saturday - administrator only","")))))))</f>
        <v/>
      </c>
      <c r="T214" s="36" t="n">
        <f aca="false">MONTH(A214)</f>
        <v>7</v>
      </c>
      <c r="U214" s="37" t="b">
        <f aca="false">OR(C214="Workday",C214="Eve")</f>
        <v>1</v>
      </c>
      <c r="V214" s="34" t="n">
        <f aca="false">IF(C214="Eve",Settings!$B$8,Settings!$B$7)</f>
        <v>0.6875</v>
      </c>
      <c r="W214" s="14" t="n">
        <f aca="false">IF(U214,(V214-Settings!$B$6)*24,0)</f>
        <v>8.5</v>
      </c>
    </row>
    <row r="215" customFormat="false" ht="15" hidden="false" customHeight="false" outlineLevel="0" collapsed="false">
      <c r="A215" s="29" t="n">
        <v>46231</v>
      </c>
      <c r="B215" s="30" t="str">
        <f aca="false">CHOOSE(WEEKDAY(A215),"Sun","Mon","Tue","Wed","Thu","Fri","Sat")</f>
        <v>Tue</v>
      </c>
      <c r="C215" s="30" t="str">
        <f aca="false">IF(IFERROR(INDEX(Holidays!$D$5:$D$60,MATCH(A215,Holidays!$A$5:$A$60,0)),"")="Holiday","Holiday",IF(WEEKDAY(A215)&gt;=6,"Weekend",IF(IFERROR(INDEX(Holidays!$D$5:$D$60,MATCH(A215,Holidays!$A$5:$A$60,0)),"")="Eve","Eve","Workday")))</f>
        <v>Workday</v>
      </c>
      <c r="D215" s="18" t="str">
        <f aca="false">IFERROR(INDEX(Holidays!$C$5:$C$60,MATCH(A215,Holidays!$A$5:$A$60,0)),"")</f>
        <v/>
      </c>
      <c r="E215" s="31"/>
      <c r="F215" s="32"/>
      <c r="G215" s="32"/>
      <c r="H215" s="32"/>
      <c r="I215" s="32"/>
      <c r="J215" s="31"/>
      <c r="K215" s="33" t="str">
        <f aca="false">IF(E215&lt;&gt;"",E215,IF(U215,"Present",IF(C215="Holiday","Holiday","Weekend")))</f>
        <v>Present</v>
      </c>
      <c r="L215" s="34" t="n">
        <f aca="false">IF(OR(K215="Present",K215="Manual Work",K215="Partial Vacation",K215="Partial Sick Leave"),IF(ISNUMBER(F215),F215,IF(AND(K215="Present",U215),Settings!$B$6,"")),"")</f>
        <v>0.333333333333333</v>
      </c>
      <c r="M215" s="34" t="n">
        <f aca="false">IF(OR(K215="Present",K215="Manual Work",K215="Partial Vacation",K215="Partial Sick Leave"),IF(ISNUMBER(G215),G215,IF(AND(K215="Present",U215),V215,"")),"")</f>
        <v>0.6875</v>
      </c>
      <c r="N215" s="14" t="n">
        <f aca="false">IF(AND(ISNUMBER(L215),ISNUMBER(M215)),MAX(0,(M215-L215)*24),0)</f>
        <v>8.5</v>
      </c>
      <c r="O215" s="14" t="n">
        <f aca="false">IF(NOT(U215),0,IF(K215="Vacation",IF(C215="Eve",Settings!$B$9*Settings!$B$11,W215),IF(K215="Partial Vacation",IF(AND(ISNUMBER(H215),ISNUMBER(I215)),MAX(0,(I215-H215)*24),0),0)))</f>
        <v>0</v>
      </c>
      <c r="P215" s="14" t="n">
        <f aca="false">IF(NOT(U215),0,IF(K215="Sick Leave",W215,IF(K215="Partial Sick Leave",IF(AND(ISNUMBER(H215),ISNUMBER(I215)),MAX(0,(I215-H215)*24),0),0)))</f>
        <v>0</v>
      </c>
      <c r="Q215" s="14" t="n">
        <f aca="false">IF(NOT(U215),0,IF(K215="Vacation",IF(C215="Eve",Settings!$B$11,1),IF(K215="Partial Vacation",O215/Settings!$B$9,0)))</f>
        <v>0</v>
      </c>
      <c r="R215" s="14" t="n">
        <f aca="false">IF(NOT(U215),0,IF(K215="Sick Leave",1,IF(K215="Partial Sick Leave",P215/Settings!$B$9,0)))</f>
        <v>0</v>
      </c>
      <c r="S215" s="35" t="str">
        <f aca="false">IF(AND(OR(E215="Vacation",E215="Sick Leave",E215="Partial Vacation",E215="Partial Sick Leave"),NOT(U215)),"Leave not allowed on this day",IF(AND(E215="Manual Work",OR(NOT(ISNUMBER(F215)),NOT(ISNUMBER(G215)))),"Enter start and end",IF(AND(OR(E215="Partial Vacation",E215="Partial Sick Leave"),OR(NOT(ISNUMBER(H215)),NOT(ISNUMBER(I215)))),"Enter leave from and to",IF(AND(ISNUMBER(F215),ISNUMBER(G215),G215&lt;=F215),"End is before start",IF(AND(ISNUMBER(H215),ISNUMBER(I215),I215&lt;=H215),"Leave end is before start",IF(AND(ISNUMBER(F215),ISNUMBER(G215),ISNUMBER(H215),ISNUMBER(I215),F215&lt;I215,H215&lt;G215),"Work and leave hours overlap",IF(AND(E215&lt;&gt;"",WEEKDAY(A215)=7),"Saturday - administrator only","")))))))</f>
        <v/>
      </c>
      <c r="T215" s="36" t="n">
        <f aca="false">MONTH(A215)</f>
        <v>7</v>
      </c>
      <c r="U215" s="37" t="b">
        <f aca="false">OR(C215="Workday",C215="Eve")</f>
        <v>1</v>
      </c>
      <c r="V215" s="34" t="n">
        <f aca="false">IF(C215="Eve",Settings!$B$8,Settings!$B$7)</f>
        <v>0.6875</v>
      </c>
      <c r="W215" s="14" t="n">
        <f aca="false">IF(U215,(V215-Settings!$B$6)*24,0)</f>
        <v>8.5</v>
      </c>
    </row>
    <row r="216" customFormat="false" ht="15" hidden="false" customHeight="false" outlineLevel="0" collapsed="false">
      <c r="A216" s="29" t="n">
        <v>46232</v>
      </c>
      <c r="B216" s="30" t="str">
        <f aca="false">CHOOSE(WEEKDAY(A216),"Sun","Mon","Tue","Wed","Thu","Fri","Sat")</f>
        <v>Wed</v>
      </c>
      <c r="C216" s="30" t="str">
        <f aca="false">IF(IFERROR(INDEX(Holidays!$D$5:$D$60,MATCH(A216,Holidays!$A$5:$A$60,0)),"")="Holiday","Holiday",IF(WEEKDAY(A216)&gt;=6,"Weekend",IF(IFERROR(INDEX(Holidays!$D$5:$D$60,MATCH(A216,Holidays!$A$5:$A$60,0)),"")="Eve","Eve","Workday")))</f>
        <v>Workday</v>
      </c>
      <c r="D216" s="18" t="str">
        <f aca="false">IFERROR(INDEX(Holidays!$C$5:$C$60,MATCH(A216,Holidays!$A$5:$A$60,0)),"")</f>
        <v/>
      </c>
      <c r="E216" s="31"/>
      <c r="F216" s="32"/>
      <c r="G216" s="32"/>
      <c r="H216" s="32"/>
      <c r="I216" s="32"/>
      <c r="J216" s="31"/>
      <c r="K216" s="33" t="str">
        <f aca="false">IF(E216&lt;&gt;"",E216,IF(U216,"Present",IF(C216="Holiday","Holiday","Weekend")))</f>
        <v>Present</v>
      </c>
      <c r="L216" s="34" t="n">
        <f aca="false">IF(OR(K216="Present",K216="Manual Work",K216="Partial Vacation",K216="Partial Sick Leave"),IF(ISNUMBER(F216),F216,IF(AND(K216="Present",U216),Settings!$B$6,"")),"")</f>
        <v>0.333333333333333</v>
      </c>
      <c r="M216" s="34" t="n">
        <f aca="false">IF(OR(K216="Present",K216="Manual Work",K216="Partial Vacation",K216="Partial Sick Leave"),IF(ISNUMBER(G216),G216,IF(AND(K216="Present",U216),V216,"")),"")</f>
        <v>0.6875</v>
      </c>
      <c r="N216" s="14" t="n">
        <f aca="false">IF(AND(ISNUMBER(L216),ISNUMBER(M216)),MAX(0,(M216-L216)*24),0)</f>
        <v>8.5</v>
      </c>
      <c r="O216" s="14" t="n">
        <f aca="false">IF(NOT(U216),0,IF(K216="Vacation",IF(C216="Eve",Settings!$B$9*Settings!$B$11,W216),IF(K216="Partial Vacation",IF(AND(ISNUMBER(H216),ISNUMBER(I216)),MAX(0,(I216-H216)*24),0),0)))</f>
        <v>0</v>
      </c>
      <c r="P216" s="14" t="n">
        <f aca="false">IF(NOT(U216),0,IF(K216="Sick Leave",W216,IF(K216="Partial Sick Leave",IF(AND(ISNUMBER(H216),ISNUMBER(I216)),MAX(0,(I216-H216)*24),0),0)))</f>
        <v>0</v>
      </c>
      <c r="Q216" s="14" t="n">
        <f aca="false">IF(NOT(U216),0,IF(K216="Vacation",IF(C216="Eve",Settings!$B$11,1),IF(K216="Partial Vacation",O216/Settings!$B$9,0)))</f>
        <v>0</v>
      </c>
      <c r="R216" s="14" t="n">
        <f aca="false">IF(NOT(U216),0,IF(K216="Sick Leave",1,IF(K216="Partial Sick Leave",P216/Settings!$B$9,0)))</f>
        <v>0</v>
      </c>
      <c r="S216" s="35" t="str">
        <f aca="false">IF(AND(OR(E216="Vacation",E216="Sick Leave",E216="Partial Vacation",E216="Partial Sick Leave"),NOT(U216)),"Leave not allowed on this day",IF(AND(E216="Manual Work",OR(NOT(ISNUMBER(F216)),NOT(ISNUMBER(G216)))),"Enter start and end",IF(AND(OR(E216="Partial Vacation",E216="Partial Sick Leave"),OR(NOT(ISNUMBER(H216)),NOT(ISNUMBER(I216)))),"Enter leave from and to",IF(AND(ISNUMBER(F216),ISNUMBER(G216),G216&lt;=F216),"End is before start",IF(AND(ISNUMBER(H216),ISNUMBER(I216),I216&lt;=H216),"Leave end is before start",IF(AND(ISNUMBER(F216),ISNUMBER(G216),ISNUMBER(H216),ISNUMBER(I216),F216&lt;I216,H216&lt;G216),"Work and leave hours overlap",IF(AND(E216&lt;&gt;"",WEEKDAY(A216)=7),"Saturday - administrator only","")))))))</f>
        <v/>
      </c>
      <c r="T216" s="36" t="n">
        <f aca="false">MONTH(A216)</f>
        <v>7</v>
      </c>
      <c r="U216" s="37" t="b">
        <f aca="false">OR(C216="Workday",C216="Eve")</f>
        <v>1</v>
      </c>
      <c r="V216" s="34" t="n">
        <f aca="false">IF(C216="Eve",Settings!$B$8,Settings!$B$7)</f>
        <v>0.6875</v>
      </c>
      <c r="W216" s="14" t="n">
        <f aca="false">IF(U216,(V216-Settings!$B$6)*24,0)</f>
        <v>8.5</v>
      </c>
    </row>
    <row r="217" customFormat="false" ht="15" hidden="false" customHeight="false" outlineLevel="0" collapsed="false">
      <c r="A217" s="29" t="n">
        <v>46233</v>
      </c>
      <c r="B217" s="30" t="str">
        <f aca="false">CHOOSE(WEEKDAY(A217),"Sun","Mon","Tue","Wed","Thu","Fri","Sat")</f>
        <v>Thu</v>
      </c>
      <c r="C217" s="30" t="str">
        <f aca="false">IF(IFERROR(INDEX(Holidays!$D$5:$D$60,MATCH(A217,Holidays!$A$5:$A$60,0)),"")="Holiday","Holiday",IF(WEEKDAY(A217)&gt;=6,"Weekend",IF(IFERROR(INDEX(Holidays!$D$5:$D$60,MATCH(A217,Holidays!$A$5:$A$60,0)),"")="Eve","Eve","Workday")))</f>
        <v>Workday</v>
      </c>
      <c r="D217" s="18" t="str">
        <f aca="false">IFERROR(INDEX(Holidays!$C$5:$C$60,MATCH(A217,Holidays!$A$5:$A$60,0)),"")</f>
        <v/>
      </c>
      <c r="E217" s="31"/>
      <c r="F217" s="32"/>
      <c r="G217" s="32"/>
      <c r="H217" s="32"/>
      <c r="I217" s="32"/>
      <c r="J217" s="31"/>
      <c r="K217" s="33" t="str">
        <f aca="false">IF(E217&lt;&gt;"",E217,IF(U217,"Present",IF(C217="Holiday","Holiday","Weekend")))</f>
        <v>Present</v>
      </c>
      <c r="L217" s="34" t="n">
        <f aca="false">IF(OR(K217="Present",K217="Manual Work",K217="Partial Vacation",K217="Partial Sick Leave"),IF(ISNUMBER(F217),F217,IF(AND(K217="Present",U217),Settings!$B$6,"")),"")</f>
        <v>0.333333333333333</v>
      </c>
      <c r="M217" s="34" t="n">
        <f aca="false">IF(OR(K217="Present",K217="Manual Work",K217="Partial Vacation",K217="Partial Sick Leave"),IF(ISNUMBER(G217),G217,IF(AND(K217="Present",U217),V217,"")),"")</f>
        <v>0.6875</v>
      </c>
      <c r="N217" s="14" t="n">
        <f aca="false">IF(AND(ISNUMBER(L217),ISNUMBER(M217)),MAX(0,(M217-L217)*24),0)</f>
        <v>8.5</v>
      </c>
      <c r="O217" s="14" t="n">
        <f aca="false">IF(NOT(U217),0,IF(K217="Vacation",IF(C217="Eve",Settings!$B$9*Settings!$B$11,W217),IF(K217="Partial Vacation",IF(AND(ISNUMBER(H217),ISNUMBER(I217)),MAX(0,(I217-H217)*24),0),0)))</f>
        <v>0</v>
      </c>
      <c r="P217" s="14" t="n">
        <f aca="false">IF(NOT(U217),0,IF(K217="Sick Leave",W217,IF(K217="Partial Sick Leave",IF(AND(ISNUMBER(H217),ISNUMBER(I217)),MAX(0,(I217-H217)*24),0),0)))</f>
        <v>0</v>
      </c>
      <c r="Q217" s="14" t="n">
        <f aca="false">IF(NOT(U217),0,IF(K217="Vacation",IF(C217="Eve",Settings!$B$11,1),IF(K217="Partial Vacation",O217/Settings!$B$9,0)))</f>
        <v>0</v>
      </c>
      <c r="R217" s="14" t="n">
        <f aca="false">IF(NOT(U217),0,IF(K217="Sick Leave",1,IF(K217="Partial Sick Leave",P217/Settings!$B$9,0)))</f>
        <v>0</v>
      </c>
      <c r="S217" s="35" t="str">
        <f aca="false">IF(AND(OR(E217="Vacation",E217="Sick Leave",E217="Partial Vacation",E217="Partial Sick Leave"),NOT(U217)),"Leave not allowed on this day",IF(AND(E217="Manual Work",OR(NOT(ISNUMBER(F217)),NOT(ISNUMBER(G217)))),"Enter start and end",IF(AND(OR(E217="Partial Vacation",E217="Partial Sick Leave"),OR(NOT(ISNUMBER(H217)),NOT(ISNUMBER(I217)))),"Enter leave from and to",IF(AND(ISNUMBER(F217),ISNUMBER(G217),G217&lt;=F217),"End is before start",IF(AND(ISNUMBER(H217),ISNUMBER(I217),I217&lt;=H217),"Leave end is before start",IF(AND(ISNUMBER(F217),ISNUMBER(G217),ISNUMBER(H217),ISNUMBER(I217),F217&lt;I217,H217&lt;G217),"Work and leave hours overlap",IF(AND(E217&lt;&gt;"",WEEKDAY(A217)=7),"Saturday - administrator only","")))))))</f>
        <v/>
      </c>
      <c r="T217" s="36" t="n">
        <f aca="false">MONTH(A217)</f>
        <v>7</v>
      </c>
      <c r="U217" s="37" t="b">
        <f aca="false">OR(C217="Workday",C217="Eve")</f>
        <v>1</v>
      </c>
      <c r="V217" s="34" t="n">
        <f aca="false">IF(C217="Eve",Settings!$B$8,Settings!$B$7)</f>
        <v>0.6875</v>
      </c>
      <c r="W217" s="14" t="n">
        <f aca="false">IF(U217,(V217-Settings!$B$6)*24,0)</f>
        <v>8.5</v>
      </c>
    </row>
    <row r="218" customFormat="false" ht="15" hidden="false" customHeight="false" outlineLevel="0" collapsed="false">
      <c r="A218" s="29" t="n">
        <v>46234</v>
      </c>
      <c r="B218" s="30" t="str">
        <f aca="false">CHOOSE(WEEKDAY(A218),"Sun","Mon","Tue","Wed","Thu","Fri","Sat")</f>
        <v>Fri</v>
      </c>
      <c r="C218" s="30" t="str">
        <f aca="false">IF(IFERROR(INDEX(Holidays!$D$5:$D$60,MATCH(A218,Holidays!$A$5:$A$60,0)),"")="Holiday","Holiday",IF(WEEKDAY(A218)&gt;=6,"Weekend",IF(IFERROR(INDEX(Holidays!$D$5:$D$60,MATCH(A218,Holidays!$A$5:$A$60,0)),"")="Eve","Eve","Workday")))</f>
        <v>Weekend</v>
      </c>
      <c r="D218" s="18" t="str">
        <f aca="false">IFERROR(INDEX(Holidays!$C$5:$C$60,MATCH(A218,Holidays!$A$5:$A$60,0)),"")</f>
        <v/>
      </c>
      <c r="E218" s="31"/>
      <c r="F218" s="32"/>
      <c r="G218" s="32"/>
      <c r="H218" s="32"/>
      <c r="I218" s="32"/>
      <c r="J218" s="31"/>
      <c r="K218" s="33" t="str">
        <f aca="false">IF(E218&lt;&gt;"",E218,IF(U218,"Present",IF(C218="Holiday","Holiday","Weekend")))</f>
        <v>Weekend</v>
      </c>
      <c r="L218" s="34" t="str">
        <f aca="false">IF(OR(K218="Present",K218="Manual Work",K218="Partial Vacation",K218="Partial Sick Leave"),IF(ISNUMBER(F218),F218,IF(AND(K218="Present",U218),Settings!$B$6,"")),"")</f>
        <v/>
      </c>
      <c r="M218" s="34" t="str">
        <f aca="false">IF(OR(K218="Present",K218="Manual Work",K218="Partial Vacation",K218="Partial Sick Leave"),IF(ISNUMBER(G218),G218,IF(AND(K218="Present",U218),V218,"")),"")</f>
        <v/>
      </c>
      <c r="N218" s="14" t="n">
        <f aca="false">IF(AND(ISNUMBER(L218),ISNUMBER(M218)),MAX(0,(M218-L218)*24),0)</f>
        <v>0</v>
      </c>
      <c r="O218" s="14" t="n">
        <f aca="false">IF(NOT(U218),0,IF(K218="Vacation",IF(C218="Eve",Settings!$B$9*Settings!$B$11,W218),IF(K218="Partial Vacation",IF(AND(ISNUMBER(H218),ISNUMBER(I218)),MAX(0,(I218-H218)*24),0),0)))</f>
        <v>0</v>
      </c>
      <c r="P218" s="14" t="n">
        <f aca="false">IF(NOT(U218),0,IF(K218="Sick Leave",W218,IF(K218="Partial Sick Leave",IF(AND(ISNUMBER(H218),ISNUMBER(I218)),MAX(0,(I218-H218)*24),0),0)))</f>
        <v>0</v>
      </c>
      <c r="Q218" s="14" t="n">
        <f aca="false">IF(NOT(U218),0,IF(K218="Vacation",IF(C218="Eve",Settings!$B$11,1),IF(K218="Partial Vacation",O218/Settings!$B$9,0)))</f>
        <v>0</v>
      </c>
      <c r="R218" s="14" t="n">
        <f aca="false">IF(NOT(U218),0,IF(K218="Sick Leave",1,IF(K218="Partial Sick Leave",P218/Settings!$B$9,0)))</f>
        <v>0</v>
      </c>
      <c r="S218" s="35" t="str">
        <f aca="false">IF(AND(OR(E218="Vacation",E218="Sick Leave",E218="Partial Vacation",E218="Partial Sick Leave"),NOT(U218)),"Leave not allowed on this day",IF(AND(E218="Manual Work",OR(NOT(ISNUMBER(F218)),NOT(ISNUMBER(G218)))),"Enter start and end",IF(AND(OR(E218="Partial Vacation",E218="Partial Sick Leave"),OR(NOT(ISNUMBER(H218)),NOT(ISNUMBER(I218)))),"Enter leave from and to",IF(AND(ISNUMBER(F218),ISNUMBER(G218),G218&lt;=F218),"End is before start",IF(AND(ISNUMBER(H218),ISNUMBER(I218),I218&lt;=H218),"Leave end is before start",IF(AND(ISNUMBER(F218),ISNUMBER(G218),ISNUMBER(H218),ISNUMBER(I218),F218&lt;I218,H218&lt;G218),"Work and leave hours overlap",IF(AND(E218&lt;&gt;"",WEEKDAY(A218)=7),"Saturday - administrator only","")))))))</f>
        <v/>
      </c>
      <c r="T218" s="36" t="n">
        <f aca="false">MONTH(A218)</f>
        <v>7</v>
      </c>
      <c r="U218" s="37" t="b">
        <f aca="false">OR(C218="Workday",C218="Eve")</f>
        <v>0</v>
      </c>
      <c r="V218" s="34" t="n">
        <f aca="false">IF(C218="Eve",Settings!$B$8,Settings!$B$7)</f>
        <v>0.6875</v>
      </c>
      <c r="W218" s="14" t="n">
        <f aca="false">IF(U218,(V218-Settings!$B$6)*24,0)</f>
        <v>0</v>
      </c>
    </row>
    <row r="219" customFormat="false" ht="15" hidden="false" customHeight="false" outlineLevel="0" collapsed="false">
      <c r="A219" s="29" t="n">
        <v>46235</v>
      </c>
      <c r="B219" s="30" t="str">
        <f aca="false">CHOOSE(WEEKDAY(A219),"Sun","Mon","Tue","Wed","Thu","Fri","Sat")</f>
        <v>Sat</v>
      </c>
      <c r="C219" s="30" t="str">
        <f aca="false">IF(IFERROR(INDEX(Holidays!$D$5:$D$60,MATCH(A219,Holidays!$A$5:$A$60,0)),"")="Holiday","Holiday",IF(WEEKDAY(A219)&gt;=6,"Weekend",IF(IFERROR(INDEX(Holidays!$D$5:$D$60,MATCH(A219,Holidays!$A$5:$A$60,0)),"")="Eve","Eve","Workday")))</f>
        <v>Weekend</v>
      </c>
      <c r="D219" s="18" t="str">
        <f aca="false">IFERROR(INDEX(Holidays!$C$5:$C$60,MATCH(A219,Holidays!$A$5:$A$60,0)),"")</f>
        <v/>
      </c>
      <c r="E219" s="31"/>
      <c r="F219" s="32"/>
      <c r="G219" s="32"/>
      <c r="H219" s="32"/>
      <c r="I219" s="32"/>
      <c r="J219" s="31"/>
      <c r="K219" s="33" t="str">
        <f aca="false">IF(E219&lt;&gt;"",E219,IF(U219,"Present",IF(C219="Holiday","Holiday","Weekend")))</f>
        <v>Weekend</v>
      </c>
      <c r="L219" s="34" t="str">
        <f aca="false">IF(OR(K219="Present",K219="Manual Work",K219="Partial Vacation",K219="Partial Sick Leave"),IF(ISNUMBER(F219),F219,IF(AND(K219="Present",U219),Settings!$B$6,"")),"")</f>
        <v/>
      </c>
      <c r="M219" s="34" t="str">
        <f aca="false">IF(OR(K219="Present",K219="Manual Work",K219="Partial Vacation",K219="Partial Sick Leave"),IF(ISNUMBER(G219),G219,IF(AND(K219="Present",U219),V219,"")),"")</f>
        <v/>
      </c>
      <c r="N219" s="14" t="n">
        <f aca="false">IF(AND(ISNUMBER(L219),ISNUMBER(M219)),MAX(0,(M219-L219)*24),0)</f>
        <v>0</v>
      </c>
      <c r="O219" s="14" t="n">
        <f aca="false">IF(NOT(U219),0,IF(K219="Vacation",IF(C219="Eve",Settings!$B$9*Settings!$B$11,W219),IF(K219="Partial Vacation",IF(AND(ISNUMBER(H219),ISNUMBER(I219)),MAX(0,(I219-H219)*24),0),0)))</f>
        <v>0</v>
      </c>
      <c r="P219" s="14" t="n">
        <f aca="false">IF(NOT(U219),0,IF(K219="Sick Leave",W219,IF(K219="Partial Sick Leave",IF(AND(ISNUMBER(H219),ISNUMBER(I219)),MAX(0,(I219-H219)*24),0),0)))</f>
        <v>0</v>
      </c>
      <c r="Q219" s="14" t="n">
        <f aca="false">IF(NOT(U219),0,IF(K219="Vacation",IF(C219="Eve",Settings!$B$11,1),IF(K219="Partial Vacation",O219/Settings!$B$9,0)))</f>
        <v>0</v>
      </c>
      <c r="R219" s="14" t="n">
        <f aca="false">IF(NOT(U219),0,IF(K219="Sick Leave",1,IF(K219="Partial Sick Leave",P219/Settings!$B$9,0)))</f>
        <v>0</v>
      </c>
      <c r="S219" s="35" t="str">
        <f aca="false">IF(AND(OR(E219="Vacation",E219="Sick Leave",E219="Partial Vacation",E219="Partial Sick Leave"),NOT(U219)),"Leave not allowed on this day",IF(AND(E219="Manual Work",OR(NOT(ISNUMBER(F219)),NOT(ISNUMBER(G219)))),"Enter start and end",IF(AND(OR(E219="Partial Vacation",E219="Partial Sick Leave"),OR(NOT(ISNUMBER(H219)),NOT(ISNUMBER(I219)))),"Enter leave from and to",IF(AND(ISNUMBER(F219),ISNUMBER(G219),G219&lt;=F219),"End is before start",IF(AND(ISNUMBER(H219),ISNUMBER(I219),I219&lt;=H219),"Leave end is before start",IF(AND(ISNUMBER(F219),ISNUMBER(G219),ISNUMBER(H219),ISNUMBER(I219),F219&lt;I219,H219&lt;G219),"Work and leave hours overlap",IF(AND(E219&lt;&gt;"",WEEKDAY(A219)=7),"Saturday - administrator only","")))))))</f>
        <v/>
      </c>
      <c r="T219" s="36" t="n">
        <f aca="false">MONTH(A219)</f>
        <v>8</v>
      </c>
      <c r="U219" s="37" t="b">
        <f aca="false">OR(C219="Workday",C219="Eve")</f>
        <v>0</v>
      </c>
      <c r="V219" s="34" t="n">
        <f aca="false">IF(C219="Eve",Settings!$B$8,Settings!$B$7)</f>
        <v>0.6875</v>
      </c>
      <c r="W219" s="14" t="n">
        <f aca="false">IF(U219,(V219-Settings!$B$6)*24,0)</f>
        <v>0</v>
      </c>
    </row>
    <row r="220" customFormat="false" ht="15" hidden="false" customHeight="false" outlineLevel="0" collapsed="false">
      <c r="A220" s="29" t="n">
        <v>46236</v>
      </c>
      <c r="B220" s="30" t="str">
        <f aca="false">CHOOSE(WEEKDAY(A220),"Sun","Mon","Tue","Wed","Thu","Fri","Sat")</f>
        <v>Sun</v>
      </c>
      <c r="C220" s="30" t="str">
        <f aca="false">IF(IFERROR(INDEX(Holidays!$D$5:$D$60,MATCH(A220,Holidays!$A$5:$A$60,0)),"")="Holiday","Holiday",IF(WEEKDAY(A220)&gt;=6,"Weekend",IF(IFERROR(INDEX(Holidays!$D$5:$D$60,MATCH(A220,Holidays!$A$5:$A$60,0)),"")="Eve","Eve","Workday")))</f>
        <v>Workday</v>
      </c>
      <c r="D220" s="18" t="str">
        <f aca="false">IFERROR(INDEX(Holidays!$C$5:$C$60,MATCH(A220,Holidays!$A$5:$A$60,0)),"")</f>
        <v/>
      </c>
      <c r="E220" s="31"/>
      <c r="F220" s="32"/>
      <c r="G220" s="32"/>
      <c r="H220" s="32"/>
      <c r="I220" s="32"/>
      <c r="J220" s="31"/>
      <c r="K220" s="33" t="str">
        <f aca="false">IF(E220&lt;&gt;"",E220,IF(U220,"Present",IF(C220="Holiday","Holiday","Weekend")))</f>
        <v>Present</v>
      </c>
      <c r="L220" s="34" t="n">
        <f aca="false">IF(OR(K220="Present",K220="Manual Work",K220="Partial Vacation",K220="Partial Sick Leave"),IF(ISNUMBER(F220),F220,IF(AND(K220="Present",U220),Settings!$B$6,"")),"")</f>
        <v>0.333333333333333</v>
      </c>
      <c r="M220" s="34" t="n">
        <f aca="false">IF(OR(K220="Present",K220="Manual Work",K220="Partial Vacation",K220="Partial Sick Leave"),IF(ISNUMBER(G220),G220,IF(AND(K220="Present",U220),V220,"")),"")</f>
        <v>0.6875</v>
      </c>
      <c r="N220" s="14" t="n">
        <f aca="false">IF(AND(ISNUMBER(L220),ISNUMBER(M220)),MAX(0,(M220-L220)*24),0)</f>
        <v>8.5</v>
      </c>
      <c r="O220" s="14" t="n">
        <f aca="false">IF(NOT(U220),0,IF(K220="Vacation",IF(C220="Eve",Settings!$B$9*Settings!$B$11,W220),IF(K220="Partial Vacation",IF(AND(ISNUMBER(H220),ISNUMBER(I220)),MAX(0,(I220-H220)*24),0),0)))</f>
        <v>0</v>
      </c>
      <c r="P220" s="14" t="n">
        <f aca="false">IF(NOT(U220),0,IF(K220="Sick Leave",W220,IF(K220="Partial Sick Leave",IF(AND(ISNUMBER(H220),ISNUMBER(I220)),MAX(0,(I220-H220)*24),0),0)))</f>
        <v>0</v>
      </c>
      <c r="Q220" s="14" t="n">
        <f aca="false">IF(NOT(U220),0,IF(K220="Vacation",IF(C220="Eve",Settings!$B$11,1),IF(K220="Partial Vacation",O220/Settings!$B$9,0)))</f>
        <v>0</v>
      </c>
      <c r="R220" s="14" t="n">
        <f aca="false">IF(NOT(U220),0,IF(K220="Sick Leave",1,IF(K220="Partial Sick Leave",P220/Settings!$B$9,0)))</f>
        <v>0</v>
      </c>
      <c r="S220" s="35" t="str">
        <f aca="false">IF(AND(OR(E220="Vacation",E220="Sick Leave",E220="Partial Vacation",E220="Partial Sick Leave"),NOT(U220)),"Leave not allowed on this day",IF(AND(E220="Manual Work",OR(NOT(ISNUMBER(F220)),NOT(ISNUMBER(G220)))),"Enter start and end",IF(AND(OR(E220="Partial Vacation",E220="Partial Sick Leave"),OR(NOT(ISNUMBER(H220)),NOT(ISNUMBER(I220)))),"Enter leave from and to",IF(AND(ISNUMBER(F220),ISNUMBER(G220),G220&lt;=F220),"End is before start",IF(AND(ISNUMBER(H220),ISNUMBER(I220),I220&lt;=H220),"Leave end is before start",IF(AND(ISNUMBER(F220),ISNUMBER(G220),ISNUMBER(H220),ISNUMBER(I220),F220&lt;I220,H220&lt;G220),"Work and leave hours overlap",IF(AND(E220&lt;&gt;"",WEEKDAY(A220)=7),"Saturday - administrator only","")))))))</f>
        <v/>
      </c>
      <c r="T220" s="36" t="n">
        <f aca="false">MONTH(A220)</f>
        <v>8</v>
      </c>
      <c r="U220" s="37" t="b">
        <f aca="false">OR(C220="Workday",C220="Eve")</f>
        <v>1</v>
      </c>
      <c r="V220" s="34" t="n">
        <f aca="false">IF(C220="Eve",Settings!$B$8,Settings!$B$7)</f>
        <v>0.6875</v>
      </c>
      <c r="W220" s="14" t="n">
        <f aca="false">IF(U220,(V220-Settings!$B$6)*24,0)</f>
        <v>8.5</v>
      </c>
    </row>
    <row r="221" customFormat="false" ht="15" hidden="false" customHeight="false" outlineLevel="0" collapsed="false">
      <c r="A221" s="29" t="n">
        <v>46237</v>
      </c>
      <c r="B221" s="30" t="str">
        <f aca="false">CHOOSE(WEEKDAY(A221),"Sun","Mon","Tue","Wed","Thu","Fri","Sat")</f>
        <v>Mon</v>
      </c>
      <c r="C221" s="30" t="str">
        <f aca="false">IF(IFERROR(INDEX(Holidays!$D$5:$D$60,MATCH(A221,Holidays!$A$5:$A$60,0)),"")="Holiday","Holiday",IF(WEEKDAY(A221)&gt;=6,"Weekend",IF(IFERROR(INDEX(Holidays!$D$5:$D$60,MATCH(A221,Holidays!$A$5:$A$60,0)),"")="Eve","Eve","Workday")))</f>
        <v>Workday</v>
      </c>
      <c r="D221" s="18" t="str">
        <f aca="false">IFERROR(INDEX(Holidays!$C$5:$C$60,MATCH(A221,Holidays!$A$5:$A$60,0)),"")</f>
        <v/>
      </c>
      <c r="E221" s="31"/>
      <c r="F221" s="32"/>
      <c r="G221" s="32"/>
      <c r="H221" s="32"/>
      <c r="I221" s="32"/>
      <c r="J221" s="31"/>
      <c r="K221" s="33" t="str">
        <f aca="false">IF(E221&lt;&gt;"",E221,IF(U221,"Present",IF(C221="Holiday","Holiday","Weekend")))</f>
        <v>Present</v>
      </c>
      <c r="L221" s="34" t="n">
        <f aca="false">IF(OR(K221="Present",K221="Manual Work",K221="Partial Vacation",K221="Partial Sick Leave"),IF(ISNUMBER(F221),F221,IF(AND(K221="Present",U221),Settings!$B$6,"")),"")</f>
        <v>0.333333333333333</v>
      </c>
      <c r="M221" s="34" t="n">
        <f aca="false">IF(OR(K221="Present",K221="Manual Work",K221="Partial Vacation",K221="Partial Sick Leave"),IF(ISNUMBER(G221),G221,IF(AND(K221="Present",U221),V221,"")),"")</f>
        <v>0.6875</v>
      </c>
      <c r="N221" s="14" t="n">
        <f aca="false">IF(AND(ISNUMBER(L221),ISNUMBER(M221)),MAX(0,(M221-L221)*24),0)</f>
        <v>8.5</v>
      </c>
      <c r="O221" s="14" t="n">
        <f aca="false">IF(NOT(U221),0,IF(K221="Vacation",IF(C221="Eve",Settings!$B$9*Settings!$B$11,W221),IF(K221="Partial Vacation",IF(AND(ISNUMBER(H221),ISNUMBER(I221)),MAX(0,(I221-H221)*24),0),0)))</f>
        <v>0</v>
      </c>
      <c r="P221" s="14" t="n">
        <f aca="false">IF(NOT(U221),0,IF(K221="Sick Leave",W221,IF(K221="Partial Sick Leave",IF(AND(ISNUMBER(H221),ISNUMBER(I221)),MAX(0,(I221-H221)*24),0),0)))</f>
        <v>0</v>
      </c>
      <c r="Q221" s="14" t="n">
        <f aca="false">IF(NOT(U221),0,IF(K221="Vacation",IF(C221="Eve",Settings!$B$11,1),IF(K221="Partial Vacation",O221/Settings!$B$9,0)))</f>
        <v>0</v>
      </c>
      <c r="R221" s="14" t="n">
        <f aca="false">IF(NOT(U221),0,IF(K221="Sick Leave",1,IF(K221="Partial Sick Leave",P221/Settings!$B$9,0)))</f>
        <v>0</v>
      </c>
      <c r="S221" s="35" t="str">
        <f aca="false">IF(AND(OR(E221="Vacation",E221="Sick Leave",E221="Partial Vacation",E221="Partial Sick Leave"),NOT(U221)),"Leave not allowed on this day",IF(AND(E221="Manual Work",OR(NOT(ISNUMBER(F221)),NOT(ISNUMBER(G221)))),"Enter start and end",IF(AND(OR(E221="Partial Vacation",E221="Partial Sick Leave"),OR(NOT(ISNUMBER(H221)),NOT(ISNUMBER(I221)))),"Enter leave from and to",IF(AND(ISNUMBER(F221),ISNUMBER(G221),G221&lt;=F221),"End is before start",IF(AND(ISNUMBER(H221),ISNUMBER(I221),I221&lt;=H221),"Leave end is before start",IF(AND(ISNUMBER(F221),ISNUMBER(G221),ISNUMBER(H221),ISNUMBER(I221),F221&lt;I221,H221&lt;G221),"Work and leave hours overlap",IF(AND(E221&lt;&gt;"",WEEKDAY(A221)=7),"Saturday - administrator only","")))))))</f>
        <v/>
      </c>
      <c r="T221" s="36" t="n">
        <f aca="false">MONTH(A221)</f>
        <v>8</v>
      </c>
      <c r="U221" s="37" t="b">
        <f aca="false">OR(C221="Workday",C221="Eve")</f>
        <v>1</v>
      </c>
      <c r="V221" s="34" t="n">
        <f aca="false">IF(C221="Eve",Settings!$B$8,Settings!$B$7)</f>
        <v>0.6875</v>
      </c>
      <c r="W221" s="14" t="n">
        <f aca="false">IF(U221,(V221-Settings!$B$6)*24,0)</f>
        <v>8.5</v>
      </c>
    </row>
    <row r="222" customFormat="false" ht="15" hidden="false" customHeight="false" outlineLevel="0" collapsed="false">
      <c r="A222" s="29" t="n">
        <v>46238</v>
      </c>
      <c r="B222" s="30" t="str">
        <f aca="false">CHOOSE(WEEKDAY(A222),"Sun","Mon","Tue","Wed","Thu","Fri","Sat")</f>
        <v>Tue</v>
      </c>
      <c r="C222" s="30" t="str">
        <f aca="false">IF(IFERROR(INDEX(Holidays!$D$5:$D$60,MATCH(A222,Holidays!$A$5:$A$60,0)),"")="Holiday","Holiday",IF(WEEKDAY(A222)&gt;=6,"Weekend",IF(IFERROR(INDEX(Holidays!$D$5:$D$60,MATCH(A222,Holidays!$A$5:$A$60,0)),"")="Eve","Eve","Workday")))</f>
        <v>Workday</v>
      </c>
      <c r="D222" s="18" t="str">
        <f aca="false">IFERROR(INDEX(Holidays!$C$5:$C$60,MATCH(A222,Holidays!$A$5:$A$60,0)),"")</f>
        <v/>
      </c>
      <c r="E222" s="31"/>
      <c r="F222" s="32"/>
      <c r="G222" s="32"/>
      <c r="H222" s="32"/>
      <c r="I222" s="32"/>
      <c r="J222" s="31"/>
      <c r="K222" s="33" t="str">
        <f aca="false">IF(E222&lt;&gt;"",E222,IF(U222,"Present",IF(C222="Holiday","Holiday","Weekend")))</f>
        <v>Present</v>
      </c>
      <c r="L222" s="34" t="n">
        <f aca="false">IF(OR(K222="Present",K222="Manual Work",K222="Partial Vacation",K222="Partial Sick Leave"),IF(ISNUMBER(F222),F222,IF(AND(K222="Present",U222),Settings!$B$6,"")),"")</f>
        <v>0.333333333333333</v>
      </c>
      <c r="M222" s="34" t="n">
        <f aca="false">IF(OR(K222="Present",K222="Manual Work",K222="Partial Vacation",K222="Partial Sick Leave"),IF(ISNUMBER(G222),G222,IF(AND(K222="Present",U222),V222,"")),"")</f>
        <v>0.6875</v>
      </c>
      <c r="N222" s="14" t="n">
        <f aca="false">IF(AND(ISNUMBER(L222),ISNUMBER(M222)),MAX(0,(M222-L222)*24),0)</f>
        <v>8.5</v>
      </c>
      <c r="O222" s="14" t="n">
        <f aca="false">IF(NOT(U222),0,IF(K222="Vacation",IF(C222="Eve",Settings!$B$9*Settings!$B$11,W222),IF(K222="Partial Vacation",IF(AND(ISNUMBER(H222),ISNUMBER(I222)),MAX(0,(I222-H222)*24),0),0)))</f>
        <v>0</v>
      </c>
      <c r="P222" s="14" t="n">
        <f aca="false">IF(NOT(U222),0,IF(K222="Sick Leave",W222,IF(K222="Partial Sick Leave",IF(AND(ISNUMBER(H222),ISNUMBER(I222)),MAX(0,(I222-H222)*24),0),0)))</f>
        <v>0</v>
      </c>
      <c r="Q222" s="14" t="n">
        <f aca="false">IF(NOT(U222),0,IF(K222="Vacation",IF(C222="Eve",Settings!$B$11,1),IF(K222="Partial Vacation",O222/Settings!$B$9,0)))</f>
        <v>0</v>
      </c>
      <c r="R222" s="14" t="n">
        <f aca="false">IF(NOT(U222),0,IF(K222="Sick Leave",1,IF(K222="Partial Sick Leave",P222/Settings!$B$9,0)))</f>
        <v>0</v>
      </c>
      <c r="S222" s="35" t="str">
        <f aca="false">IF(AND(OR(E222="Vacation",E222="Sick Leave",E222="Partial Vacation",E222="Partial Sick Leave"),NOT(U222)),"Leave not allowed on this day",IF(AND(E222="Manual Work",OR(NOT(ISNUMBER(F222)),NOT(ISNUMBER(G222)))),"Enter start and end",IF(AND(OR(E222="Partial Vacation",E222="Partial Sick Leave"),OR(NOT(ISNUMBER(H222)),NOT(ISNUMBER(I222)))),"Enter leave from and to",IF(AND(ISNUMBER(F222),ISNUMBER(G222),G222&lt;=F222),"End is before start",IF(AND(ISNUMBER(H222),ISNUMBER(I222),I222&lt;=H222),"Leave end is before start",IF(AND(ISNUMBER(F222),ISNUMBER(G222),ISNUMBER(H222),ISNUMBER(I222),F222&lt;I222,H222&lt;G222),"Work and leave hours overlap",IF(AND(E222&lt;&gt;"",WEEKDAY(A222)=7),"Saturday - administrator only","")))))))</f>
        <v/>
      </c>
      <c r="T222" s="36" t="n">
        <f aca="false">MONTH(A222)</f>
        <v>8</v>
      </c>
      <c r="U222" s="37" t="b">
        <f aca="false">OR(C222="Workday",C222="Eve")</f>
        <v>1</v>
      </c>
      <c r="V222" s="34" t="n">
        <f aca="false">IF(C222="Eve",Settings!$B$8,Settings!$B$7)</f>
        <v>0.6875</v>
      </c>
      <c r="W222" s="14" t="n">
        <f aca="false">IF(U222,(V222-Settings!$B$6)*24,0)</f>
        <v>8.5</v>
      </c>
    </row>
    <row r="223" customFormat="false" ht="15" hidden="false" customHeight="false" outlineLevel="0" collapsed="false">
      <c r="A223" s="29" t="n">
        <v>46239</v>
      </c>
      <c r="B223" s="30" t="str">
        <f aca="false">CHOOSE(WEEKDAY(A223),"Sun","Mon","Tue","Wed","Thu","Fri","Sat")</f>
        <v>Wed</v>
      </c>
      <c r="C223" s="30" t="str">
        <f aca="false">IF(IFERROR(INDEX(Holidays!$D$5:$D$60,MATCH(A223,Holidays!$A$5:$A$60,0)),"")="Holiday","Holiday",IF(WEEKDAY(A223)&gt;=6,"Weekend",IF(IFERROR(INDEX(Holidays!$D$5:$D$60,MATCH(A223,Holidays!$A$5:$A$60,0)),"")="Eve","Eve","Workday")))</f>
        <v>Workday</v>
      </c>
      <c r="D223" s="18" t="str">
        <f aca="false">IFERROR(INDEX(Holidays!$C$5:$C$60,MATCH(A223,Holidays!$A$5:$A$60,0)),"")</f>
        <v/>
      </c>
      <c r="E223" s="31"/>
      <c r="F223" s="32"/>
      <c r="G223" s="32"/>
      <c r="H223" s="32"/>
      <c r="I223" s="32"/>
      <c r="J223" s="31"/>
      <c r="K223" s="33" t="str">
        <f aca="false">IF(E223&lt;&gt;"",E223,IF(U223,"Present",IF(C223="Holiday","Holiday","Weekend")))</f>
        <v>Present</v>
      </c>
      <c r="L223" s="34" t="n">
        <f aca="false">IF(OR(K223="Present",K223="Manual Work",K223="Partial Vacation",K223="Partial Sick Leave"),IF(ISNUMBER(F223),F223,IF(AND(K223="Present",U223),Settings!$B$6,"")),"")</f>
        <v>0.333333333333333</v>
      </c>
      <c r="M223" s="34" t="n">
        <f aca="false">IF(OR(K223="Present",K223="Manual Work",K223="Partial Vacation",K223="Partial Sick Leave"),IF(ISNUMBER(G223),G223,IF(AND(K223="Present",U223),V223,"")),"")</f>
        <v>0.6875</v>
      </c>
      <c r="N223" s="14" t="n">
        <f aca="false">IF(AND(ISNUMBER(L223),ISNUMBER(M223)),MAX(0,(M223-L223)*24),0)</f>
        <v>8.5</v>
      </c>
      <c r="O223" s="14" t="n">
        <f aca="false">IF(NOT(U223),0,IF(K223="Vacation",IF(C223="Eve",Settings!$B$9*Settings!$B$11,W223),IF(K223="Partial Vacation",IF(AND(ISNUMBER(H223),ISNUMBER(I223)),MAX(0,(I223-H223)*24),0),0)))</f>
        <v>0</v>
      </c>
      <c r="P223" s="14" t="n">
        <f aca="false">IF(NOT(U223),0,IF(K223="Sick Leave",W223,IF(K223="Partial Sick Leave",IF(AND(ISNUMBER(H223),ISNUMBER(I223)),MAX(0,(I223-H223)*24),0),0)))</f>
        <v>0</v>
      </c>
      <c r="Q223" s="14" t="n">
        <f aca="false">IF(NOT(U223),0,IF(K223="Vacation",IF(C223="Eve",Settings!$B$11,1),IF(K223="Partial Vacation",O223/Settings!$B$9,0)))</f>
        <v>0</v>
      </c>
      <c r="R223" s="14" t="n">
        <f aca="false">IF(NOT(U223),0,IF(K223="Sick Leave",1,IF(K223="Partial Sick Leave",P223/Settings!$B$9,0)))</f>
        <v>0</v>
      </c>
      <c r="S223" s="35" t="str">
        <f aca="false">IF(AND(OR(E223="Vacation",E223="Sick Leave",E223="Partial Vacation",E223="Partial Sick Leave"),NOT(U223)),"Leave not allowed on this day",IF(AND(E223="Manual Work",OR(NOT(ISNUMBER(F223)),NOT(ISNUMBER(G223)))),"Enter start and end",IF(AND(OR(E223="Partial Vacation",E223="Partial Sick Leave"),OR(NOT(ISNUMBER(H223)),NOT(ISNUMBER(I223)))),"Enter leave from and to",IF(AND(ISNUMBER(F223),ISNUMBER(G223),G223&lt;=F223),"End is before start",IF(AND(ISNUMBER(H223),ISNUMBER(I223),I223&lt;=H223),"Leave end is before start",IF(AND(ISNUMBER(F223),ISNUMBER(G223),ISNUMBER(H223),ISNUMBER(I223),F223&lt;I223,H223&lt;G223),"Work and leave hours overlap",IF(AND(E223&lt;&gt;"",WEEKDAY(A223)=7),"Saturday - administrator only","")))))))</f>
        <v/>
      </c>
      <c r="T223" s="36" t="n">
        <f aca="false">MONTH(A223)</f>
        <v>8</v>
      </c>
      <c r="U223" s="37" t="b">
        <f aca="false">OR(C223="Workday",C223="Eve")</f>
        <v>1</v>
      </c>
      <c r="V223" s="34" t="n">
        <f aca="false">IF(C223="Eve",Settings!$B$8,Settings!$B$7)</f>
        <v>0.6875</v>
      </c>
      <c r="W223" s="14" t="n">
        <f aca="false">IF(U223,(V223-Settings!$B$6)*24,0)</f>
        <v>8.5</v>
      </c>
    </row>
    <row r="224" customFormat="false" ht="15" hidden="false" customHeight="false" outlineLevel="0" collapsed="false">
      <c r="A224" s="29" t="n">
        <v>46240</v>
      </c>
      <c r="B224" s="30" t="str">
        <f aca="false">CHOOSE(WEEKDAY(A224),"Sun","Mon","Tue","Wed","Thu","Fri","Sat")</f>
        <v>Thu</v>
      </c>
      <c r="C224" s="30" t="str">
        <f aca="false">IF(IFERROR(INDEX(Holidays!$D$5:$D$60,MATCH(A224,Holidays!$A$5:$A$60,0)),"")="Holiday","Holiday",IF(WEEKDAY(A224)&gt;=6,"Weekend",IF(IFERROR(INDEX(Holidays!$D$5:$D$60,MATCH(A224,Holidays!$A$5:$A$60,0)),"")="Eve","Eve","Workday")))</f>
        <v>Workday</v>
      </c>
      <c r="D224" s="18" t="str">
        <f aca="false">IFERROR(INDEX(Holidays!$C$5:$C$60,MATCH(A224,Holidays!$A$5:$A$60,0)),"")</f>
        <v/>
      </c>
      <c r="E224" s="31"/>
      <c r="F224" s="32"/>
      <c r="G224" s="32"/>
      <c r="H224" s="32"/>
      <c r="I224" s="32"/>
      <c r="J224" s="31"/>
      <c r="K224" s="33" t="str">
        <f aca="false">IF(E224&lt;&gt;"",E224,IF(U224,"Present",IF(C224="Holiday","Holiday","Weekend")))</f>
        <v>Present</v>
      </c>
      <c r="L224" s="34" t="n">
        <f aca="false">IF(OR(K224="Present",K224="Manual Work",K224="Partial Vacation",K224="Partial Sick Leave"),IF(ISNUMBER(F224),F224,IF(AND(K224="Present",U224),Settings!$B$6,"")),"")</f>
        <v>0.333333333333333</v>
      </c>
      <c r="M224" s="34" t="n">
        <f aca="false">IF(OR(K224="Present",K224="Manual Work",K224="Partial Vacation",K224="Partial Sick Leave"),IF(ISNUMBER(G224),G224,IF(AND(K224="Present",U224),V224,"")),"")</f>
        <v>0.6875</v>
      </c>
      <c r="N224" s="14" t="n">
        <f aca="false">IF(AND(ISNUMBER(L224),ISNUMBER(M224)),MAX(0,(M224-L224)*24),0)</f>
        <v>8.5</v>
      </c>
      <c r="O224" s="14" t="n">
        <f aca="false">IF(NOT(U224),0,IF(K224="Vacation",IF(C224="Eve",Settings!$B$9*Settings!$B$11,W224),IF(K224="Partial Vacation",IF(AND(ISNUMBER(H224),ISNUMBER(I224)),MAX(0,(I224-H224)*24),0),0)))</f>
        <v>0</v>
      </c>
      <c r="P224" s="14" t="n">
        <f aca="false">IF(NOT(U224),0,IF(K224="Sick Leave",W224,IF(K224="Partial Sick Leave",IF(AND(ISNUMBER(H224),ISNUMBER(I224)),MAX(0,(I224-H224)*24),0),0)))</f>
        <v>0</v>
      </c>
      <c r="Q224" s="14" t="n">
        <f aca="false">IF(NOT(U224),0,IF(K224="Vacation",IF(C224="Eve",Settings!$B$11,1),IF(K224="Partial Vacation",O224/Settings!$B$9,0)))</f>
        <v>0</v>
      </c>
      <c r="R224" s="14" t="n">
        <f aca="false">IF(NOT(U224),0,IF(K224="Sick Leave",1,IF(K224="Partial Sick Leave",P224/Settings!$B$9,0)))</f>
        <v>0</v>
      </c>
      <c r="S224" s="35" t="str">
        <f aca="false">IF(AND(OR(E224="Vacation",E224="Sick Leave",E224="Partial Vacation",E224="Partial Sick Leave"),NOT(U224)),"Leave not allowed on this day",IF(AND(E224="Manual Work",OR(NOT(ISNUMBER(F224)),NOT(ISNUMBER(G224)))),"Enter start and end",IF(AND(OR(E224="Partial Vacation",E224="Partial Sick Leave"),OR(NOT(ISNUMBER(H224)),NOT(ISNUMBER(I224)))),"Enter leave from and to",IF(AND(ISNUMBER(F224),ISNUMBER(G224),G224&lt;=F224),"End is before start",IF(AND(ISNUMBER(H224),ISNUMBER(I224),I224&lt;=H224),"Leave end is before start",IF(AND(ISNUMBER(F224),ISNUMBER(G224),ISNUMBER(H224),ISNUMBER(I224),F224&lt;I224,H224&lt;G224),"Work and leave hours overlap",IF(AND(E224&lt;&gt;"",WEEKDAY(A224)=7),"Saturday - administrator only","")))))))</f>
        <v/>
      </c>
      <c r="T224" s="36" t="n">
        <f aca="false">MONTH(A224)</f>
        <v>8</v>
      </c>
      <c r="U224" s="37" t="b">
        <f aca="false">OR(C224="Workday",C224="Eve")</f>
        <v>1</v>
      </c>
      <c r="V224" s="34" t="n">
        <f aca="false">IF(C224="Eve",Settings!$B$8,Settings!$B$7)</f>
        <v>0.6875</v>
      </c>
      <c r="W224" s="14" t="n">
        <f aca="false">IF(U224,(V224-Settings!$B$6)*24,0)</f>
        <v>8.5</v>
      </c>
    </row>
    <row r="225" customFormat="false" ht="15" hidden="false" customHeight="false" outlineLevel="0" collapsed="false">
      <c r="A225" s="29" t="n">
        <v>46241</v>
      </c>
      <c r="B225" s="30" t="str">
        <f aca="false">CHOOSE(WEEKDAY(A225),"Sun","Mon","Tue","Wed","Thu","Fri","Sat")</f>
        <v>Fri</v>
      </c>
      <c r="C225" s="30" t="str">
        <f aca="false">IF(IFERROR(INDEX(Holidays!$D$5:$D$60,MATCH(A225,Holidays!$A$5:$A$60,0)),"")="Holiday","Holiday",IF(WEEKDAY(A225)&gt;=6,"Weekend",IF(IFERROR(INDEX(Holidays!$D$5:$D$60,MATCH(A225,Holidays!$A$5:$A$60,0)),"")="Eve","Eve","Workday")))</f>
        <v>Weekend</v>
      </c>
      <c r="D225" s="18" t="str">
        <f aca="false">IFERROR(INDEX(Holidays!$C$5:$C$60,MATCH(A225,Holidays!$A$5:$A$60,0)),"")</f>
        <v/>
      </c>
      <c r="E225" s="31"/>
      <c r="F225" s="32"/>
      <c r="G225" s="32"/>
      <c r="H225" s="32"/>
      <c r="I225" s="32"/>
      <c r="J225" s="31"/>
      <c r="K225" s="33" t="str">
        <f aca="false">IF(E225&lt;&gt;"",E225,IF(U225,"Present",IF(C225="Holiday","Holiday","Weekend")))</f>
        <v>Weekend</v>
      </c>
      <c r="L225" s="34" t="str">
        <f aca="false">IF(OR(K225="Present",K225="Manual Work",K225="Partial Vacation",K225="Partial Sick Leave"),IF(ISNUMBER(F225),F225,IF(AND(K225="Present",U225),Settings!$B$6,"")),"")</f>
        <v/>
      </c>
      <c r="M225" s="34" t="str">
        <f aca="false">IF(OR(K225="Present",K225="Manual Work",K225="Partial Vacation",K225="Partial Sick Leave"),IF(ISNUMBER(G225),G225,IF(AND(K225="Present",U225),V225,"")),"")</f>
        <v/>
      </c>
      <c r="N225" s="14" t="n">
        <f aca="false">IF(AND(ISNUMBER(L225),ISNUMBER(M225)),MAX(0,(M225-L225)*24),0)</f>
        <v>0</v>
      </c>
      <c r="O225" s="14" t="n">
        <f aca="false">IF(NOT(U225),0,IF(K225="Vacation",IF(C225="Eve",Settings!$B$9*Settings!$B$11,W225),IF(K225="Partial Vacation",IF(AND(ISNUMBER(H225),ISNUMBER(I225)),MAX(0,(I225-H225)*24),0),0)))</f>
        <v>0</v>
      </c>
      <c r="P225" s="14" t="n">
        <f aca="false">IF(NOT(U225),0,IF(K225="Sick Leave",W225,IF(K225="Partial Sick Leave",IF(AND(ISNUMBER(H225),ISNUMBER(I225)),MAX(0,(I225-H225)*24),0),0)))</f>
        <v>0</v>
      </c>
      <c r="Q225" s="14" t="n">
        <f aca="false">IF(NOT(U225),0,IF(K225="Vacation",IF(C225="Eve",Settings!$B$11,1),IF(K225="Partial Vacation",O225/Settings!$B$9,0)))</f>
        <v>0</v>
      </c>
      <c r="R225" s="14" t="n">
        <f aca="false">IF(NOT(U225),0,IF(K225="Sick Leave",1,IF(K225="Partial Sick Leave",P225/Settings!$B$9,0)))</f>
        <v>0</v>
      </c>
      <c r="S225" s="35" t="str">
        <f aca="false">IF(AND(OR(E225="Vacation",E225="Sick Leave",E225="Partial Vacation",E225="Partial Sick Leave"),NOT(U225)),"Leave not allowed on this day",IF(AND(E225="Manual Work",OR(NOT(ISNUMBER(F225)),NOT(ISNUMBER(G225)))),"Enter start and end",IF(AND(OR(E225="Partial Vacation",E225="Partial Sick Leave"),OR(NOT(ISNUMBER(H225)),NOT(ISNUMBER(I225)))),"Enter leave from and to",IF(AND(ISNUMBER(F225),ISNUMBER(G225),G225&lt;=F225),"End is before start",IF(AND(ISNUMBER(H225),ISNUMBER(I225),I225&lt;=H225),"Leave end is before start",IF(AND(ISNUMBER(F225),ISNUMBER(G225),ISNUMBER(H225),ISNUMBER(I225),F225&lt;I225,H225&lt;G225),"Work and leave hours overlap",IF(AND(E225&lt;&gt;"",WEEKDAY(A225)=7),"Saturday - administrator only","")))))))</f>
        <v/>
      </c>
      <c r="T225" s="36" t="n">
        <f aca="false">MONTH(A225)</f>
        <v>8</v>
      </c>
      <c r="U225" s="37" t="b">
        <f aca="false">OR(C225="Workday",C225="Eve")</f>
        <v>0</v>
      </c>
      <c r="V225" s="34" t="n">
        <f aca="false">IF(C225="Eve",Settings!$B$8,Settings!$B$7)</f>
        <v>0.6875</v>
      </c>
      <c r="W225" s="14" t="n">
        <f aca="false">IF(U225,(V225-Settings!$B$6)*24,0)</f>
        <v>0</v>
      </c>
    </row>
    <row r="226" customFormat="false" ht="15" hidden="false" customHeight="false" outlineLevel="0" collapsed="false">
      <c r="A226" s="29" t="n">
        <v>46242</v>
      </c>
      <c r="B226" s="30" t="str">
        <f aca="false">CHOOSE(WEEKDAY(A226),"Sun","Mon","Tue","Wed","Thu","Fri","Sat")</f>
        <v>Sat</v>
      </c>
      <c r="C226" s="30" t="str">
        <f aca="false">IF(IFERROR(INDEX(Holidays!$D$5:$D$60,MATCH(A226,Holidays!$A$5:$A$60,0)),"")="Holiday","Holiday",IF(WEEKDAY(A226)&gt;=6,"Weekend",IF(IFERROR(INDEX(Holidays!$D$5:$D$60,MATCH(A226,Holidays!$A$5:$A$60,0)),"")="Eve","Eve","Workday")))</f>
        <v>Weekend</v>
      </c>
      <c r="D226" s="18" t="str">
        <f aca="false">IFERROR(INDEX(Holidays!$C$5:$C$60,MATCH(A226,Holidays!$A$5:$A$60,0)),"")</f>
        <v/>
      </c>
      <c r="E226" s="31"/>
      <c r="F226" s="32"/>
      <c r="G226" s="32"/>
      <c r="H226" s="32"/>
      <c r="I226" s="32"/>
      <c r="J226" s="31"/>
      <c r="K226" s="33" t="str">
        <f aca="false">IF(E226&lt;&gt;"",E226,IF(U226,"Present",IF(C226="Holiday","Holiday","Weekend")))</f>
        <v>Weekend</v>
      </c>
      <c r="L226" s="34" t="str">
        <f aca="false">IF(OR(K226="Present",K226="Manual Work",K226="Partial Vacation",K226="Partial Sick Leave"),IF(ISNUMBER(F226),F226,IF(AND(K226="Present",U226),Settings!$B$6,"")),"")</f>
        <v/>
      </c>
      <c r="M226" s="34" t="str">
        <f aca="false">IF(OR(K226="Present",K226="Manual Work",K226="Partial Vacation",K226="Partial Sick Leave"),IF(ISNUMBER(G226),G226,IF(AND(K226="Present",U226),V226,"")),"")</f>
        <v/>
      </c>
      <c r="N226" s="14" t="n">
        <f aca="false">IF(AND(ISNUMBER(L226),ISNUMBER(M226)),MAX(0,(M226-L226)*24),0)</f>
        <v>0</v>
      </c>
      <c r="O226" s="14" t="n">
        <f aca="false">IF(NOT(U226),0,IF(K226="Vacation",IF(C226="Eve",Settings!$B$9*Settings!$B$11,W226),IF(K226="Partial Vacation",IF(AND(ISNUMBER(H226),ISNUMBER(I226)),MAX(0,(I226-H226)*24),0),0)))</f>
        <v>0</v>
      </c>
      <c r="P226" s="14" t="n">
        <f aca="false">IF(NOT(U226),0,IF(K226="Sick Leave",W226,IF(K226="Partial Sick Leave",IF(AND(ISNUMBER(H226),ISNUMBER(I226)),MAX(0,(I226-H226)*24),0),0)))</f>
        <v>0</v>
      </c>
      <c r="Q226" s="14" t="n">
        <f aca="false">IF(NOT(U226),0,IF(K226="Vacation",IF(C226="Eve",Settings!$B$11,1),IF(K226="Partial Vacation",O226/Settings!$B$9,0)))</f>
        <v>0</v>
      </c>
      <c r="R226" s="14" t="n">
        <f aca="false">IF(NOT(U226),0,IF(K226="Sick Leave",1,IF(K226="Partial Sick Leave",P226/Settings!$B$9,0)))</f>
        <v>0</v>
      </c>
      <c r="S226" s="35" t="str">
        <f aca="false">IF(AND(OR(E226="Vacation",E226="Sick Leave",E226="Partial Vacation",E226="Partial Sick Leave"),NOT(U226)),"Leave not allowed on this day",IF(AND(E226="Manual Work",OR(NOT(ISNUMBER(F226)),NOT(ISNUMBER(G226)))),"Enter start and end",IF(AND(OR(E226="Partial Vacation",E226="Partial Sick Leave"),OR(NOT(ISNUMBER(H226)),NOT(ISNUMBER(I226)))),"Enter leave from and to",IF(AND(ISNUMBER(F226),ISNUMBER(G226),G226&lt;=F226),"End is before start",IF(AND(ISNUMBER(H226),ISNUMBER(I226),I226&lt;=H226),"Leave end is before start",IF(AND(ISNUMBER(F226),ISNUMBER(G226),ISNUMBER(H226),ISNUMBER(I226),F226&lt;I226,H226&lt;G226),"Work and leave hours overlap",IF(AND(E226&lt;&gt;"",WEEKDAY(A226)=7),"Saturday - administrator only","")))))))</f>
        <v/>
      </c>
      <c r="T226" s="36" t="n">
        <f aca="false">MONTH(A226)</f>
        <v>8</v>
      </c>
      <c r="U226" s="37" t="b">
        <f aca="false">OR(C226="Workday",C226="Eve")</f>
        <v>0</v>
      </c>
      <c r="V226" s="34" t="n">
        <f aca="false">IF(C226="Eve",Settings!$B$8,Settings!$B$7)</f>
        <v>0.6875</v>
      </c>
      <c r="W226" s="14" t="n">
        <f aca="false">IF(U226,(V226-Settings!$B$6)*24,0)</f>
        <v>0</v>
      </c>
    </row>
    <row r="227" customFormat="false" ht="15" hidden="false" customHeight="false" outlineLevel="0" collapsed="false">
      <c r="A227" s="29" t="n">
        <v>46243</v>
      </c>
      <c r="B227" s="30" t="str">
        <f aca="false">CHOOSE(WEEKDAY(A227),"Sun","Mon","Tue","Wed","Thu","Fri","Sat")</f>
        <v>Sun</v>
      </c>
      <c r="C227" s="30" t="str">
        <f aca="false">IF(IFERROR(INDEX(Holidays!$D$5:$D$60,MATCH(A227,Holidays!$A$5:$A$60,0)),"")="Holiday","Holiday",IF(WEEKDAY(A227)&gt;=6,"Weekend",IF(IFERROR(INDEX(Holidays!$D$5:$D$60,MATCH(A227,Holidays!$A$5:$A$60,0)),"")="Eve","Eve","Workday")))</f>
        <v>Workday</v>
      </c>
      <c r="D227" s="18" t="str">
        <f aca="false">IFERROR(INDEX(Holidays!$C$5:$C$60,MATCH(A227,Holidays!$A$5:$A$60,0)),"")</f>
        <v/>
      </c>
      <c r="E227" s="31"/>
      <c r="F227" s="32"/>
      <c r="G227" s="32"/>
      <c r="H227" s="32"/>
      <c r="I227" s="32"/>
      <c r="J227" s="31"/>
      <c r="K227" s="33" t="str">
        <f aca="false">IF(E227&lt;&gt;"",E227,IF(U227,"Present",IF(C227="Holiday","Holiday","Weekend")))</f>
        <v>Present</v>
      </c>
      <c r="L227" s="34" t="n">
        <f aca="false">IF(OR(K227="Present",K227="Manual Work",K227="Partial Vacation",K227="Partial Sick Leave"),IF(ISNUMBER(F227),F227,IF(AND(K227="Present",U227),Settings!$B$6,"")),"")</f>
        <v>0.333333333333333</v>
      </c>
      <c r="M227" s="34" t="n">
        <f aca="false">IF(OR(K227="Present",K227="Manual Work",K227="Partial Vacation",K227="Partial Sick Leave"),IF(ISNUMBER(G227),G227,IF(AND(K227="Present",U227),V227,"")),"")</f>
        <v>0.6875</v>
      </c>
      <c r="N227" s="14" t="n">
        <f aca="false">IF(AND(ISNUMBER(L227),ISNUMBER(M227)),MAX(0,(M227-L227)*24),0)</f>
        <v>8.5</v>
      </c>
      <c r="O227" s="14" t="n">
        <f aca="false">IF(NOT(U227),0,IF(K227="Vacation",IF(C227="Eve",Settings!$B$9*Settings!$B$11,W227),IF(K227="Partial Vacation",IF(AND(ISNUMBER(H227),ISNUMBER(I227)),MAX(0,(I227-H227)*24),0),0)))</f>
        <v>0</v>
      </c>
      <c r="P227" s="14" t="n">
        <f aca="false">IF(NOT(U227),0,IF(K227="Sick Leave",W227,IF(K227="Partial Sick Leave",IF(AND(ISNUMBER(H227),ISNUMBER(I227)),MAX(0,(I227-H227)*24),0),0)))</f>
        <v>0</v>
      </c>
      <c r="Q227" s="14" t="n">
        <f aca="false">IF(NOT(U227),0,IF(K227="Vacation",IF(C227="Eve",Settings!$B$11,1),IF(K227="Partial Vacation",O227/Settings!$B$9,0)))</f>
        <v>0</v>
      </c>
      <c r="R227" s="14" t="n">
        <f aca="false">IF(NOT(U227),0,IF(K227="Sick Leave",1,IF(K227="Partial Sick Leave",P227/Settings!$B$9,0)))</f>
        <v>0</v>
      </c>
      <c r="S227" s="35" t="str">
        <f aca="false">IF(AND(OR(E227="Vacation",E227="Sick Leave",E227="Partial Vacation",E227="Partial Sick Leave"),NOT(U227)),"Leave not allowed on this day",IF(AND(E227="Manual Work",OR(NOT(ISNUMBER(F227)),NOT(ISNUMBER(G227)))),"Enter start and end",IF(AND(OR(E227="Partial Vacation",E227="Partial Sick Leave"),OR(NOT(ISNUMBER(H227)),NOT(ISNUMBER(I227)))),"Enter leave from and to",IF(AND(ISNUMBER(F227),ISNUMBER(G227),G227&lt;=F227),"End is before start",IF(AND(ISNUMBER(H227),ISNUMBER(I227),I227&lt;=H227),"Leave end is before start",IF(AND(ISNUMBER(F227),ISNUMBER(G227),ISNUMBER(H227),ISNUMBER(I227),F227&lt;I227,H227&lt;G227),"Work and leave hours overlap",IF(AND(E227&lt;&gt;"",WEEKDAY(A227)=7),"Saturday - administrator only","")))))))</f>
        <v/>
      </c>
      <c r="T227" s="36" t="n">
        <f aca="false">MONTH(A227)</f>
        <v>8</v>
      </c>
      <c r="U227" s="37" t="b">
        <f aca="false">OR(C227="Workday",C227="Eve")</f>
        <v>1</v>
      </c>
      <c r="V227" s="34" t="n">
        <f aca="false">IF(C227="Eve",Settings!$B$8,Settings!$B$7)</f>
        <v>0.6875</v>
      </c>
      <c r="W227" s="14" t="n">
        <f aca="false">IF(U227,(V227-Settings!$B$6)*24,0)</f>
        <v>8.5</v>
      </c>
    </row>
    <row r="228" customFormat="false" ht="15" hidden="false" customHeight="false" outlineLevel="0" collapsed="false">
      <c r="A228" s="29" t="n">
        <v>46244</v>
      </c>
      <c r="B228" s="30" t="str">
        <f aca="false">CHOOSE(WEEKDAY(A228),"Sun","Mon","Tue","Wed","Thu","Fri","Sat")</f>
        <v>Mon</v>
      </c>
      <c r="C228" s="30" t="str">
        <f aca="false">IF(IFERROR(INDEX(Holidays!$D$5:$D$60,MATCH(A228,Holidays!$A$5:$A$60,0)),"")="Holiday","Holiday",IF(WEEKDAY(A228)&gt;=6,"Weekend",IF(IFERROR(INDEX(Holidays!$D$5:$D$60,MATCH(A228,Holidays!$A$5:$A$60,0)),"")="Eve","Eve","Workday")))</f>
        <v>Workday</v>
      </c>
      <c r="D228" s="18" t="str">
        <f aca="false">IFERROR(INDEX(Holidays!$C$5:$C$60,MATCH(A228,Holidays!$A$5:$A$60,0)),"")</f>
        <v/>
      </c>
      <c r="E228" s="31"/>
      <c r="F228" s="32"/>
      <c r="G228" s="32"/>
      <c r="H228" s="32"/>
      <c r="I228" s="32"/>
      <c r="J228" s="31"/>
      <c r="K228" s="33" t="str">
        <f aca="false">IF(E228&lt;&gt;"",E228,IF(U228,"Present",IF(C228="Holiday","Holiday","Weekend")))</f>
        <v>Present</v>
      </c>
      <c r="L228" s="34" t="n">
        <f aca="false">IF(OR(K228="Present",K228="Manual Work",K228="Partial Vacation",K228="Partial Sick Leave"),IF(ISNUMBER(F228),F228,IF(AND(K228="Present",U228),Settings!$B$6,"")),"")</f>
        <v>0.333333333333333</v>
      </c>
      <c r="M228" s="34" t="n">
        <f aca="false">IF(OR(K228="Present",K228="Manual Work",K228="Partial Vacation",K228="Partial Sick Leave"),IF(ISNUMBER(G228),G228,IF(AND(K228="Present",U228),V228,"")),"")</f>
        <v>0.6875</v>
      </c>
      <c r="N228" s="14" t="n">
        <f aca="false">IF(AND(ISNUMBER(L228),ISNUMBER(M228)),MAX(0,(M228-L228)*24),0)</f>
        <v>8.5</v>
      </c>
      <c r="O228" s="14" t="n">
        <f aca="false">IF(NOT(U228),0,IF(K228="Vacation",IF(C228="Eve",Settings!$B$9*Settings!$B$11,W228),IF(K228="Partial Vacation",IF(AND(ISNUMBER(H228),ISNUMBER(I228)),MAX(0,(I228-H228)*24),0),0)))</f>
        <v>0</v>
      </c>
      <c r="P228" s="14" t="n">
        <f aca="false">IF(NOT(U228),0,IF(K228="Sick Leave",W228,IF(K228="Partial Sick Leave",IF(AND(ISNUMBER(H228),ISNUMBER(I228)),MAX(0,(I228-H228)*24),0),0)))</f>
        <v>0</v>
      </c>
      <c r="Q228" s="14" t="n">
        <f aca="false">IF(NOT(U228),0,IF(K228="Vacation",IF(C228="Eve",Settings!$B$11,1),IF(K228="Partial Vacation",O228/Settings!$B$9,0)))</f>
        <v>0</v>
      </c>
      <c r="R228" s="14" t="n">
        <f aca="false">IF(NOT(U228),0,IF(K228="Sick Leave",1,IF(K228="Partial Sick Leave",P228/Settings!$B$9,0)))</f>
        <v>0</v>
      </c>
      <c r="S228" s="35" t="str">
        <f aca="false">IF(AND(OR(E228="Vacation",E228="Sick Leave",E228="Partial Vacation",E228="Partial Sick Leave"),NOT(U228)),"Leave not allowed on this day",IF(AND(E228="Manual Work",OR(NOT(ISNUMBER(F228)),NOT(ISNUMBER(G228)))),"Enter start and end",IF(AND(OR(E228="Partial Vacation",E228="Partial Sick Leave"),OR(NOT(ISNUMBER(H228)),NOT(ISNUMBER(I228)))),"Enter leave from and to",IF(AND(ISNUMBER(F228),ISNUMBER(G228),G228&lt;=F228),"End is before start",IF(AND(ISNUMBER(H228),ISNUMBER(I228),I228&lt;=H228),"Leave end is before start",IF(AND(ISNUMBER(F228),ISNUMBER(G228),ISNUMBER(H228),ISNUMBER(I228),F228&lt;I228,H228&lt;G228),"Work and leave hours overlap",IF(AND(E228&lt;&gt;"",WEEKDAY(A228)=7),"Saturday - administrator only","")))))))</f>
        <v/>
      </c>
      <c r="T228" s="36" t="n">
        <f aca="false">MONTH(A228)</f>
        <v>8</v>
      </c>
      <c r="U228" s="37" t="b">
        <f aca="false">OR(C228="Workday",C228="Eve")</f>
        <v>1</v>
      </c>
      <c r="V228" s="34" t="n">
        <f aca="false">IF(C228="Eve",Settings!$B$8,Settings!$B$7)</f>
        <v>0.6875</v>
      </c>
      <c r="W228" s="14" t="n">
        <f aca="false">IF(U228,(V228-Settings!$B$6)*24,0)</f>
        <v>8.5</v>
      </c>
    </row>
    <row r="229" customFormat="false" ht="15" hidden="false" customHeight="false" outlineLevel="0" collapsed="false">
      <c r="A229" s="29" t="n">
        <v>46245</v>
      </c>
      <c r="B229" s="30" t="str">
        <f aca="false">CHOOSE(WEEKDAY(A229),"Sun","Mon","Tue","Wed","Thu","Fri","Sat")</f>
        <v>Tue</v>
      </c>
      <c r="C229" s="30" t="str">
        <f aca="false">IF(IFERROR(INDEX(Holidays!$D$5:$D$60,MATCH(A229,Holidays!$A$5:$A$60,0)),"")="Holiday","Holiday",IF(WEEKDAY(A229)&gt;=6,"Weekend",IF(IFERROR(INDEX(Holidays!$D$5:$D$60,MATCH(A229,Holidays!$A$5:$A$60,0)),"")="Eve","Eve","Workday")))</f>
        <v>Workday</v>
      </c>
      <c r="D229" s="18" t="str">
        <f aca="false">IFERROR(INDEX(Holidays!$C$5:$C$60,MATCH(A229,Holidays!$A$5:$A$60,0)),"")</f>
        <v/>
      </c>
      <c r="E229" s="31"/>
      <c r="F229" s="32"/>
      <c r="G229" s="32"/>
      <c r="H229" s="32"/>
      <c r="I229" s="32"/>
      <c r="J229" s="31"/>
      <c r="K229" s="33" t="str">
        <f aca="false">IF(E229&lt;&gt;"",E229,IF(U229,"Present",IF(C229="Holiday","Holiday","Weekend")))</f>
        <v>Present</v>
      </c>
      <c r="L229" s="34" t="n">
        <f aca="false">IF(OR(K229="Present",K229="Manual Work",K229="Partial Vacation",K229="Partial Sick Leave"),IF(ISNUMBER(F229),F229,IF(AND(K229="Present",U229),Settings!$B$6,"")),"")</f>
        <v>0.333333333333333</v>
      </c>
      <c r="M229" s="34" t="n">
        <f aca="false">IF(OR(K229="Present",K229="Manual Work",K229="Partial Vacation",K229="Partial Sick Leave"),IF(ISNUMBER(G229),G229,IF(AND(K229="Present",U229),V229,"")),"")</f>
        <v>0.6875</v>
      </c>
      <c r="N229" s="14" t="n">
        <f aca="false">IF(AND(ISNUMBER(L229),ISNUMBER(M229)),MAX(0,(M229-L229)*24),0)</f>
        <v>8.5</v>
      </c>
      <c r="O229" s="14" t="n">
        <f aca="false">IF(NOT(U229),0,IF(K229="Vacation",IF(C229="Eve",Settings!$B$9*Settings!$B$11,W229),IF(K229="Partial Vacation",IF(AND(ISNUMBER(H229),ISNUMBER(I229)),MAX(0,(I229-H229)*24),0),0)))</f>
        <v>0</v>
      </c>
      <c r="P229" s="14" t="n">
        <f aca="false">IF(NOT(U229),0,IF(K229="Sick Leave",W229,IF(K229="Partial Sick Leave",IF(AND(ISNUMBER(H229),ISNUMBER(I229)),MAX(0,(I229-H229)*24),0),0)))</f>
        <v>0</v>
      </c>
      <c r="Q229" s="14" t="n">
        <f aca="false">IF(NOT(U229),0,IF(K229="Vacation",IF(C229="Eve",Settings!$B$11,1),IF(K229="Partial Vacation",O229/Settings!$B$9,0)))</f>
        <v>0</v>
      </c>
      <c r="R229" s="14" t="n">
        <f aca="false">IF(NOT(U229),0,IF(K229="Sick Leave",1,IF(K229="Partial Sick Leave",P229/Settings!$B$9,0)))</f>
        <v>0</v>
      </c>
      <c r="S229" s="35" t="str">
        <f aca="false">IF(AND(OR(E229="Vacation",E229="Sick Leave",E229="Partial Vacation",E229="Partial Sick Leave"),NOT(U229)),"Leave not allowed on this day",IF(AND(E229="Manual Work",OR(NOT(ISNUMBER(F229)),NOT(ISNUMBER(G229)))),"Enter start and end",IF(AND(OR(E229="Partial Vacation",E229="Partial Sick Leave"),OR(NOT(ISNUMBER(H229)),NOT(ISNUMBER(I229)))),"Enter leave from and to",IF(AND(ISNUMBER(F229),ISNUMBER(G229),G229&lt;=F229),"End is before start",IF(AND(ISNUMBER(H229),ISNUMBER(I229),I229&lt;=H229),"Leave end is before start",IF(AND(ISNUMBER(F229),ISNUMBER(G229),ISNUMBER(H229),ISNUMBER(I229),F229&lt;I229,H229&lt;G229),"Work and leave hours overlap",IF(AND(E229&lt;&gt;"",WEEKDAY(A229)=7),"Saturday - administrator only","")))))))</f>
        <v/>
      </c>
      <c r="T229" s="36" t="n">
        <f aca="false">MONTH(A229)</f>
        <v>8</v>
      </c>
      <c r="U229" s="37" t="b">
        <f aca="false">OR(C229="Workday",C229="Eve")</f>
        <v>1</v>
      </c>
      <c r="V229" s="34" t="n">
        <f aca="false">IF(C229="Eve",Settings!$B$8,Settings!$B$7)</f>
        <v>0.6875</v>
      </c>
      <c r="W229" s="14" t="n">
        <f aca="false">IF(U229,(V229-Settings!$B$6)*24,0)</f>
        <v>8.5</v>
      </c>
    </row>
    <row r="230" customFormat="false" ht="15" hidden="false" customHeight="false" outlineLevel="0" collapsed="false">
      <c r="A230" s="29" t="n">
        <v>46246</v>
      </c>
      <c r="B230" s="30" t="str">
        <f aca="false">CHOOSE(WEEKDAY(A230),"Sun","Mon","Tue","Wed","Thu","Fri","Sat")</f>
        <v>Wed</v>
      </c>
      <c r="C230" s="30" t="str">
        <f aca="false">IF(IFERROR(INDEX(Holidays!$D$5:$D$60,MATCH(A230,Holidays!$A$5:$A$60,0)),"")="Holiday","Holiday",IF(WEEKDAY(A230)&gt;=6,"Weekend",IF(IFERROR(INDEX(Holidays!$D$5:$D$60,MATCH(A230,Holidays!$A$5:$A$60,0)),"")="Eve","Eve","Workday")))</f>
        <v>Workday</v>
      </c>
      <c r="D230" s="18" t="str">
        <f aca="false">IFERROR(INDEX(Holidays!$C$5:$C$60,MATCH(A230,Holidays!$A$5:$A$60,0)),"")</f>
        <v/>
      </c>
      <c r="E230" s="31"/>
      <c r="F230" s="32"/>
      <c r="G230" s="32"/>
      <c r="H230" s="32"/>
      <c r="I230" s="32"/>
      <c r="J230" s="31"/>
      <c r="K230" s="33" t="str">
        <f aca="false">IF(E230&lt;&gt;"",E230,IF(U230,"Present",IF(C230="Holiday","Holiday","Weekend")))</f>
        <v>Present</v>
      </c>
      <c r="L230" s="34" t="n">
        <f aca="false">IF(OR(K230="Present",K230="Manual Work",K230="Partial Vacation",K230="Partial Sick Leave"),IF(ISNUMBER(F230),F230,IF(AND(K230="Present",U230),Settings!$B$6,"")),"")</f>
        <v>0.333333333333333</v>
      </c>
      <c r="M230" s="34" t="n">
        <f aca="false">IF(OR(K230="Present",K230="Manual Work",K230="Partial Vacation",K230="Partial Sick Leave"),IF(ISNUMBER(G230),G230,IF(AND(K230="Present",U230),V230,"")),"")</f>
        <v>0.6875</v>
      </c>
      <c r="N230" s="14" t="n">
        <f aca="false">IF(AND(ISNUMBER(L230),ISNUMBER(M230)),MAX(0,(M230-L230)*24),0)</f>
        <v>8.5</v>
      </c>
      <c r="O230" s="14" t="n">
        <f aca="false">IF(NOT(U230),0,IF(K230="Vacation",IF(C230="Eve",Settings!$B$9*Settings!$B$11,W230),IF(K230="Partial Vacation",IF(AND(ISNUMBER(H230),ISNUMBER(I230)),MAX(0,(I230-H230)*24),0),0)))</f>
        <v>0</v>
      </c>
      <c r="P230" s="14" t="n">
        <f aca="false">IF(NOT(U230),0,IF(K230="Sick Leave",W230,IF(K230="Partial Sick Leave",IF(AND(ISNUMBER(H230),ISNUMBER(I230)),MAX(0,(I230-H230)*24),0),0)))</f>
        <v>0</v>
      </c>
      <c r="Q230" s="14" t="n">
        <f aca="false">IF(NOT(U230),0,IF(K230="Vacation",IF(C230="Eve",Settings!$B$11,1),IF(K230="Partial Vacation",O230/Settings!$B$9,0)))</f>
        <v>0</v>
      </c>
      <c r="R230" s="14" t="n">
        <f aca="false">IF(NOT(U230),0,IF(K230="Sick Leave",1,IF(K230="Partial Sick Leave",P230/Settings!$B$9,0)))</f>
        <v>0</v>
      </c>
      <c r="S230" s="35" t="str">
        <f aca="false">IF(AND(OR(E230="Vacation",E230="Sick Leave",E230="Partial Vacation",E230="Partial Sick Leave"),NOT(U230)),"Leave not allowed on this day",IF(AND(E230="Manual Work",OR(NOT(ISNUMBER(F230)),NOT(ISNUMBER(G230)))),"Enter start and end",IF(AND(OR(E230="Partial Vacation",E230="Partial Sick Leave"),OR(NOT(ISNUMBER(H230)),NOT(ISNUMBER(I230)))),"Enter leave from and to",IF(AND(ISNUMBER(F230),ISNUMBER(G230),G230&lt;=F230),"End is before start",IF(AND(ISNUMBER(H230),ISNUMBER(I230),I230&lt;=H230),"Leave end is before start",IF(AND(ISNUMBER(F230),ISNUMBER(G230),ISNUMBER(H230),ISNUMBER(I230),F230&lt;I230,H230&lt;G230),"Work and leave hours overlap",IF(AND(E230&lt;&gt;"",WEEKDAY(A230)=7),"Saturday - administrator only","")))))))</f>
        <v/>
      </c>
      <c r="T230" s="36" t="n">
        <f aca="false">MONTH(A230)</f>
        <v>8</v>
      </c>
      <c r="U230" s="37" t="b">
        <f aca="false">OR(C230="Workday",C230="Eve")</f>
        <v>1</v>
      </c>
      <c r="V230" s="34" t="n">
        <f aca="false">IF(C230="Eve",Settings!$B$8,Settings!$B$7)</f>
        <v>0.6875</v>
      </c>
      <c r="W230" s="14" t="n">
        <f aca="false">IF(U230,(V230-Settings!$B$6)*24,0)</f>
        <v>8.5</v>
      </c>
    </row>
    <row r="231" customFormat="false" ht="15" hidden="false" customHeight="false" outlineLevel="0" collapsed="false">
      <c r="A231" s="29" t="n">
        <v>46247</v>
      </c>
      <c r="B231" s="30" t="str">
        <f aca="false">CHOOSE(WEEKDAY(A231),"Sun","Mon","Tue","Wed","Thu","Fri","Sat")</f>
        <v>Thu</v>
      </c>
      <c r="C231" s="30" t="str">
        <f aca="false">IF(IFERROR(INDEX(Holidays!$D$5:$D$60,MATCH(A231,Holidays!$A$5:$A$60,0)),"")="Holiday","Holiday",IF(WEEKDAY(A231)&gt;=6,"Weekend",IF(IFERROR(INDEX(Holidays!$D$5:$D$60,MATCH(A231,Holidays!$A$5:$A$60,0)),"")="Eve","Eve","Workday")))</f>
        <v>Workday</v>
      </c>
      <c r="D231" s="18" t="str">
        <f aca="false">IFERROR(INDEX(Holidays!$C$5:$C$60,MATCH(A231,Holidays!$A$5:$A$60,0)),"")</f>
        <v/>
      </c>
      <c r="E231" s="31"/>
      <c r="F231" s="32"/>
      <c r="G231" s="32"/>
      <c r="H231" s="32"/>
      <c r="I231" s="32"/>
      <c r="J231" s="31"/>
      <c r="K231" s="33" t="str">
        <f aca="false">IF(E231&lt;&gt;"",E231,IF(U231,"Present",IF(C231="Holiday","Holiday","Weekend")))</f>
        <v>Present</v>
      </c>
      <c r="L231" s="34" t="n">
        <f aca="false">IF(OR(K231="Present",K231="Manual Work",K231="Partial Vacation",K231="Partial Sick Leave"),IF(ISNUMBER(F231),F231,IF(AND(K231="Present",U231),Settings!$B$6,"")),"")</f>
        <v>0.333333333333333</v>
      </c>
      <c r="M231" s="34" t="n">
        <f aca="false">IF(OR(K231="Present",K231="Manual Work",K231="Partial Vacation",K231="Partial Sick Leave"),IF(ISNUMBER(G231),G231,IF(AND(K231="Present",U231),V231,"")),"")</f>
        <v>0.6875</v>
      </c>
      <c r="N231" s="14" t="n">
        <f aca="false">IF(AND(ISNUMBER(L231),ISNUMBER(M231)),MAX(0,(M231-L231)*24),0)</f>
        <v>8.5</v>
      </c>
      <c r="O231" s="14" t="n">
        <f aca="false">IF(NOT(U231),0,IF(K231="Vacation",IF(C231="Eve",Settings!$B$9*Settings!$B$11,W231),IF(K231="Partial Vacation",IF(AND(ISNUMBER(H231),ISNUMBER(I231)),MAX(0,(I231-H231)*24),0),0)))</f>
        <v>0</v>
      </c>
      <c r="P231" s="14" t="n">
        <f aca="false">IF(NOT(U231),0,IF(K231="Sick Leave",W231,IF(K231="Partial Sick Leave",IF(AND(ISNUMBER(H231),ISNUMBER(I231)),MAX(0,(I231-H231)*24),0),0)))</f>
        <v>0</v>
      </c>
      <c r="Q231" s="14" t="n">
        <f aca="false">IF(NOT(U231),0,IF(K231="Vacation",IF(C231="Eve",Settings!$B$11,1),IF(K231="Partial Vacation",O231/Settings!$B$9,0)))</f>
        <v>0</v>
      </c>
      <c r="R231" s="14" t="n">
        <f aca="false">IF(NOT(U231),0,IF(K231="Sick Leave",1,IF(K231="Partial Sick Leave",P231/Settings!$B$9,0)))</f>
        <v>0</v>
      </c>
      <c r="S231" s="35" t="str">
        <f aca="false">IF(AND(OR(E231="Vacation",E231="Sick Leave",E231="Partial Vacation",E231="Partial Sick Leave"),NOT(U231)),"Leave not allowed on this day",IF(AND(E231="Manual Work",OR(NOT(ISNUMBER(F231)),NOT(ISNUMBER(G231)))),"Enter start and end",IF(AND(OR(E231="Partial Vacation",E231="Partial Sick Leave"),OR(NOT(ISNUMBER(H231)),NOT(ISNUMBER(I231)))),"Enter leave from and to",IF(AND(ISNUMBER(F231),ISNUMBER(G231),G231&lt;=F231),"End is before start",IF(AND(ISNUMBER(H231),ISNUMBER(I231),I231&lt;=H231),"Leave end is before start",IF(AND(ISNUMBER(F231),ISNUMBER(G231),ISNUMBER(H231),ISNUMBER(I231),F231&lt;I231,H231&lt;G231),"Work and leave hours overlap",IF(AND(E231&lt;&gt;"",WEEKDAY(A231)=7),"Saturday - administrator only","")))))))</f>
        <v/>
      </c>
      <c r="T231" s="36" t="n">
        <f aca="false">MONTH(A231)</f>
        <v>8</v>
      </c>
      <c r="U231" s="37" t="b">
        <f aca="false">OR(C231="Workday",C231="Eve")</f>
        <v>1</v>
      </c>
      <c r="V231" s="34" t="n">
        <f aca="false">IF(C231="Eve",Settings!$B$8,Settings!$B$7)</f>
        <v>0.6875</v>
      </c>
      <c r="W231" s="14" t="n">
        <f aca="false">IF(U231,(V231-Settings!$B$6)*24,0)</f>
        <v>8.5</v>
      </c>
    </row>
    <row r="232" customFormat="false" ht="15" hidden="false" customHeight="false" outlineLevel="0" collapsed="false">
      <c r="A232" s="29" t="n">
        <v>46248</v>
      </c>
      <c r="B232" s="30" t="str">
        <f aca="false">CHOOSE(WEEKDAY(A232),"Sun","Mon","Tue","Wed","Thu","Fri","Sat")</f>
        <v>Fri</v>
      </c>
      <c r="C232" s="30" t="str">
        <f aca="false">IF(IFERROR(INDEX(Holidays!$D$5:$D$60,MATCH(A232,Holidays!$A$5:$A$60,0)),"")="Holiday","Holiday",IF(WEEKDAY(A232)&gt;=6,"Weekend",IF(IFERROR(INDEX(Holidays!$D$5:$D$60,MATCH(A232,Holidays!$A$5:$A$60,0)),"")="Eve","Eve","Workday")))</f>
        <v>Weekend</v>
      </c>
      <c r="D232" s="18" t="str">
        <f aca="false">IFERROR(INDEX(Holidays!$C$5:$C$60,MATCH(A232,Holidays!$A$5:$A$60,0)),"")</f>
        <v/>
      </c>
      <c r="E232" s="31"/>
      <c r="F232" s="32"/>
      <c r="G232" s="32"/>
      <c r="H232" s="32"/>
      <c r="I232" s="32"/>
      <c r="J232" s="31"/>
      <c r="K232" s="33" t="str">
        <f aca="false">IF(E232&lt;&gt;"",E232,IF(U232,"Present",IF(C232="Holiday","Holiday","Weekend")))</f>
        <v>Weekend</v>
      </c>
      <c r="L232" s="34" t="str">
        <f aca="false">IF(OR(K232="Present",K232="Manual Work",K232="Partial Vacation",K232="Partial Sick Leave"),IF(ISNUMBER(F232),F232,IF(AND(K232="Present",U232),Settings!$B$6,"")),"")</f>
        <v/>
      </c>
      <c r="M232" s="34" t="str">
        <f aca="false">IF(OR(K232="Present",K232="Manual Work",K232="Partial Vacation",K232="Partial Sick Leave"),IF(ISNUMBER(G232),G232,IF(AND(K232="Present",U232),V232,"")),"")</f>
        <v/>
      </c>
      <c r="N232" s="14" t="n">
        <f aca="false">IF(AND(ISNUMBER(L232),ISNUMBER(M232)),MAX(0,(M232-L232)*24),0)</f>
        <v>0</v>
      </c>
      <c r="O232" s="14" t="n">
        <f aca="false">IF(NOT(U232),0,IF(K232="Vacation",IF(C232="Eve",Settings!$B$9*Settings!$B$11,W232),IF(K232="Partial Vacation",IF(AND(ISNUMBER(H232),ISNUMBER(I232)),MAX(0,(I232-H232)*24),0),0)))</f>
        <v>0</v>
      </c>
      <c r="P232" s="14" t="n">
        <f aca="false">IF(NOT(U232),0,IF(K232="Sick Leave",W232,IF(K232="Partial Sick Leave",IF(AND(ISNUMBER(H232),ISNUMBER(I232)),MAX(0,(I232-H232)*24),0),0)))</f>
        <v>0</v>
      </c>
      <c r="Q232" s="14" t="n">
        <f aca="false">IF(NOT(U232),0,IF(K232="Vacation",IF(C232="Eve",Settings!$B$11,1),IF(K232="Partial Vacation",O232/Settings!$B$9,0)))</f>
        <v>0</v>
      </c>
      <c r="R232" s="14" t="n">
        <f aca="false">IF(NOT(U232),0,IF(K232="Sick Leave",1,IF(K232="Partial Sick Leave",P232/Settings!$B$9,0)))</f>
        <v>0</v>
      </c>
      <c r="S232" s="35" t="str">
        <f aca="false">IF(AND(OR(E232="Vacation",E232="Sick Leave",E232="Partial Vacation",E232="Partial Sick Leave"),NOT(U232)),"Leave not allowed on this day",IF(AND(E232="Manual Work",OR(NOT(ISNUMBER(F232)),NOT(ISNUMBER(G232)))),"Enter start and end",IF(AND(OR(E232="Partial Vacation",E232="Partial Sick Leave"),OR(NOT(ISNUMBER(H232)),NOT(ISNUMBER(I232)))),"Enter leave from and to",IF(AND(ISNUMBER(F232),ISNUMBER(G232),G232&lt;=F232),"End is before start",IF(AND(ISNUMBER(H232),ISNUMBER(I232),I232&lt;=H232),"Leave end is before start",IF(AND(ISNUMBER(F232),ISNUMBER(G232),ISNUMBER(H232),ISNUMBER(I232),F232&lt;I232,H232&lt;G232),"Work and leave hours overlap",IF(AND(E232&lt;&gt;"",WEEKDAY(A232)=7),"Saturday - administrator only","")))))))</f>
        <v/>
      </c>
      <c r="T232" s="36" t="n">
        <f aca="false">MONTH(A232)</f>
        <v>8</v>
      </c>
      <c r="U232" s="37" t="b">
        <f aca="false">OR(C232="Workday",C232="Eve")</f>
        <v>0</v>
      </c>
      <c r="V232" s="34" t="n">
        <f aca="false">IF(C232="Eve",Settings!$B$8,Settings!$B$7)</f>
        <v>0.6875</v>
      </c>
      <c r="W232" s="14" t="n">
        <f aca="false">IF(U232,(V232-Settings!$B$6)*24,0)</f>
        <v>0</v>
      </c>
    </row>
    <row r="233" customFormat="false" ht="15" hidden="false" customHeight="false" outlineLevel="0" collapsed="false">
      <c r="A233" s="29" t="n">
        <v>46249</v>
      </c>
      <c r="B233" s="30" t="str">
        <f aca="false">CHOOSE(WEEKDAY(A233),"Sun","Mon","Tue","Wed","Thu","Fri","Sat")</f>
        <v>Sat</v>
      </c>
      <c r="C233" s="30" t="str">
        <f aca="false">IF(IFERROR(INDEX(Holidays!$D$5:$D$60,MATCH(A233,Holidays!$A$5:$A$60,0)),"")="Holiday","Holiday",IF(WEEKDAY(A233)&gt;=6,"Weekend",IF(IFERROR(INDEX(Holidays!$D$5:$D$60,MATCH(A233,Holidays!$A$5:$A$60,0)),"")="Eve","Eve","Workday")))</f>
        <v>Weekend</v>
      </c>
      <c r="D233" s="18" t="str">
        <f aca="false">IFERROR(INDEX(Holidays!$C$5:$C$60,MATCH(A233,Holidays!$A$5:$A$60,0)),"")</f>
        <v/>
      </c>
      <c r="E233" s="31"/>
      <c r="F233" s="32"/>
      <c r="G233" s="32"/>
      <c r="H233" s="32"/>
      <c r="I233" s="32"/>
      <c r="J233" s="31"/>
      <c r="K233" s="33" t="str">
        <f aca="false">IF(E233&lt;&gt;"",E233,IF(U233,"Present",IF(C233="Holiday","Holiday","Weekend")))</f>
        <v>Weekend</v>
      </c>
      <c r="L233" s="34" t="str">
        <f aca="false">IF(OR(K233="Present",K233="Manual Work",K233="Partial Vacation",K233="Partial Sick Leave"),IF(ISNUMBER(F233),F233,IF(AND(K233="Present",U233),Settings!$B$6,"")),"")</f>
        <v/>
      </c>
      <c r="M233" s="34" t="str">
        <f aca="false">IF(OR(K233="Present",K233="Manual Work",K233="Partial Vacation",K233="Partial Sick Leave"),IF(ISNUMBER(G233),G233,IF(AND(K233="Present",U233),V233,"")),"")</f>
        <v/>
      </c>
      <c r="N233" s="14" t="n">
        <f aca="false">IF(AND(ISNUMBER(L233),ISNUMBER(M233)),MAX(0,(M233-L233)*24),0)</f>
        <v>0</v>
      </c>
      <c r="O233" s="14" t="n">
        <f aca="false">IF(NOT(U233),0,IF(K233="Vacation",IF(C233="Eve",Settings!$B$9*Settings!$B$11,W233),IF(K233="Partial Vacation",IF(AND(ISNUMBER(H233),ISNUMBER(I233)),MAX(0,(I233-H233)*24),0),0)))</f>
        <v>0</v>
      </c>
      <c r="P233" s="14" t="n">
        <f aca="false">IF(NOT(U233),0,IF(K233="Sick Leave",W233,IF(K233="Partial Sick Leave",IF(AND(ISNUMBER(H233),ISNUMBER(I233)),MAX(0,(I233-H233)*24),0),0)))</f>
        <v>0</v>
      </c>
      <c r="Q233" s="14" t="n">
        <f aca="false">IF(NOT(U233),0,IF(K233="Vacation",IF(C233="Eve",Settings!$B$11,1),IF(K233="Partial Vacation",O233/Settings!$B$9,0)))</f>
        <v>0</v>
      </c>
      <c r="R233" s="14" t="n">
        <f aca="false">IF(NOT(U233),0,IF(K233="Sick Leave",1,IF(K233="Partial Sick Leave",P233/Settings!$B$9,0)))</f>
        <v>0</v>
      </c>
      <c r="S233" s="35" t="str">
        <f aca="false">IF(AND(OR(E233="Vacation",E233="Sick Leave",E233="Partial Vacation",E233="Partial Sick Leave"),NOT(U233)),"Leave not allowed on this day",IF(AND(E233="Manual Work",OR(NOT(ISNUMBER(F233)),NOT(ISNUMBER(G233)))),"Enter start and end",IF(AND(OR(E233="Partial Vacation",E233="Partial Sick Leave"),OR(NOT(ISNUMBER(H233)),NOT(ISNUMBER(I233)))),"Enter leave from and to",IF(AND(ISNUMBER(F233),ISNUMBER(G233),G233&lt;=F233),"End is before start",IF(AND(ISNUMBER(H233),ISNUMBER(I233),I233&lt;=H233),"Leave end is before start",IF(AND(ISNUMBER(F233),ISNUMBER(G233),ISNUMBER(H233),ISNUMBER(I233),F233&lt;I233,H233&lt;G233),"Work and leave hours overlap",IF(AND(E233&lt;&gt;"",WEEKDAY(A233)=7),"Saturday - administrator only","")))))))</f>
        <v/>
      </c>
      <c r="T233" s="36" t="n">
        <f aca="false">MONTH(A233)</f>
        <v>8</v>
      </c>
      <c r="U233" s="37" t="b">
        <f aca="false">OR(C233="Workday",C233="Eve")</f>
        <v>0</v>
      </c>
      <c r="V233" s="34" t="n">
        <f aca="false">IF(C233="Eve",Settings!$B$8,Settings!$B$7)</f>
        <v>0.6875</v>
      </c>
      <c r="W233" s="14" t="n">
        <f aca="false">IF(U233,(V233-Settings!$B$6)*24,0)</f>
        <v>0</v>
      </c>
    </row>
    <row r="234" customFormat="false" ht="15" hidden="false" customHeight="false" outlineLevel="0" collapsed="false">
      <c r="A234" s="29" t="n">
        <v>46250</v>
      </c>
      <c r="B234" s="30" t="str">
        <f aca="false">CHOOSE(WEEKDAY(A234),"Sun","Mon","Tue","Wed","Thu","Fri","Sat")</f>
        <v>Sun</v>
      </c>
      <c r="C234" s="30" t="str">
        <f aca="false">IF(IFERROR(INDEX(Holidays!$D$5:$D$60,MATCH(A234,Holidays!$A$5:$A$60,0)),"")="Holiday","Holiday",IF(WEEKDAY(A234)&gt;=6,"Weekend",IF(IFERROR(INDEX(Holidays!$D$5:$D$60,MATCH(A234,Holidays!$A$5:$A$60,0)),"")="Eve","Eve","Workday")))</f>
        <v>Workday</v>
      </c>
      <c r="D234" s="18" t="str">
        <f aca="false">IFERROR(INDEX(Holidays!$C$5:$C$60,MATCH(A234,Holidays!$A$5:$A$60,0)),"")</f>
        <v/>
      </c>
      <c r="E234" s="31"/>
      <c r="F234" s="32"/>
      <c r="G234" s="32"/>
      <c r="H234" s="32"/>
      <c r="I234" s="32"/>
      <c r="J234" s="31"/>
      <c r="K234" s="33" t="str">
        <f aca="false">IF(E234&lt;&gt;"",E234,IF(U234,"Present",IF(C234="Holiday","Holiday","Weekend")))</f>
        <v>Present</v>
      </c>
      <c r="L234" s="34" t="n">
        <f aca="false">IF(OR(K234="Present",K234="Manual Work",K234="Partial Vacation",K234="Partial Sick Leave"),IF(ISNUMBER(F234),F234,IF(AND(K234="Present",U234),Settings!$B$6,"")),"")</f>
        <v>0.333333333333333</v>
      </c>
      <c r="M234" s="34" t="n">
        <f aca="false">IF(OR(K234="Present",K234="Manual Work",K234="Partial Vacation",K234="Partial Sick Leave"),IF(ISNUMBER(G234),G234,IF(AND(K234="Present",U234),V234,"")),"")</f>
        <v>0.6875</v>
      </c>
      <c r="N234" s="14" t="n">
        <f aca="false">IF(AND(ISNUMBER(L234),ISNUMBER(M234)),MAX(0,(M234-L234)*24),0)</f>
        <v>8.5</v>
      </c>
      <c r="O234" s="14" t="n">
        <f aca="false">IF(NOT(U234),0,IF(K234="Vacation",IF(C234="Eve",Settings!$B$9*Settings!$B$11,W234),IF(K234="Partial Vacation",IF(AND(ISNUMBER(H234),ISNUMBER(I234)),MAX(0,(I234-H234)*24),0),0)))</f>
        <v>0</v>
      </c>
      <c r="P234" s="14" t="n">
        <f aca="false">IF(NOT(U234),0,IF(K234="Sick Leave",W234,IF(K234="Partial Sick Leave",IF(AND(ISNUMBER(H234),ISNUMBER(I234)),MAX(0,(I234-H234)*24),0),0)))</f>
        <v>0</v>
      </c>
      <c r="Q234" s="14" t="n">
        <f aca="false">IF(NOT(U234),0,IF(K234="Vacation",IF(C234="Eve",Settings!$B$11,1),IF(K234="Partial Vacation",O234/Settings!$B$9,0)))</f>
        <v>0</v>
      </c>
      <c r="R234" s="14" t="n">
        <f aca="false">IF(NOT(U234),0,IF(K234="Sick Leave",1,IF(K234="Partial Sick Leave",P234/Settings!$B$9,0)))</f>
        <v>0</v>
      </c>
      <c r="S234" s="35" t="str">
        <f aca="false">IF(AND(OR(E234="Vacation",E234="Sick Leave",E234="Partial Vacation",E234="Partial Sick Leave"),NOT(U234)),"Leave not allowed on this day",IF(AND(E234="Manual Work",OR(NOT(ISNUMBER(F234)),NOT(ISNUMBER(G234)))),"Enter start and end",IF(AND(OR(E234="Partial Vacation",E234="Partial Sick Leave"),OR(NOT(ISNUMBER(H234)),NOT(ISNUMBER(I234)))),"Enter leave from and to",IF(AND(ISNUMBER(F234),ISNUMBER(G234),G234&lt;=F234),"End is before start",IF(AND(ISNUMBER(H234),ISNUMBER(I234),I234&lt;=H234),"Leave end is before start",IF(AND(ISNUMBER(F234),ISNUMBER(G234),ISNUMBER(H234),ISNUMBER(I234),F234&lt;I234,H234&lt;G234),"Work and leave hours overlap",IF(AND(E234&lt;&gt;"",WEEKDAY(A234)=7),"Saturday - administrator only","")))))))</f>
        <v/>
      </c>
      <c r="T234" s="36" t="n">
        <f aca="false">MONTH(A234)</f>
        <v>8</v>
      </c>
      <c r="U234" s="37" t="b">
        <f aca="false">OR(C234="Workday",C234="Eve")</f>
        <v>1</v>
      </c>
      <c r="V234" s="34" t="n">
        <f aca="false">IF(C234="Eve",Settings!$B$8,Settings!$B$7)</f>
        <v>0.6875</v>
      </c>
      <c r="W234" s="14" t="n">
        <f aca="false">IF(U234,(V234-Settings!$B$6)*24,0)</f>
        <v>8.5</v>
      </c>
    </row>
    <row r="235" customFormat="false" ht="15" hidden="false" customHeight="false" outlineLevel="0" collapsed="false">
      <c r="A235" s="29" t="n">
        <v>46251</v>
      </c>
      <c r="B235" s="30" t="str">
        <f aca="false">CHOOSE(WEEKDAY(A235),"Sun","Mon","Tue","Wed","Thu","Fri","Sat")</f>
        <v>Mon</v>
      </c>
      <c r="C235" s="30" t="str">
        <f aca="false">IF(IFERROR(INDEX(Holidays!$D$5:$D$60,MATCH(A235,Holidays!$A$5:$A$60,0)),"")="Holiday","Holiday",IF(WEEKDAY(A235)&gt;=6,"Weekend",IF(IFERROR(INDEX(Holidays!$D$5:$D$60,MATCH(A235,Holidays!$A$5:$A$60,0)),"")="Eve","Eve","Workday")))</f>
        <v>Workday</v>
      </c>
      <c r="D235" s="18" t="str">
        <f aca="false">IFERROR(INDEX(Holidays!$C$5:$C$60,MATCH(A235,Holidays!$A$5:$A$60,0)),"")</f>
        <v/>
      </c>
      <c r="E235" s="31"/>
      <c r="F235" s="32"/>
      <c r="G235" s="32"/>
      <c r="H235" s="32"/>
      <c r="I235" s="32"/>
      <c r="J235" s="31"/>
      <c r="K235" s="33" t="str">
        <f aca="false">IF(E235&lt;&gt;"",E235,IF(U235,"Present",IF(C235="Holiday","Holiday","Weekend")))</f>
        <v>Present</v>
      </c>
      <c r="L235" s="34" t="n">
        <f aca="false">IF(OR(K235="Present",K235="Manual Work",K235="Partial Vacation",K235="Partial Sick Leave"),IF(ISNUMBER(F235),F235,IF(AND(K235="Present",U235),Settings!$B$6,"")),"")</f>
        <v>0.333333333333333</v>
      </c>
      <c r="M235" s="34" t="n">
        <f aca="false">IF(OR(K235="Present",K235="Manual Work",K235="Partial Vacation",K235="Partial Sick Leave"),IF(ISNUMBER(G235),G235,IF(AND(K235="Present",U235),V235,"")),"")</f>
        <v>0.6875</v>
      </c>
      <c r="N235" s="14" t="n">
        <f aca="false">IF(AND(ISNUMBER(L235),ISNUMBER(M235)),MAX(0,(M235-L235)*24),0)</f>
        <v>8.5</v>
      </c>
      <c r="O235" s="14" t="n">
        <f aca="false">IF(NOT(U235),0,IF(K235="Vacation",IF(C235="Eve",Settings!$B$9*Settings!$B$11,W235),IF(K235="Partial Vacation",IF(AND(ISNUMBER(H235),ISNUMBER(I235)),MAX(0,(I235-H235)*24),0),0)))</f>
        <v>0</v>
      </c>
      <c r="P235" s="14" t="n">
        <f aca="false">IF(NOT(U235),0,IF(K235="Sick Leave",W235,IF(K235="Partial Sick Leave",IF(AND(ISNUMBER(H235),ISNUMBER(I235)),MAX(0,(I235-H235)*24),0),0)))</f>
        <v>0</v>
      </c>
      <c r="Q235" s="14" t="n">
        <f aca="false">IF(NOT(U235),0,IF(K235="Vacation",IF(C235="Eve",Settings!$B$11,1),IF(K235="Partial Vacation",O235/Settings!$B$9,0)))</f>
        <v>0</v>
      </c>
      <c r="R235" s="14" t="n">
        <f aca="false">IF(NOT(U235),0,IF(K235="Sick Leave",1,IF(K235="Partial Sick Leave",P235/Settings!$B$9,0)))</f>
        <v>0</v>
      </c>
      <c r="S235" s="35" t="str">
        <f aca="false">IF(AND(OR(E235="Vacation",E235="Sick Leave",E235="Partial Vacation",E235="Partial Sick Leave"),NOT(U235)),"Leave not allowed on this day",IF(AND(E235="Manual Work",OR(NOT(ISNUMBER(F235)),NOT(ISNUMBER(G235)))),"Enter start and end",IF(AND(OR(E235="Partial Vacation",E235="Partial Sick Leave"),OR(NOT(ISNUMBER(H235)),NOT(ISNUMBER(I235)))),"Enter leave from and to",IF(AND(ISNUMBER(F235),ISNUMBER(G235),G235&lt;=F235),"End is before start",IF(AND(ISNUMBER(H235),ISNUMBER(I235),I235&lt;=H235),"Leave end is before start",IF(AND(ISNUMBER(F235),ISNUMBER(G235),ISNUMBER(H235),ISNUMBER(I235),F235&lt;I235,H235&lt;G235),"Work and leave hours overlap",IF(AND(E235&lt;&gt;"",WEEKDAY(A235)=7),"Saturday - administrator only","")))))))</f>
        <v/>
      </c>
      <c r="T235" s="36" t="n">
        <f aca="false">MONTH(A235)</f>
        <v>8</v>
      </c>
      <c r="U235" s="37" t="b">
        <f aca="false">OR(C235="Workday",C235="Eve")</f>
        <v>1</v>
      </c>
      <c r="V235" s="34" t="n">
        <f aca="false">IF(C235="Eve",Settings!$B$8,Settings!$B$7)</f>
        <v>0.6875</v>
      </c>
      <c r="W235" s="14" t="n">
        <f aca="false">IF(U235,(V235-Settings!$B$6)*24,0)</f>
        <v>8.5</v>
      </c>
    </row>
    <row r="236" customFormat="false" ht="15" hidden="false" customHeight="false" outlineLevel="0" collapsed="false">
      <c r="A236" s="29" t="n">
        <v>46252</v>
      </c>
      <c r="B236" s="30" t="str">
        <f aca="false">CHOOSE(WEEKDAY(A236),"Sun","Mon","Tue","Wed","Thu","Fri","Sat")</f>
        <v>Tue</v>
      </c>
      <c r="C236" s="30" t="str">
        <f aca="false">IF(IFERROR(INDEX(Holidays!$D$5:$D$60,MATCH(A236,Holidays!$A$5:$A$60,0)),"")="Holiday","Holiday",IF(WEEKDAY(A236)&gt;=6,"Weekend",IF(IFERROR(INDEX(Holidays!$D$5:$D$60,MATCH(A236,Holidays!$A$5:$A$60,0)),"")="Eve","Eve","Workday")))</f>
        <v>Workday</v>
      </c>
      <c r="D236" s="18" t="str">
        <f aca="false">IFERROR(INDEX(Holidays!$C$5:$C$60,MATCH(A236,Holidays!$A$5:$A$60,0)),"")</f>
        <v/>
      </c>
      <c r="E236" s="31"/>
      <c r="F236" s="32"/>
      <c r="G236" s="32"/>
      <c r="H236" s="32"/>
      <c r="I236" s="32"/>
      <c r="J236" s="31"/>
      <c r="K236" s="33" t="str">
        <f aca="false">IF(E236&lt;&gt;"",E236,IF(U236,"Present",IF(C236="Holiday","Holiday","Weekend")))</f>
        <v>Present</v>
      </c>
      <c r="L236" s="34" t="n">
        <f aca="false">IF(OR(K236="Present",K236="Manual Work",K236="Partial Vacation",K236="Partial Sick Leave"),IF(ISNUMBER(F236),F236,IF(AND(K236="Present",U236),Settings!$B$6,"")),"")</f>
        <v>0.333333333333333</v>
      </c>
      <c r="M236" s="34" t="n">
        <f aca="false">IF(OR(K236="Present",K236="Manual Work",K236="Partial Vacation",K236="Partial Sick Leave"),IF(ISNUMBER(G236),G236,IF(AND(K236="Present",U236),V236,"")),"")</f>
        <v>0.6875</v>
      </c>
      <c r="N236" s="14" t="n">
        <f aca="false">IF(AND(ISNUMBER(L236),ISNUMBER(M236)),MAX(0,(M236-L236)*24),0)</f>
        <v>8.5</v>
      </c>
      <c r="O236" s="14" t="n">
        <f aca="false">IF(NOT(U236),0,IF(K236="Vacation",IF(C236="Eve",Settings!$B$9*Settings!$B$11,W236),IF(K236="Partial Vacation",IF(AND(ISNUMBER(H236),ISNUMBER(I236)),MAX(0,(I236-H236)*24),0),0)))</f>
        <v>0</v>
      </c>
      <c r="P236" s="14" t="n">
        <f aca="false">IF(NOT(U236),0,IF(K236="Sick Leave",W236,IF(K236="Partial Sick Leave",IF(AND(ISNUMBER(H236),ISNUMBER(I236)),MAX(0,(I236-H236)*24),0),0)))</f>
        <v>0</v>
      </c>
      <c r="Q236" s="14" t="n">
        <f aca="false">IF(NOT(U236),0,IF(K236="Vacation",IF(C236="Eve",Settings!$B$11,1),IF(K236="Partial Vacation",O236/Settings!$B$9,0)))</f>
        <v>0</v>
      </c>
      <c r="R236" s="14" t="n">
        <f aca="false">IF(NOT(U236),0,IF(K236="Sick Leave",1,IF(K236="Partial Sick Leave",P236/Settings!$B$9,0)))</f>
        <v>0</v>
      </c>
      <c r="S236" s="35" t="str">
        <f aca="false">IF(AND(OR(E236="Vacation",E236="Sick Leave",E236="Partial Vacation",E236="Partial Sick Leave"),NOT(U236)),"Leave not allowed on this day",IF(AND(E236="Manual Work",OR(NOT(ISNUMBER(F236)),NOT(ISNUMBER(G236)))),"Enter start and end",IF(AND(OR(E236="Partial Vacation",E236="Partial Sick Leave"),OR(NOT(ISNUMBER(H236)),NOT(ISNUMBER(I236)))),"Enter leave from and to",IF(AND(ISNUMBER(F236),ISNUMBER(G236),G236&lt;=F236),"End is before start",IF(AND(ISNUMBER(H236),ISNUMBER(I236),I236&lt;=H236),"Leave end is before start",IF(AND(ISNUMBER(F236),ISNUMBER(G236),ISNUMBER(H236),ISNUMBER(I236),F236&lt;I236,H236&lt;G236),"Work and leave hours overlap",IF(AND(E236&lt;&gt;"",WEEKDAY(A236)=7),"Saturday - administrator only","")))))))</f>
        <v/>
      </c>
      <c r="T236" s="36" t="n">
        <f aca="false">MONTH(A236)</f>
        <v>8</v>
      </c>
      <c r="U236" s="37" t="b">
        <f aca="false">OR(C236="Workday",C236="Eve")</f>
        <v>1</v>
      </c>
      <c r="V236" s="34" t="n">
        <f aca="false">IF(C236="Eve",Settings!$B$8,Settings!$B$7)</f>
        <v>0.6875</v>
      </c>
      <c r="W236" s="14" t="n">
        <f aca="false">IF(U236,(V236-Settings!$B$6)*24,0)</f>
        <v>8.5</v>
      </c>
    </row>
    <row r="237" customFormat="false" ht="15" hidden="false" customHeight="false" outlineLevel="0" collapsed="false">
      <c r="A237" s="29" t="n">
        <v>46253</v>
      </c>
      <c r="B237" s="30" t="str">
        <f aca="false">CHOOSE(WEEKDAY(A237),"Sun","Mon","Tue","Wed","Thu","Fri","Sat")</f>
        <v>Wed</v>
      </c>
      <c r="C237" s="30" t="str">
        <f aca="false">IF(IFERROR(INDEX(Holidays!$D$5:$D$60,MATCH(A237,Holidays!$A$5:$A$60,0)),"")="Holiday","Holiday",IF(WEEKDAY(A237)&gt;=6,"Weekend",IF(IFERROR(INDEX(Holidays!$D$5:$D$60,MATCH(A237,Holidays!$A$5:$A$60,0)),"")="Eve","Eve","Workday")))</f>
        <v>Workday</v>
      </c>
      <c r="D237" s="18" t="str">
        <f aca="false">IFERROR(INDEX(Holidays!$C$5:$C$60,MATCH(A237,Holidays!$A$5:$A$60,0)),"")</f>
        <v/>
      </c>
      <c r="E237" s="31"/>
      <c r="F237" s="32"/>
      <c r="G237" s="32"/>
      <c r="H237" s="32"/>
      <c r="I237" s="32"/>
      <c r="J237" s="31"/>
      <c r="K237" s="33" t="str">
        <f aca="false">IF(E237&lt;&gt;"",E237,IF(U237,"Present",IF(C237="Holiday","Holiday","Weekend")))</f>
        <v>Present</v>
      </c>
      <c r="L237" s="34" t="n">
        <f aca="false">IF(OR(K237="Present",K237="Manual Work",K237="Partial Vacation",K237="Partial Sick Leave"),IF(ISNUMBER(F237),F237,IF(AND(K237="Present",U237),Settings!$B$6,"")),"")</f>
        <v>0.333333333333333</v>
      </c>
      <c r="M237" s="34" t="n">
        <f aca="false">IF(OR(K237="Present",K237="Manual Work",K237="Partial Vacation",K237="Partial Sick Leave"),IF(ISNUMBER(G237),G237,IF(AND(K237="Present",U237),V237,"")),"")</f>
        <v>0.6875</v>
      </c>
      <c r="N237" s="14" t="n">
        <f aca="false">IF(AND(ISNUMBER(L237),ISNUMBER(M237)),MAX(0,(M237-L237)*24),0)</f>
        <v>8.5</v>
      </c>
      <c r="O237" s="14" t="n">
        <f aca="false">IF(NOT(U237),0,IF(K237="Vacation",IF(C237="Eve",Settings!$B$9*Settings!$B$11,W237),IF(K237="Partial Vacation",IF(AND(ISNUMBER(H237),ISNUMBER(I237)),MAX(0,(I237-H237)*24),0),0)))</f>
        <v>0</v>
      </c>
      <c r="P237" s="14" t="n">
        <f aca="false">IF(NOT(U237),0,IF(K237="Sick Leave",W237,IF(K237="Partial Sick Leave",IF(AND(ISNUMBER(H237),ISNUMBER(I237)),MAX(0,(I237-H237)*24),0),0)))</f>
        <v>0</v>
      </c>
      <c r="Q237" s="14" t="n">
        <f aca="false">IF(NOT(U237),0,IF(K237="Vacation",IF(C237="Eve",Settings!$B$11,1),IF(K237="Partial Vacation",O237/Settings!$B$9,0)))</f>
        <v>0</v>
      </c>
      <c r="R237" s="14" t="n">
        <f aca="false">IF(NOT(U237),0,IF(K237="Sick Leave",1,IF(K237="Partial Sick Leave",P237/Settings!$B$9,0)))</f>
        <v>0</v>
      </c>
      <c r="S237" s="35" t="str">
        <f aca="false">IF(AND(OR(E237="Vacation",E237="Sick Leave",E237="Partial Vacation",E237="Partial Sick Leave"),NOT(U237)),"Leave not allowed on this day",IF(AND(E237="Manual Work",OR(NOT(ISNUMBER(F237)),NOT(ISNUMBER(G237)))),"Enter start and end",IF(AND(OR(E237="Partial Vacation",E237="Partial Sick Leave"),OR(NOT(ISNUMBER(H237)),NOT(ISNUMBER(I237)))),"Enter leave from and to",IF(AND(ISNUMBER(F237),ISNUMBER(G237),G237&lt;=F237),"End is before start",IF(AND(ISNUMBER(H237),ISNUMBER(I237),I237&lt;=H237),"Leave end is before start",IF(AND(ISNUMBER(F237),ISNUMBER(G237),ISNUMBER(H237),ISNUMBER(I237),F237&lt;I237,H237&lt;G237),"Work and leave hours overlap",IF(AND(E237&lt;&gt;"",WEEKDAY(A237)=7),"Saturday - administrator only","")))))))</f>
        <v/>
      </c>
      <c r="T237" s="36" t="n">
        <f aca="false">MONTH(A237)</f>
        <v>8</v>
      </c>
      <c r="U237" s="37" t="b">
        <f aca="false">OR(C237="Workday",C237="Eve")</f>
        <v>1</v>
      </c>
      <c r="V237" s="34" t="n">
        <f aca="false">IF(C237="Eve",Settings!$B$8,Settings!$B$7)</f>
        <v>0.6875</v>
      </c>
      <c r="W237" s="14" t="n">
        <f aca="false">IF(U237,(V237-Settings!$B$6)*24,0)</f>
        <v>8.5</v>
      </c>
    </row>
    <row r="238" customFormat="false" ht="15" hidden="false" customHeight="false" outlineLevel="0" collapsed="false">
      <c r="A238" s="29" t="n">
        <v>46254</v>
      </c>
      <c r="B238" s="30" t="str">
        <f aca="false">CHOOSE(WEEKDAY(A238),"Sun","Mon","Tue","Wed","Thu","Fri","Sat")</f>
        <v>Thu</v>
      </c>
      <c r="C238" s="30" t="str">
        <f aca="false">IF(IFERROR(INDEX(Holidays!$D$5:$D$60,MATCH(A238,Holidays!$A$5:$A$60,0)),"")="Holiday","Holiday",IF(WEEKDAY(A238)&gt;=6,"Weekend",IF(IFERROR(INDEX(Holidays!$D$5:$D$60,MATCH(A238,Holidays!$A$5:$A$60,0)),"")="Eve","Eve","Workday")))</f>
        <v>Workday</v>
      </c>
      <c r="D238" s="18" t="str">
        <f aca="false">IFERROR(INDEX(Holidays!$C$5:$C$60,MATCH(A238,Holidays!$A$5:$A$60,0)),"")</f>
        <v/>
      </c>
      <c r="E238" s="31"/>
      <c r="F238" s="32"/>
      <c r="G238" s="32"/>
      <c r="H238" s="32"/>
      <c r="I238" s="32"/>
      <c r="J238" s="31"/>
      <c r="K238" s="33" t="str">
        <f aca="false">IF(E238&lt;&gt;"",E238,IF(U238,"Present",IF(C238="Holiday","Holiday","Weekend")))</f>
        <v>Present</v>
      </c>
      <c r="L238" s="34" t="n">
        <f aca="false">IF(OR(K238="Present",K238="Manual Work",K238="Partial Vacation",K238="Partial Sick Leave"),IF(ISNUMBER(F238),F238,IF(AND(K238="Present",U238),Settings!$B$6,"")),"")</f>
        <v>0.333333333333333</v>
      </c>
      <c r="M238" s="34" t="n">
        <f aca="false">IF(OR(K238="Present",K238="Manual Work",K238="Partial Vacation",K238="Partial Sick Leave"),IF(ISNUMBER(G238),G238,IF(AND(K238="Present",U238),V238,"")),"")</f>
        <v>0.6875</v>
      </c>
      <c r="N238" s="14" t="n">
        <f aca="false">IF(AND(ISNUMBER(L238),ISNUMBER(M238)),MAX(0,(M238-L238)*24),0)</f>
        <v>8.5</v>
      </c>
      <c r="O238" s="14" t="n">
        <f aca="false">IF(NOT(U238),0,IF(K238="Vacation",IF(C238="Eve",Settings!$B$9*Settings!$B$11,W238),IF(K238="Partial Vacation",IF(AND(ISNUMBER(H238),ISNUMBER(I238)),MAX(0,(I238-H238)*24),0),0)))</f>
        <v>0</v>
      </c>
      <c r="P238" s="14" t="n">
        <f aca="false">IF(NOT(U238),0,IF(K238="Sick Leave",W238,IF(K238="Partial Sick Leave",IF(AND(ISNUMBER(H238),ISNUMBER(I238)),MAX(0,(I238-H238)*24),0),0)))</f>
        <v>0</v>
      </c>
      <c r="Q238" s="14" t="n">
        <f aca="false">IF(NOT(U238),0,IF(K238="Vacation",IF(C238="Eve",Settings!$B$11,1),IF(K238="Partial Vacation",O238/Settings!$B$9,0)))</f>
        <v>0</v>
      </c>
      <c r="R238" s="14" t="n">
        <f aca="false">IF(NOT(U238),0,IF(K238="Sick Leave",1,IF(K238="Partial Sick Leave",P238/Settings!$B$9,0)))</f>
        <v>0</v>
      </c>
      <c r="S238" s="35" t="str">
        <f aca="false">IF(AND(OR(E238="Vacation",E238="Sick Leave",E238="Partial Vacation",E238="Partial Sick Leave"),NOT(U238)),"Leave not allowed on this day",IF(AND(E238="Manual Work",OR(NOT(ISNUMBER(F238)),NOT(ISNUMBER(G238)))),"Enter start and end",IF(AND(OR(E238="Partial Vacation",E238="Partial Sick Leave"),OR(NOT(ISNUMBER(H238)),NOT(ISNUMBER(I238)))),"Enter leave from and to",IF(AND(ISNUMBER(F238),ISNUMBER(G238),G238&lt;=F238),"End is before start",IF(AND(ISNUMBER(H238),ISNUMBER(I238),I238&lt;=H238),"Leave end is before start",IF(AND(ISNUMBER(F238),ISNUMBER(G238),ISNUMBER(H238),ISNUMBER(I238),F238&lt;I238,H238&lt;G238),"Work and leave hours overlap",IF(AND(E238&lt;&gt;"",WEEKDAY(A238)=7),"Saturday - administrator only","")))))))</f>
        <v/>
      </c>
      <c r="T238" s="36" t="n">
        <f aca="false">MONTH(A238)</f>
        <v>8</v>
      </c>
      <c r="U238" s="37" t="b">
        <f aca="false">OR(C238="Workday",C238="Eve")</f>
        <v>1</v>
      </c>
      <c r="V238" s="34" t="n">
        <f aca="false">IF(C238="Eve",Settings!$B$8,Settings!$B$7)</f>
        <v>0.6875</v>
      </c>
      <c r="W238" s="14" t="n">
        <f aca="false">IF(U238,(V238-Settings!$B$6)*24,0)</f>
        <v>8.5</v>
      </c>
    </row>
    <row r="239" customFormat="false" ht="15" hidden="false" customHeight="false" outlineLevel="0" collapsed="false">
      <c r="A239" s="29" t="n">
        <v>46255</v>
      </c>
      <c r="B239" s="30" t="str">
        <f aca="false">CHOOSE(WEEKDAY(A239),"Sun","Mon","Tue","Wed","Thu","Fri","Sat")</f>
        <v>Fri</v>
      </c>
      <c r="C239" s="30" t="str">
        <f aca="false">IF(IFERROR(INDEX(Holidays!$D$5:$D$60,MATCH(A239,Holidays!$A$5:$A$60,0)),"")="Holiday","Holiday",IF(WEEKDAY(A239)&gt;=6,"Weekend",IF(IFERROR(INDEX(Holidays!$D$5:$D$60,MATCH(A239,Holidays!$A$5:$A$60,0)),"")="Eve","Eve","Workday")))</f>
        <v>Weekend</v>
      </c>
      <c r="D239" s="18" t="str">
        <f aca="false">IFERROR(INDEX(Holidays!$C$5:$C$60,MATCH(A239,Holidays!$A$5:$A$60,0)),"")</f>
        <v/>
      </c>
      <c r="E239" s="31"/>
      <c r="F239" s="32"/>
      <c r="G239" s="32"/>
      <c r="H239" s="32"/>
      <c r="I239" s="32"/>
      <c r="J239" s="31"/>
      <c r="K239" s="33" t="str">
        <f aca="false">IF(E239&lt;&gt;"",E239,IF(U239,"Present",IF(C239="Holiday","Holiday","Weekend")))</f>
        <v>Weekend</v>
      </c>
      <c r="L239" s="34" t="str">
        <f aca="false">IF(OR(K239="Present",K239="Manual Work",K239="Partial Vacation",K239="Partial Sick Leave"),IF(ISNUMBER(F239),F239,IF(AND(K239="Present",U239),Settings!$B$6,"")),"")</f>
        <v/>
      </c>
      <c r="M239" s="34" t="str">
        <f aca="false">IF(OR(K239="Present",K239="Manual Work",K239="Partial Vacation",K239="Partial Sick Leave"),IF(ISNUMBER(G239),G239,IF(AND(K239="Present",U239),V239,"")),"")</f>
        <v/>
      </c>
      <c r="N239" s="14" t="n">
        <f aca="false">IF(AND(ISNUMBER(L239),ISNUMBER(M239)),MAX(0,(M239-L239)*24),0)</f>
        <v>0</v>
      </c>
      <c r="O239" s="14" t="n">
        <f aca="false">IF(NOT(U239),0,IF(K239="Vacation",IF(C239="Eve",Settings!$B$9*Settings!$B$11,W239),IF(K239="Partial Vacation",IF(AND(ISNUMBER(H239),ISNUMBER(I239)),MAX(0,(I239-H239)*24),0),0)))</f>
        <v>0</v>
      </c>
      <c r="P239" s="14" t="n">
        <f aca="false">IF(NOT(U239),0,IF(K239="Sick Leave",W239,IF(K239="Partial Sick Leave",IF(AND(ISNUMBER(H239),ISNUMBER(I239)),MAX(0,(I239-H239)*24),0),0)))</f>
        <v>0</v>
      </c>
      <c r="Q239" s="14" t="n">
        <f aca="false">IF(NOT(U239),0,IF(K239="Vacation",IF(C239="Eve",Settings!$B$11,1),IF(K239="Partial Vacation",O239/Settings!$B$9,0)))</f>
        <v>0</v>
      </c>
      <c r="R239" s="14" t="n">
        <f aca="false">IF(NOT(U239),0,IF(K239="Sick Leave",1,IF(K239="Partial Sick Leave",P239/Settings!$B$9,0)))</f>
        <v>0</v>
      </c>
      <c r="S239" s="35" t="str">
        <f aca="false">IF(AND(OR(E239="Vacation",E239="Sick Leave",E239="Partial Vacation",E239="Partial Sick Leave"),NOT(U239)),"Leave not allowed on this day",IF(AND(E239="Manual Work",OR(NOT(ISNUMBER(F239)),NOT(ISNUMBER(G239)))),"Enter start and end",IF(AND(OR(E239="Partial Vacation",E239="Partial Sick Leave"),OR(NOT(ISNUMBER(H239)),NOT(ISNUMBER(I239)))),"Enter leave from and to",IF(AND(ISNUMBER(F239),ISNUMBER(G239),G239&lt;=F239),"End is before start",IF(AND(ISNUMBER(H239),ISNUMBER(I239),I239&lt;=H239),"Leave end is before start",IF(AND(ISNUMBER(F239),ISNUMBER(G239),ISNUMBER(H239),ISNUMBER(I239),F239&lt;I239,H239&lt;G239),"Work and leave hours overlap",IF(AND(E239&lt;&gt;"",WEEKDAY(A239)=7),"Saturday - administrator only","")))))))</f>
        <v/>
      </c>
      <c r="T239" s="36" t="n">
        <f aca="false">MONTH(A239)</f>
        <v>8</v>
      </c>
      <c r="U239" s="37" t="b">
        <f aca="false">OR(C239="Workday",C239="Eve")</f>
        <v>0</v>
      </c>
      <c r="V239" s="34" t="n">
        <f aca="false">IF(C239="Eve",Settings!$B$8,Settings!$B$7)</f>
        <v>0.6875</v>
      </c>
      <c r="W239" s="14" t="n">
        <f aca="false">IF(U239,(V239-Settings!$B$6)*24,0)</f>
        <v>0</v>
      </c>
    </row>
    <row r="240" customFormat="false" ht="15" hidden="false" customHeight="false" outlineLevel="0" collapsed="false">
      <c r="A240" s="29" t="n">
        <v>46256</v>
      </c>
      <c r="B240" s="30" t="str">
        <f aca="false">CHOOSE(WEEKDAY(A240),"Sun","Mon","Tue","Wed","Thu","Fri","Sat")</f>
        <v>Sat</v>
      </c>
      <c r="C240" s="30" t="str">
        <f aca="false">IF(IFERROR(INDEX(Holidays!$D$5:$D$60,MATCH(A240,Holidays!$A$5:$A$60,0)),"")="Holiday","Holiday",IF(WEEKDAY(A240)&gt;=6,"Weekend",IF(IFERROR(INDEX(Holidays!$D$5:$D$60,MATCH(A240,Holidays!$A$5:$A$60,0)),"")="Eve","Eve","Workday")))</f>
        <v>Weekend</v>
      </c>
      <c r="D240" s="18" t="str">
        <f aca="false">IFERROR(INDEX(Holidays!$C$5:$C$60,MATCH(A240,Holidays!$A$5:$A$60,0)),"")</f>
        <v/>
      </c>
      <c r="E240" s="31"/>
      <c r="F240" s="32"/>
      <c r="G240" s="32"/>
      <c r="H240" s="32"/>
      <c r="I240" s="32"/>
      <c r="J240" s="31"/>
      <c r="K240" s="33" t="str">
        <f aca="false">IF(E240&lt;&gt;"",E240,IF(U240,"Present",IF(C240="Holiday","Holiday","Weekend")))</f>
        <v>Weekend</v>
      </c>
      <c r="L240" s="34" t="str">
        <f aca="false">IF(OR(K240="Present",K240="Manual Work",K240="Partial Vacation",K240="Partial Sick Leave"),IF(ISNUMBER(F240),F240,IF(AND(K240="Present",U240),Settings!$B$6,"")),"")</f>
        <v/>
      </c>
      <c r="M240" s="34" t="str">
        <f aca="false">IF(OR(K240="Present",K240="Manual Work",K240="Partial Vacation",K240="Partial Sick Leave"),IF(ISNUMBER(G240),G240,IF(AND(K240="Present",U240),V240,"")),"")</f>
        <v/>
      </c>
      <c r="N240" s="14" t="n">
        <f aca="false">IF(AND(ISNUMBER(L240),ISNUMBER(M240)),MAX(0,(M240-L240)*24),0)</f>
        <v>0</v>
      </c>
      <c r="O240" s="14" t="n">
        <f aca="false">IF(NOT(U240),0,IF(K240="Vacation",IF(C240="Eve",Settings!$B$9*Settings!$B$11,W240),IF(K240="Partial Vacation",IF(AND(ISNUMBER(H240),ISNUMBER(I240)),MAX(0,(I240-H240)*24),0),0)))</f>
        <v>0</v>
      </c>
      <c r="P240" s="14" t="n">
        <f aca="false">IF(NOT(U240),0,IF(K240="Sick Leave",W240,IF(K240="Partial Sick Leave",IF(AND(ISNUMBER(H240),ISNUMBER(I240)),MAX(0,(I240-H240)*24),0),0)))</f>
        <v>0</v>
      </c>
      <c r="Q240" s="14" t="n">
        <f aca="false">IF(NOT(U240),0,IF(K240="Vacation",IF(C240="Eve",Settings!$B$11,1),IF(K240="Partial Vacation",O240/Settings!$B$9,0)))</f>
        <v>0</v>
      </c>
      <c r="R240" s="14" t="n">
        <f aca="false">IF(NOT(U240),0,IF(K240="Sick Leave",1,IF(K240="Partial Sick Leave",P240/Settings!$B$9,0)))</f>
        <v>0</v>
      </c>
      <c r="S240" s="35" t="str">
        <f aca="false">IF(AND(OR(E240="Vacation",E240="Sick Leave",E240="Partial Vacation",E240="Partial Sick Leave"),NOT(U240)),"Leave not allowed on this day",IF(AND(E240="Manual Work",OR(NOT(ISNUMBER(F240)),NOT(ISNUMBER(G240)))),"Enter start and end",IF(AND(OR(E240="Partial Vacation",E240="Partial Sick Leave"),OR(NOT(ISNUMBER(H240)),NOT(ISNUMBER(I240)))),"Enter leave from and to",IF(AND(ISNUMBER(F240),ISNUMBER(G240),G240&lt;=F240),"End is before start",IF(AND(ISNUMBER(H240),ISNUMBER(I240),I240&lt;=H240),"Leave end is before start",IF(AND(ISNUMBER(F240),ISNUMBER(G240),ISNUMBER(H240),ISNUMBER(I240),F240&lt;I240,H240&lt;G240),"Work and leave hours overlap",IF(AND(E240&lt;&gt;"",WEEKDAY(A240)=7),"Saturday - administrator only","")))))))</f>
        <v/>
      </c>
      <c r="T240" s="36" t="n">
        <f aca="false">MONTH(A240)</f>
        <v>8</v>
      </c>
      <c r="U240" s="37" t="b">
        <f aca="false">OR(C240="Workday",C240="Eve")</f>
        <v>0</v>
      </c>
      <c r="V240" s="34" t="n">
        <f aca="false">IF(C240="Eve",Settings!$B$8,Settings!$B$7)</f>
        <v>0.6875</v>
      </c>
      <c r="W240" s="14" t="n">
        <f aca="false">IF(U240,(V240-Settings!$B$6)*24,0)</f>
        <v>0</v>
      </c>
    </row>
    <row r="241" customFormat="false" ht="15" hidden="false" customHeight="false" outlineLevel="0" collapsed="false">
      <c r="A241" s="29" t="n">
        <v>46257</v>
      </c>
      <c r="B241" s="30" t="str">
        <f aca="false">CHOOSE(WEEKDAY(A241),"Sun","Mon","Tue","Wed","Thu","Fri","Sat")</f>
        <v>Sun</v>
      </c>
      <c r="C241" s="30" t="str">
        <f aca="false">IF(IFERROR(INDEX(Holidays!$D$5:$D$60,MATCH(A241,Holidays!$A$5:$A$60,0)),"")="Holiday","Holiday",IF(WEEKDAY(A241)&gt;=6,"Weekend",IF(IFERROR(INDEX(Holidays!$D$5:$D$60,MATCH(A241,Holidays!$A$5:$A$60,0)),"")="Eve","Eve","Workday")))</f>
        <v>Workday</v>
      </c>
      <c r="D241" s="18" t="str">
        <f aca="false">IFERROR(INDEX(Holidays!$C$5:$C$60,MATCH(A241,Holidays!$A$5:$A$60,0)),"")</f>
        <v/>
      </c>
      <c r="E241" s="31"/>
      <c r="F241" s="32"/>
      <c r="G241" s="32"/>
      <c r="H241" s="32"/>
      <c r="I241" s="32"/>
      <c r="J241" s="31"/>
      <c r="K241" s="33" t="str">
        <f aca="false">IF(E241&lt;&gt;"",E241,IF(U241,"Present",IF(C241="Holiday","Holiday","Weekend")))</f>
        <v>Present</v>
      </c>
      <c r="L241" s="34" t="n">
        <f aca="false">IF(OR(K241="Present",K241="Manual Work",K241="Partial Vacation",K241="Partial Sick Leave"),IF(ISNUMBER(F241),F241,IF(AND(K241="Present",U241),Settings!$B$6,"")),"")</f>
        <v>0.333333333333333</v>
      </c>
      <c r="M241" s="34" t="n">
        <f aca="false">IF(OR(K241="Present",K241="Manual Work",K241="Partial Vacation",K241="Partial Sick Leave"),IF(ISNUMBER(G241),G241,IF(AND(K241="Present",U241),V241,"")),"")</f>
        <v>0.6875</v>
      </c>
      <c r="N241" s="14" t="n">
        <f aca="false">IF(AND(ISNUMBER(L241),ISNUMBER(M241)),MAX(0,(M241-L241)*24),0)</f>
        <v>8.5</v>
      </c>
      <c r="O241" s="14" t="n">
        <f aca="false">IF(NOT(U241),0,IF(K241="Vacation",IF(C241="Eve",Settings!$B$9*Settings!$B$11,W241),IF(K241="Partial Vacation",IF(AND(ISNUMBER(H241),ISNUMBER(I241)),MAX(0,(I241-H241)*24),0),0)))</f>
        <v>0</v>
      </c>
      <c r="P241" s="14" t="n">
        <f aca="false">IF(NOT(U241),0,IF(K241="Sick Leave",W241,IF(K241="Partial Sick Leave",IF(AND(ISNUMBER(H241),ISNUMBER(I241)),MAX(0,(I241-H241)*24),0),0)))</f>
        <v>0</v>
      </c>
      <c r="Q241" s="14" t="n">
        <f aca="false">IF(NOT(U241),0,IF(K241="Vacation",IF(C241="Eve",Settings!$B$11,1),IF(K241="Partial Vacation",O241/Settings!$B$9,0)))</f>
        <v>0</v>
      </c>
      <c r="R241" s="14" t="n">
        <f aca="false">IF(NOT(U241),0,IF(K241="Sick Leave",1,IF(K241="Partial Sick Leave",P241/Settings!$B$9,0)))</f>
        <v>0</v>
      </c>
      <c r="S241" s="35" t="str">
        <f aca="false">IF(AND(OR(E241="Vacation",E241="Sick Leave",E241="Partial Vacation",E241="Partial Sick Leave"),NOT(U241)),"Leave not allowed on this day",IF(AND(E241="Manual Work",OR(NOT(ISNUMBER(F241)),NOT(ISNUMBER(G241)))),"Enter start and end",IF(AND(OR(E241="Partial Vacation",E241="Partial Sick Leave"),OR(NOT(ISNUMBER(H241)),NOT(ISNUMBER(I241)))),"Enter leave from and to",IF(AND(ISNUMBER(F241),ISNUMBER(G241),G241&lt;=F241),"End is before start",IF(AND(ISNUMBER(H241),ISNUMBER(I241),I241&lt;=H241),"Leave end is before start",IF(AND(ISNUMBER(F241),ISNUMBER(G241),ISNUMBER(H241),ISNUMBER(I241),F241&lt;I241,H241&lt;G241),"Work and leave hours overlap",IF(AND(E241&lt;&gt;"",WEEKDAY(A241)=7),"Saturday - administrator only","")))))))</f>
        <v/>
      </c>
      <c r="T241" s="36" t="n">
        <f aca="false">MONTH(A241)</f>
        <v>8</v>
      </c>
      <c r="U241" s="37" t="b">
        <f aca="false">OR(C241="Workday",C241="Eve")</f>
        <v>1</v>
      </c>
      <c r="V241" s="34" t="n">
        <f aca="false">IF(C241="Eve",Settings!$B$8,Settings!$B$7)</f>
        <v>0.6875</v>
      </c>
      <c r="W241" s="14" t="n">
        <f aca="false">IF(U241,(V241-Settings!$B$6)*24,0)</f>
        <v>8.5</v>
      </c>
    </row>
    <row r="242" customFormat="false" ht="15" hidden="false" customHeight="false" outlineLevel="0" collapsed="false">
      <c r="A242" s="29" t="n">
        <v>46258</v>
      </c>
      <c r="B242" s="30" t="str">
        <f aca="false">CHOOSE(WEEKDAY(A242),"Sun","Mon","Tue","Wed","Thu","Fri","Sat")</f>
        <v>Mon</v>
      </c>
      <c r="C242" s="30" t="str">
        <f aca="false">IF(IFERROR(INDEX(Holidays!$D$5:$D$60,MATCH(A242,Holidays!$A$5:$A$60,0)),"")="Holiday","Holiday",IF(WEEKDAY(A242)&gt;=6,"Weekend",IF(IFERROR(INDEX(Holidays!$D$5:$D$60,MATCH(A242,Holidays!$A$5:$A$60,0)),"")="Eve","Eve","Workday")))</f>
        <v>Workday</v>
      </c>
      <c r="D242" s="18" t="str">
        <f aca="false">IFERROR(INDEX(Holidays!$C$5:$C$60,MATCH(A242,Holidays!$A$5:$A$60,0)),"")</f>
        <v/>
      </c>
      <c r="E242" s="31"/>
      <c r="F242" s="32"/>
      <c r="G242" s="32"/>
      <c r="H242" s="32"/>
      <c r="I242" s="32"/>
      <c r="J242" s="31"/>
      <c r="K242" s="33" t="str">
        <f aca="false">IF(E242&lt;&gt;"",E242,IF(U242,"Present",IF(C242="Holiday","Holiday","Weekend")))</f>
        <v>Present</v>
      </c>
      <c r="L242" s="34" t="n">
        <f aca="false">IF(OR(K242="Present",K242="Manual Work",K242="Partial Vacation",K242="Partial Sick Leave"),IF(ISNUMBER(F242),F242,IF(AND(K242="Present",U242),Settings!$B$6,"")),"")</f>
        <v>0.333333333333333</v>
      </c>
      <c r="M242" s="34" t="n">
        <f aca="false">IF(OR(K242="Present",K242="Manual Work",K242="Partial Vacation",K242="Partial Sick Leave"),IF(ISNUMBER(G242),G242,IF(AND(K242="Present",U242),V242,"")),"")</f>
        <v>0.6875</v>
      </c>
      <c r="N242" s="14" t="n">
        <f aca="false">IF(AND(ISNUMBER(L242),ISNUMBER(M242)),MAX(0,(M242-L242)*24),0)</f>
        <v>8.5</v>
      </c>
      <c r="O242" s="14" t="n">
        <f aca="false">IF(NOT(U242),0,IF(K242="Vacation",IF(C242="Eve",Settings!$B$9*Settings!$B$11,W242),IF(K242="Partial Vacation",IF(AND(ISNUMBER(H242),ISNUMBER(I242)),MAX(0,(I242-H242)*24),0),0)))</f>
        <v>0</v>
      </c>
      <c r="P242" s="14" t="n">
        <f aca="false">IF(NOT(U242),0,IF(K242="Sick Leave",W242,IF(K242="Partial Sick Leave",IF(AND(ISNUMBER(H242),ISNUMBER(I242)),MAX(0,(I242-H242)*24),0),0)))</f>
        <v>0</v>
      </c>
      <c r="Q242" s="14" t="n">
        <f aca="false">IF(NOT(U242),0,IF(K242="Vacation",IF(C242="Eve",Settings!$B$11,1),IF(K242="Partial Vacation",O242/Settings!$B$9,0)))</f>
        <v>0</v>
      </c>
      <c r="R242" s="14" t="n">
        <f aca="false">IF(NOT(U242),0,IF(K242="Sick Leave",1,IF(K242="Partial Sick Leave",P242/Settings!$B$9,0)))</f>
        <v>0</v>
      </c>
      <c r="S242" s="35" t="str">
        <f aca="false">IF(AND(OR(E242="Vacation",E242="Sick Leave",E242="Partial Vacation",E242="Partial Sick Leave"),NOT(U242)),"Leave not allowed on this day",IF(AND(E242="Manual Work",OR(NOT(ISNUMBER(F242)),NOT(ISNUMBER(G242)))),"Enter start and end",IF(AND(OR(E242="Partial Vacation",E242="Partial Sick Leave"),OR(NOT(ISNUMBER(H242)),NOT(ISNUMBER(I242)))),"Enter leave from and to",IF(AND(ISNUMBER(F242),ISNUMBER(G242),G242&lt;=F242),"End is before start",IF(AND(ISNUMBER(H242),ISNUMBER(I242),I242&lt;=H242),"Leave end is before start",IF(AND(ISNUMBER(F242),ISNUMBER(G242),ISNUMBER(H242),ISNUMBER(I242),F242&lt;I242,H242&lt;G242),"Work and leave hours overlap",IF(AND(E242&lt;&gt;"",WEEKDAY(A242)=7),"Saturday - administrator only","")))))))</f>
        <v/>
      </c>
      <c r="T242" s="36" t="n">
        <f aca="false">MONTH(A242)</f>
        <v>8</v>
      </c>
      <c r="U242" s="37" t="b">
        <f aca="false">OR(C242="Workday",C242="Eve")</f>
        <v>1</v>
      </c>
      <c r="V242" s="34" t="n">
        <f aca="false">IF(C242="Eve",Settings!$B$8,Settings!$B$7)</f>
        <v>0.6875</v>
      </c>
      <c r="W242" s="14" t="n">
        <f aca="false">IF(U242,(V242-Settings!$B$6)*24,0)</f>
        <v>8.5</v>
      </c>
    </row>
    <row r="243" customFormat="false" ht="15" hidden="false" customHeight="false" outlineLevel="0" collapsed="false">
      <c r="A243" s="29" t="n">
        <v>46259</v>
      </c>
      <c r="B243" s="30" t="str">
        <f aca="false">CHOOSE(WEEKDAY(A243),"Sun","Mon","Tue","Wed","Thu","Fri","Sat")</f>
        <v>Tue</v>
      </c>
      <c r="C243" s="30" t="str">
        <f aca="false">IF(IFERROR(INDEX(Holidays!$D$5:$D$60,MATCH(A243,Holidays!$A$5:$A$60,0)),"")="Holiday","Holiday",IF(WEEKDAY(A243)&gt;=6,"Weekend",IF(IFERROR(INDEX(Holidays!$D$5:$D$60,MATCH(A243,Holidays!$A$5:$A$60,0)),"")="Eve","Eve","Workday")))</f>
        <v>Workday</v>
      </c>
      <c r="D243" s="18" t="str">
        <f aca="false">IFERROR(INDEX(Holidays!$C$5:$C$60,MATCH(A243,Holidays!$A$5:$A$60,0)),"")</f>
        <v/>
      </c>
      <c r="E243" s="31"/>
      <c r="F243" s="32"/>
      <c r="G243" s="32"/>
      <c r="H243" s="32"/>
      <c r="I243" s="32"/>
      <c r="J243" s="31"/>
      <c r="K243" s="33" t="str">
        <f aca="false">IF(E243&lt;&gt;"",E243,IF(U243,"Present",IF(C243="Holiday","Holiday","Weekend")))</f>
        <v>Present</v>
      </c>
      <c r="L243" s="34" t="n">
        <f aca="false">IF(OR(K243="Present",K243="Manual Work",K243="Partial Vacation",K243="Partial Sick Leave"),IF(ISNUMBER(F243),F243,IF(AND(K243="Present",U243),Settings!$B$6,"")),"")</f>
        <v>0.333333333333333</v>
      </c>
      <c r="M243" s="34" t="n">
        <f aca="false">IF(OR(K243="Present",K243="Manual Work",K243="Partial Vacation",K243="Partial Sick Leave"),IF(ISNUMBER(G243),G243,IF(AND(K243="Present",U243),V243,"")),"")</f>
        <v>0.6875</v>
      </c>
      <c r="N243" s="14" t="n">
        <f aca="false">IF(AND(ISNUMBER(L243),ISNUMBER(M243)),MAX(0,(M243-L243)*24),0)</f>
        <v>8.5</v>
      </c>
      <c r="O243" s="14" t="n">
        <f aca="false">IF(NOT(U243),0,IF(K243="Vacation",IF(C243="Eve",Settings!$B$9*Settings!$B$11,W243),IF(K243="Partial Vacation",IF(AND(ISNUMBER(H243),ISNUMBER(I243)),MAX(0,(I243-H243)*24),0),0)))</f>
        <v>0</v>
      </c>
      <c r="P243" s="14" t="n">
        <f aca="false">IF(NOT(U243),0,IF(K243="Sick Leave",W243,IF(K243="Partial Sick Leave",IF(AND(ISNUMBER(H243),ISNUMBER(I243)),MAX(0,(I243-H243)*24),0),0)))</f>
        <v>0</v>
      </c>
      <c r="Q243" s="14" t="n">
        <f aca="false">IF(NOT(U243),0,IF(K243="Vacation",IF(C243="Eve",Settings!$B$11,1),IF(K243="Partial Vacation",O243/Settings!$B$9,0)))</f>
        <v>0</v>
      </c>
      <c r="R243" s="14" t="n">
        <f aca="false">IF(NOT(U243),0,IF(K243="Sick Leave",1,IF(K243="Partial Sick Leave",P243/Settings!$B$9,0)))</f>
        <v>0</v>
      </c>
      <c r="S243" s="35" t="str">
        <f aca="false">IF(AND(OR(E243="Vacation",E243="Sick Leave",E243="Partial Vacation",E243="Partial Sick Leave"),NOT(U243)),"Leave not allowed on this day",IF(AND(E243="Manual Work",OR(NOT(ISNUMBER(F243)),NOT(ISNUMBER(G243)))),"Enter start and end",IF(AND(OR(E243="Partial Vacation",E243="Partial Sick Leave"),OR(NOT(ISNUMBER(H243)),NOT(ISNUMBER(I243)))),"Enter leave from and to",IF(AND(ISNUMBER(F243),ISNUMBER(G243),G243&lt;=F243),"End is before start",IF(AND(ISNUMBER(H243),ISNUMBER(I243),I243&lt;=H243),"Leave end is before start",IF(AND(ISNUMBER(F243),ISNUMBER(G243),ISNUMBER(H243),ISNUMBER(I243),F243&lt;I243,H243&lt;G243),"Work and leave hours overlap",IF(AND(E243&lt;&gt;"",WEEKDAY(A243)=7),"Saturday - administrator only","")))))))</f>
        <v/>
      </c>
      <c r="T243" s="36" t="n">
        <f aca="false">MONTH(A243)</f>
        <v>8</v>
      </c>
      <c r="U243" s="37" t="b">
        <f aca="false">OR(C243="Workday",C243="Eve")</f>
        <v>1</v>
      </c>
      <c r="V243" s="34" t="n">
        <f aca="false">IF(C243="Eve",Settings!$B$8,Settings!$B$7)</f>
        <v>0.6875</v>
      </c>
      <c r="W243" s="14" t="n">
        <f aca="false">IF(U243,(V243-Settings!$B$6)*24,0)</f>
        <v>8.5</v>
      </c>
    </row>
    <row r="244" customFormat="false" ht="15" hidden="false" customHeight="false" outlineLevel="0" collapsed="false">
      <c r="A244" s="29" t="n">
        <v>46260</v>
      </c>
      <c r="B244" s="30" t="str">
        <f aca="false">CHOOSE(WEEKDAY(A244),"Sun","Mon","Tue","Wed","Thu","Fri","Sat")</f>
        <v>Wed</v>
      </c>
      <c r="C244" s="30" t="str">
        <f aca="false">IF(IFERROR(INDEX(Holidays!$D$5:$D$60,MATCH(A244,Holidays!$A$5:$A$60,0)),"")="Holiday","Holiday",IF(WEEKDAY(A244)&gt;=6,"Weekend",IF(IFERROR(INDEX(Holidays!$D$5:$D$60,MATCH(A244,Holidays!$A$5:$A$60,0)),"")="Eve","Eve","Workday")))</f>
        <v>Workday</v>
      </c>
      <c r="D244" s="18" t="str">
        <f aca="false">IFERROR(INDEX(Holidays!$C$5:$C$60,MATCH(A244,Holidays!$A$5:$A$60,0)),"")</f>
        <v/>
      </c>
      <c r="E244" s="31"/>
      <c r="F244" s="32"/>
      <c r="G244" s="32"/>
      <c r="H244" s="32"/>
      <c r="I244" s="32"/>
      <c r="J244" s="31"/>
      <c r="K244" s="33" t="str">
        <f aca="false">IF(E244&lt;&gt;"",E244,IF(U244,"Present",IF(C244="Holiday","Holiday","Weekend")))</f>
        <v>Present</v>
      </c>
      <c r="L244" s="34" t="n">
        <f aca="false">IF(OR(K244="Present",K244="Manual Work",K244="Partial Vacation",K244="Partial Sick Leave"),IF(ISNUMBER(F244),F244,IF(AND(K244="Present",U244),Settings!$B$6,"")),"")</f>
        <v>0.333333333333333</v>
      </c>
      <c r="M244" s="34" t="n">
        <f aca="false">IF(OR(K244="Present",K244="Manual Work",K244="Partial Vacation",K244="Partial Sick Leave"),IF(ISNUMBER(G244),G244,IF(AND(K244="Present",U244),V244,"")),"")</f>
        <v>0.6875</v>
      </c>
      <c r="N244" s="14" t="n">
        <f aca="false">IF(AND(ISNUMBER(L244),ISNUMBER(M244)),MAX(0,(M244-L244)*24),0)</f>
        <v>8.5</v>
      </c>
      <c r="O244" s="14" t="n">
        <f aca="false">IF(NOT(U244),0,IF(K244="Vacation",IF(C244="Eve",Settings!$B$9*Settings!$B$11,W244),IF(K244="Partial Vacation",IF(AND(ISNUMBER(H244),ISNUMBER(I244)),MAX(0,(I244-H244)*24),0),0)))</f>
        <v>0</v>
      </c>
      <c r="P244" s="14" t="n">
        <f aca="false">IF(NOT(U244),0,IF(K244="Sick Leave",W244,IF(K244="Partial Sick Leave",IF(AND(ISNUMBER(H244),ISNUMBER(I244)),MAX(0,(I244-H244)*24),0),0)))</f>
        <v>0</v>
      </c>
      <c r="Q244" s="14" t="n">
        <f aca="false">IF(NOT(U244),0,IF(K244="Vacation",IF(C244="Eve",Settings!$B$11,1),IF(K244="Partial Vacation",O244/Settings!$B$9,0)))</f>
        <v>0</v>
      </c>
      <c r="R244" s="14" t="n">
        <f aca="false">IF(NOT(U244),0,IF(K244="Sick Leave",1,IF(K244="Partial Sick Leave",P244/Settings!$B$9,0)))</f>
        <v>0</v>
      </c>
      <c r="S244" s="35" t="str">
        <f aca="false">IF(AND(OR(E244="Vacation",E244="Sick Leave",E244="Partial Vacation",E244="Partial Sick Leave"),NOT(U244)),"Leave not allowed on this day",IF(AND(E244="Manual Work",OR(NOT(ISNUMBER(F244)),NOT(ISNUMBER(G244)))),"Enter start and end",IF(AND(OR(E244="Partial Vacation",E244="Partial Sick Leave"),OR(NOT(ISNUMBER(H244)),NOT(ISNUMBER(I244)))),"Enter leave from and to",IF(AND(ISNUMBER(F244),ISNUMBER(G244),G244&lt;=F244),"End is before start",IF(AND(ISNUMBER(H244),ISNUMBER(I244),I244&lt;=H244),"Leave end is before start",IF(AND(ISNUMBER(F244),ISNUMBER(G244),ISNUMBER(H244),ISNUMBER(I244),F244&lt;I244,H244&lt;G244),"Work and leave hours overlap",IF(AND(E244&lt;&gt;"",WEEKDAY(A244)=7),"Saturday - administrator only","")))))))</f>
        <v/>
      </c>
      <c r="T244" s="36" t="n">
        <f aca="false">MONTH(A244)</f>
        <v>8</v>
      </c>
      <c r="U244" s="37" t="b">
        <f aca="false">OR(C244="Workday",C244="Eve")</f>
        <v>1</v>
      </c>
      <c r="V244" s="34" t="n">
        <f aca="false">IF(C244="Eve",Settings!$B$8,Settings!$B$7)</f>
        <v>0.6875</v>
      </c>
      <c r="W244" s="14" t="n">
        <f aca="false">IF(U244,(V244-Settings!$B$6)*24,0)</f>
        <v>8.5</v>
      </c>
    </row>
    <row r="245" customFormat="false" ht="15" hidden="false" customHeight="false" outlineLevel="0" collapsed="false">
      <c r="A245" s="29" t="n">
        <v>46261</v>
      </c>
      <c r="B245" s="30" t="str">
        <f aca="false">CHOOSE(WEEKDAY(A245),"Sun","Mon","Tue","Wed","Thu","Fri","Sat")</f>
        <v>Thu</v>
      </c>
      <c r="C245" s="30" t="str">
        <f aca="false">IF(IFERROR(INDEX(Holidays!$D$5:$D$60,MATCH(A245,Holidays!$A$5:$A$60,0)),"")="Holiday","Holiday",IF(WEEKDAY(A245)&gt;=6,"Weekend",IF(IFERROR(INDEX(Holidays!$D$5:$D$60,MATCH(A245,Holidays!$A$5:$A$60,0)),"")="Eve","Eve","Workday")))</f>
        <v>Workday</v>
      </c>
      <c r="D245" s="18" t="str">
        <f aca="false">IFERROR(INDEX(Holidays!$C$5:$C$60,MATCH(A245,Holidays!$A$5:$A$60,0)),"")</f>
        <v/>
      </c>
      <c r="E245" s="31"/>
      <c r="F245" s="32"/>
      <c r="G245" s="32"/>
      <c r="H245" s="32"/>
      <c r="I245" s="32"/>
      <c r="J245" s="31"/>
      <c r="K245" s="33" t="str">
        <f aca="false">IF(E245&lt;&gt;"",E245,IF(U245,"Present",IF(C245="Holiday","Holiday","Weekend")))</f>
        <v>Present</v>
      </c>
      <c r="L245" s="34" t="n">
        <f aca="false">IF(OR(K245="Present",K245="Manual Work",K245="Partial Vacation",K245="Partial Sick Leave"),IF(ISNUMBER(F245),F245,IF(AND(K245="Present",U245),Settings!$B$6,"")),"")</f>
        <v>0.333333333333333</v>
      </c>
      <c r="M245" s="34" t="n">
        <f aca="false">IF(OR(K245="Present",K245="Manual Work",K245="Partial Vacation",K245="Partial Sick Leave"),IF(ISNUMBER(G245),G245,IF(AND(K245="Present",U245),V245,"")),"")</f>
        <v>0.6875</v>
      </c>
      <c r="N245" s="14" t="n">
        <f aca="false">IF(AND(ISNUMBER(L245),ISNUMBER(M245)),MAX(0,(M245-L245)*24),0)</f>
        <v>8.5</v>
      </c>
      <c r="O245" s="14" t="n">
        <f aca="false">IF(NOT(U245),0,IF(K245="Vacation",IF(C245="Eve",Settings!$B$9*Settings!$B$11,W245),IF(K245="Partial Vacation",IF(AND(ISNUMBER(H245),ISNUMBER(I245)),MAX(0,(I245-H245)*24),0),0)))</f>
        <v>0</v>
      </c>
      <c r="P245" s="14" t="n">
        <f aca="false">IF(NOT(U245),0,IF(K245="Sick Leave",W245,IF(K245="Partial Sick Leave",IF(AND(ISNUMBER(H245),ISNUMBER(I245)),MAX(0,(I245-H245)*24),0),0)))</f>
        <v>0</v>
      </c>
      <c r="Q245" s="14" t="n">
        <f aca="false">IF(NOT(U245),0,IF(K245="Vacation",IF(C245="Eve",Settings!$B$11,1),IF(K245="Partial Vacation",O245/Settings!$B$9,0)))</f>
        <v>0</v>
      </c>
      <c r="R245" s="14" t="n">
        <f aca="false">IF(NOT(U245),0,IF(K245="Sick Leave",1,IF(K245="Partial Sick Leave",P245/Settings!$B$9,0)))</f>
        <v>0</v>
      </c>
      <c r="S245" s="35" t="str">
        <f aca="false">IF(AND(OR(E245="Vacation",E245="Sick Leave",E245="Partial Vacation",E245="Partial Sick Leave"),NOT(U245)),"Leave not allowed on this day",IF(AND(E245="Manual Work",OR(NOT(ISNUMBER(F245)),NOT(ISNUMBER(G245)))),"Enter start and end",IF(AND(OR(E245="Partial Vacation",E245="Partial Sick Leave"),OR(NOT(ISNUMBER(H245)),NOT(ISNUMBER(I245)))),"Enter leave from and to",IF(AND(ISNUMBER(F245),ISNUMBER(G245),G245&lt;=F245),"End is before start",IF(AND(ISNUMBER(H245),ISNUMBER(I245),I245&lt;=H245),"Leave end is before start",IF(AND(ISNUMBER(F245),ISNUMBER(G245),ISNUMBER(H245),ISNUMBER(I245),F245&lt;I245,H245&lt;G245),"Work and leave hours overlap",IF(AND(E245&lt;&gt;"",WEEKDAY(A245)=7),"Saturday - administrator only","")))))))</f>
        <v/>
      </c>
      <c r="T245" s="36" t="n">
        <f aca="false">MONTH(A245)</f>
        <v>8</v>
      </c>
      <c r="U245" s="37" t="b">
        <f aca="false">OR(C245="Workday",C245="Eve")</f>
        <v>1</v>
      </c>
      <c r="V245" s="34" t="n">
        <f aca="false">IF(C245="Eve",Settings!$B$8,Settings!$B$7)</f>
        <v>0.6875</v>
      </c>
      <c r="W245" s="14" t="n">
        <f aca="false">IF(U245,(V245-Settings!$B$6)*24,0)</f>
        <v>8.5</v>
      </c>
    </row>
    <row r="246" customFormat="false" ht="15" hidden="false" customHeight="false" outlineLevel="0" collapsed="false">
      <c r="A246" s="29" t="n">
        <v>46262</v>
      </c>
      <c r="B246" s="30" t="str">
        <f aca="false">CHOOSE(WEEKDAY(A246),"Sun","Mon","Tue","Wed","Thu","Fri","Sat")</f>
        <v>Fri</v>
      </c>
      <c r="C246" s="30" t="str">
        <f aca="false">IF(IFERROR(INDEX(Holidays!$D$5:$D$60,MATCH(A246,Holidays!$A$5:$A$60,0)),"")="Holiday","Holiday",IF(WEEKDAY(A246)&gt;=6,"Weekend",IF(IFERROR(INDEX(Holidays!$D$5:$D$60,MATCH(A246,Holidays!$A$5:$A$60,0)),"")="Eve","Eve","Workday")))</f>
        <v>Weekend</v>
      </c>
      <c r="D246" s="18" t="str">
        <f aca="false">IFERROR(INDEX(Holidays!$C$5:$C$60,MATCH(A246,Holidays!$A$5:$A$60,0)),"")</f>
        <v/>
      </c>
      <c r="E246" s="31"/>
      <c r="F246" s="32"/>
      <c r="G246" s="32"/>
      <c r="H246" s="32"/>
      <c r="I246" s="32"/>
      <c r="J246" s="31"/>
      <c r="K246" s="33" t="str">
        <f aca="false">IF(E246&lt;&gt;"",E246,IF(U246,"Present",IF(C246="Holiday","Holiday","Weekend")))</f>
        <v>Weekend</v>
      </c>
      <c r="L246" s="34" t="str">
        <f aca="false">IF(OR(K246="Present",K246="Manual Work",K246="Partial Vacation",K246="Partial Sick Leave"),IF(ISNUMBER(F246),F246,IF(AND(K246="Present",U246),Settings!$B$6,"")),"")</f>
        <v/>
      </c>
      <c r="M246" s="34" t="str">
        <f aca="false">IF(OR(K246="Present",K246="Manual Work",K246="Partial Vacation",K246="Partial Sick Leave"),IF(ISNUMBER(G246),G246,IF(AND(K246="Present",U246),V246,"")),"")</f>
        <v/>
      </c>
      <c r="N246" s="14" t="n">
        <f aca="false">IF(AND(ISNUMBER(L246),ISNUMBER(M246)),MAX(0,(M246-L246)*24),0)</f>
        <v>0</v>
      </c>
      <c r="O246" s="14" t="n">
        <f aca="false">IF(NOT(U246),0,IF(K246="Vacation",IF(C246="Eve",Settings!$B$9*Settings!$B$11,W246),IF(K246="Partial Vacation",IF(AND(ISNUMBER(H246),ISNUMBER(I246)),MAX(0,(I246-H246)*24),0),0)))</f>
        <v>0</v>
      </c>
      <c r="P246" s="14" t="n">
        <f aca="false">IF(NOT(U246),0,IF(K246="Sick Leave",W246,IF(K246="Partial Sick Leave",IF(AND(ISNUMBER(H246),ISNUMBER(I246)),MAX(0,(I246-H246)*24),0),0)))</f>
        <v>0</v>
      </c>
      <c r="Q246" s="14" t="n">
        <f aca="false">IF(NOT(U246),0,IF(K246="Vacation",IF(C246="Eve",Settings!$B$11,1),IF(K246="Partial Vacation",O246/Settings!$B$9,0)))</f>
        <v>0</v>
      </c>
      <c r="R246" s="14" t="n">
        <f aca="false">IF(NOT(U246),0,IF(K246="Sick Leave",1,IF(K246="Partial Sick Leave",P246/Settings!$B$9,0)))</f>
        <v>0</v>
      </c>
      <c r="S246" s="35" t="str">
        <f aca="false">IF(AND(OR(E246="Vacation",E246="Sick Leave",E246="Partial Vacation",E246="Partial Sick Leave"),NOT(U246)),"Leave not allowed on this day",IF(AND(E246="Manual Work",OR(NOT(ISNUMBER(F246)),NOT(ISNUMBER(G246)))),"Enter start and end",IF(AND(OR(E246="Partial Vacation",E246="Partial Sick Leave"),OR(NOT(ISNUMBER(H246)),NOT(ISNUMBER(I246)))),"Enter leave from and to",IF(AND(ISNUMBER(F246),ISNUMBER(G246),G246&lt;=F246),"End is before start",IF(AND(ISNUMBER(H246),ISNUMBER(I246),I246&lt;=H246),"Leave end is before start",IF(AND(ISNUMBER(F246),ISNUMBER(G246),ISNUMBER(H246),ISNUMBER(I246),F246&lt;I246,H246&lt;G246),"Work and leave hours overlap",IF(AND(E246&lt;&gt;"",WEEKDAY(A246)=7),"Saturday - administrator only","")))))))</f>
        <v/>
      </c>
      <c r="T246" s="36" t="n">
        <f aca="false">MONTH(A246)</f>
        <v>8</v>
      </c>
      <c r="U246" s="37" t="b">
        <f aca="false">OR(C246="Workday",C246="Eve")</f>
        <v>0</v>
      </c>
      <c r="V246" s="34" t="n">
        <f aca="false">IF(C246="Eve",Settings!$B$8,Settings!$B$7)</f>
        <v>0.6875</v>
      </c>
      <c r="W246" s="14" t="n">
        <f aca="false">IF(U246,(V246-Settings!$B$6)*24,0)</f>
        <v>0</v>
      </c>
    </row>
    <row r="247" customFormat="false" ht="15" hidden="false" customHeight="false" outlineLevel="0" collapsed="false">
      <c r="A247" s="29" t="n">
        <v>46263</v>
      </c>
      <c r="B247" s="30" t="str">
        <f aca="false">CHOOSE(WEEKDAY(A247),"Sun","Mon","Tue","Wed","Thu","Fri","Sat")</f>
        <v>Sat</v>
      </c>
      <c r="C247" s="30" t="str">
        <f aca="false">IF(IFERROR(INDEX(Holidays!$D$5:$D$60,MATCH(A247,Holidays!$A$5:$A$60,0)),"")="Holiday","Holiday",IF(WEEKDAY(A247)&gt;=6,"Weekend",IF(IFERROR(INDEX(Holidays!$D$5:$D$60,MATCH(A247,Holidays!$A$5:$A$60,0)),"")="Eve","Eve","Workday")))</f>
        <v>Weekend</v>
      </c>
      <c r="D247" s="18" t="str">
        <f aca="false">IFERROR(INDEX(Holidays!$C$5:$C$60,MATCH(A247,Holidays!$A$5:$A$60,0)),"")</f>
        <v/>
      </c>
      <c r="E247" s="31"/>
      <c r="F247" s="32"/>
      <c r="G247" s="32"/>
      <c r="H247" s="32"/>
      <c r="I247" s="32"/>
      <c r="J247" s="31"/>
      <c r="K247" s="33" t="str">
        <f aca="false">IF(E247&lt;&gt;"",E247,IF(U247,"Present",IF(C247="Holiday","Holiday","Weekend")))</f>
        <v>Weekend</v>
      </c>
      <c r="L247" s="34" t="str">
        <f aca="false">IF(OR(K247="Present",K247="Manual Work",K247="Partial Vacation",K247="Partial Sick Leave"),IF(ISNUMBER(F247),F247,IF(AND(K247="Present",U247),Settings!$B$6,"")),"")</f>
        <v/>
      </c>
      <c r="M247" s="34" t="str">
        <f aca="false">IF(OR(K247="Present",K247="Manual Work",K247="Partial Vacation",K247="Partial Sick Leave"),IF(ISNUMBER(G247),G247,IF(AND(K247="Present",U247),V247,"")),"")</f>
        <v/>
      </c>
      <c r="N247" s="14" t="n">
        <f aca="false">IF(AND(ISNUMBER(L247),ISNUMBER(M247)),MAX(0,(M247-L247)*24),0)</f>
        <v>0</v>
      </c>
      <c r="O247" s="14" t="n">
        <f aca="false">IF(NOT(U247),0,IF(K247="Vacation",IF(C247="Eve",Settings!$B$9*Settings!$B$11,W247),IF(K247="Partial Vacation",IF(AND(ISNUMBER(H247),ISNUMBER(I247)),MAX(0,(I247-H247)*24),0),0)))</f>
        <v>0</v>
      </c>
      <c r="P247" s="14" t="n">
        <f aca="false">IF(NOT(U247),0,IF(K247="Sick Leave",W247,IF(K247="Partial Sick Leave",IF(AND(ISNUMBER(H247),ISNUMBER(I247)),MAX(0,(I247-H247)*24),0),0)))</f>
        <v>0</v>
      </c>
      <c r="Q247" s="14" t="n">
        <f aca="false">IF(NOT(U247),0,IF(K247="Vacation",IF(C247="Eve",Settings!$B$11,1),IF(K247="Partial Vacation",O247/Settings!$B$9,0)))</f>
        <v>0</v>
      </c>
      <c r="R247" s="14" t="n">
        <f aca="false">IF(NOT(U247),0,IF(K247="Sick Leave",1,IF(K247="Partial Sick Leave",P247/Settings!$B$9,0)))</f>
        <v>0</v>
      </c>
      <c r="S247" s="35" t="str">
        <f aca="false">IF(AND(OR(E247="Vacation",E247="Sick Leave",E247="Partial Vacation",E247="Partial Sick Leave"),NOT(U247)),"Leave not allowed on this day",IF(AND(E247="Manual Work",OR(NOT(ISNUMBER(F247)),NOT(ISNUMBER(G247)))),"Enter start and end",IF(AND(OR(E247="Partial Vacation",E247="Partial Sick Leave"),OR(NOT(ISNUMBER(H247)),NOT(ISNUMBER(I247)))),"Enter leave from and to",IF(AND(ISNUMBER(F247),ISNUMBER(G247),G247&lt;=F247),"End is before start",IF(AND(ISNUMBER(H247),ISNUMBER(I247),I247&lt;=H247),"Leave end is before start",IF(AND(ISNUMBER(F247),ISNUMBER(G247),ISNUMBER(H247),ISNUMBER(I247),F247&lt;I247,H247&lt;G247),"Work and leave hours overlap",IF(AND(E247&lt;&gt;"",WEEKDAY(A247)=7),"Saturday - administrator only","")))))))</f>
        <v/>
      </c>
      <c r="T247" s="36" t="n">
        <f aca="false">MONTH(A247)</f>
        <v>8</v>
      </c>
      <c r="U247" s="37" t="b">
        <f aca="false">OR(C247="Workday",C247="Eve")</f>
        <v>0</v>
      </c>
      <c r="V247" s="34" t="n">
        <f aca="false">IF(C247="Eve",Settings!$B$8,Settings!$B$7)</f>
        <v>0.6875</v>
      </c>
      <c r="W247" s="14" t="n">
        <f aca="false">IF(U247,(V247-Settings!$B$6)*24,0)</f>
        <v>0</v>
      </c>
    </row>
    <row r="248" customFormat="false" ht="15" hidden="false" customHeight="false" outlineLevel="0" collapsed="false">
      <c r="A248" s="29" t="n">
        <v>46264</v>
      </c>
      <c r="B248" s="30" t="str">
        <f aca="false">CHOOSE(WEEKDAY(A248),"Sun","Mon","Tue","Wed","Thu","Fri","Sat")</f>
        <v>Sun</v>
      </c>
      <c r="C248" s="30" t="str">
        <f aca="false">IF(IFERROR(INDEX(Holidays!$D$5:$D$60,MATCH(A248,Holidays!$A$5:$A$60,0)),"")="Holiday","Holiday",IF(WEEKDAY(A248)&gt;=6,"Weekend",IF(IFERROR(INDEX(Holidays!$D$5:$D$60,MATCH(A248,Holidays!$A$5:$A$60,0)),"")="Eve","Eve","Workday")))</f>
        <v>Workday</v>
      </c>
      <c r="D248" s="18" t="str">
        <f aca="false">IFERROR(INDEX(Holidays!$C$5:$C$60,MATCH(A248,Holidays!$A$5:$A$60,0)),"")</f>
        <v/>
      </c>
      <c r="E248" s="31"/>
      <c r="F248" s="32"/>
      <c r="G248" s="32"/>
      <c r="H248" s="32"/>
      <c r="I248" s="32"/>
      <c r="J248" s="31"/>
      <c r="K248" s="33" t="str">
        <f aca="false">IF(E248&lt;&gt;"",E248,IF(U248,"Present",IF(C248="Holiday","Holiday","Weekend")))</f>
        <v>Present</v>
      </c>
      <c r="L248" s="34" t="n">
        <f aca="false">IF(OR(K248="Present",K248="Manual Work",K248="Partial Vacation",K248="Partial Sick Leave"),IF(ISNUMBER(F248),F248,IF(AND(K248="Present",U248),Settings!$B$6,"")),"")</f>
        <v>0.333333333333333</v>
      </c>
      <c r="M248" s="34" t="n">
        <f aca="false">IF(OR(K248="Present",K248="Manual Work",K248="Partial Vacation",K248="Partial Sick Leave"),IF(ISNUMBER(G248),G248,IF(AND(K248="Present",U248),V248,"")),"")</f>
        <v>0.6875</v>
      </c>
      <c r="N248" s="14" t="n">
        <f aca="false">IF(AND(ISNUMBER(L248),ISNUMBER(M248)),MAX(0,(M248-L248)*24),0)</f>
        <v>8.5</v>
      </c>
      <c r="O248" s="14" t="n">
        <f aca="false">IF(NOT(U248),0,IF(K248="Vacation",IF(C248="Eve",Settings!$B$9*Settings!$B$11,W248),IF(K248="Partial Vacation",IF(AND(ISNUMBER(H248),ISNUMBER(I248)),MAX(0,(I248-H248)*24),0),0)))</f>
        <v>0</v>
      </c>
      <c r="P248" s="14" t="n">
        <f aca="false">IF(NOT(U248),0,IF(K248="Sick Leave",W248,IF(K248="Partial Sick Leave",IF(AND(ISNUMBER(H248),ISNUMBER(I248)),MAX(0,(I248-H248)*24),0),0)))</f>
        <v>0</v>
      </c>
      <c r="Q248" s="14" t="n">
        <f aca="false">IF(NOT(U248),0,IF(K248="Vacation",IF(C248="Eve",Settings!$B$11,1),IF(K248="Partial Vacation",O248/Settings!$B$9,0)))</f>
        <v>0</v>
      </c>
      <c r="R248" s="14" t="n">
        <f aca="false">IF(NOT(U248),0,IF(K248="Sick Leave",1,IF(K248="Partial Sick Leave",P248/Settings!$B$9,0)))</f>
        <v>0</v>
      </c>
      <c r="S248" s="35" t="str">
        <f aca="false">IF(AND(OR(E248="Vacation",E248="Sick Leave",E248="Partial Vacation",E248="Partial Sick Leave"),NOT(U248)),"Leave not allowed on this day",IF(AND(E248="Manual Work",OR(NOT(ISNUMBER(F248)),NOT(ISNUMBER(G248)))),"Enter start and end",IF(AND(OR(E248="Partial Vacation",E248="Partial Sick Leave"),OR(NOT(ISNUMBER(H248)),NOT(ISNUMBER(I248)))),"Enter leave from and to",IF(AND(ISNUMBER(F248),ISNUMBER(G248),G248&lt;=F248),"End is before start",IF(AND(ISNUMBER(H248),ISNUMBER(I248),I248&lt;=H248),"Leave end is before start",IF(AND(ISNUMBER(F248),ISNUMBER(G248),ISNUMBER(H248),ISNUMBER(I248),F248&lt;I248,H248&lt;G248),"Work and leave hours overlap",IF(AND(E248&lt;&gt;"",WEEKDAY(A248)=7),"Saturday - administrator only","")))))))</f>
        <v/>
      </c>
      <c r="T248" s="36" t="n">
        <f aca="false">MONTH(A248)</f>
        <v>8</v>
      </c>
      <c r="U248" s="37" t="b">
        <f aca="false">OR(C248="Workday",C248="Eve")</f>
        <v>1</v>
      </c>
      <c r="V248" s="34" t="n">
        <f aca="false">IF(C248="Eve",Settings!$B$8,Settings!$B$7)</f>
        <v>0.6875</v>
      </c>
      <c r="W248" s="14" t="n">
        <f aca="false">IF(U248,(V248-Settings!$B$6)*24,0)</f>
        <v>8.5</v>
      </c>
    </row>
    <row r="249" customFormat="false" ht="15" hidden="false" customHeight="false" outlineLevel="0" collapsed="false">
      <c r="A249" s="29" t="n">
        <v>46265</v>
      </c>
      <c r="B249" s="30" t="str">
        <f aca="false">CHOOSE(WEEKDAY(A249),"Sun","Mon","Tue","Wed","Thu","Fri","Sat")</f>
        <v>Mon</v>
      </c>
      <c r="C249" s="30" t="str">
        <f aca="false">IF(IFERROR(INDEX(Holidays!$D$5:$D$60,MATCH(A249,Holidays!$A$5:$A$60,0)),"")="Holiday","Holiday",IF(WEEKDAY(A249)&gt;=6,"Weekend",IF(IFERROR(INDEX(Holidays!$D$5:$D$60,MATCH(A249,Holidays!$A$5:$A$60,0)),"")="Eve","Eve","Workday")))</f>
        <v>Workday</v>
      </c>
      <c r="D249" s="18" t="str">
        <f aca="false">IFERROR(INDEX(Holidays!$C$5:$C$60,MATCH(A249,Holidays!$A$5:$A$60,0)),"")</f>
        <v/>
      </c>
      <c r="E249" s="31"/>
      <c r="F249" s="32"/>
      <c r="G249" s="32"/>
      <c r="H249" s="32"/>
      <c r="I249" s="32"/>
      <c r="J249" s="31"/>
      <c r="K249" s="33" t="str">
        <f aca="false">IF(E249&lt;&gt;"",E249,IF(U249,"Present",IF(C249="Holiday","Holiday","Weekend")))</f>
        <v>Present</v>
      </c>
      <c r="L249" s="34" t="n">
        <f aca="false">IF(OR(K249="Present",K249="Manual Work",K249="Partial Vacation",K249="Partial Sick Leave"),IF(ISNUMBER(F249),F249,IF(AND(K249="Present",U249),Settings!$B$6,"")),"")</f>
        <v>0.333333333333333</v>
      </c>
      <c r="M249" s="34" t="n">
        <f aca="false">IF(OR(K249="Present",K249="Manual Work",K249="Partial Vacation",K249="Partial Sick Leave"),IF(ISNUMBER(G249),G249,IF(AND(K249="Present",U249),V249,"")),"")</f>
        <v>0.6875</v>
      </c>
      <c r="N249" s="14" t="n">
        <f aca="false">IF(AND(ISNUMBER(L249),ISNUMBER(M249)),MAX(0,(M249-L249)*24),0)</f>
        <v>8.5</v>
      </c>
      <c r="O249" s="14" t="n">
        <f aca="false">IF(NOT(U249),0,IF(K249="Vacation",IF(C249="Eve",Settings!$B$9*Settings!$B$11,W249),IF(K249="Partial Vacation",IF(AND(ISNUMBER(H249),ISNUMBER(I249)),MAX(0,(I249-H249)*24),0),0)))</f>
        <v>0</v>
      </c>
      <c r="P249" s="14" t="n">
        <f aca="false">IF(NOT(U249),0,IF(K249="Sick Leave",W249,IF(K249="Partial Sick Leave",IF(AND(ISNUMBER(H249),ISNUMBER(I249)),MAX(0,(I249-H249)*24),0),0)))</f>
        <v>0</v>
      </c>
      <c r="Q249" s="14" t="n">
        <f aca="false">IF(NOT(U249),0,IF(K249="Vacation",IF(C249="Eve",Settings!$B$11,1),IF(K249="Partial Vacation",O249/Settings!$B$9,0)))</f>
        <v>0</v>
      </c>
      <c r="R249" s="14" t="n">
        <f aca="false">IF(NOT(U249),0,IF(K249="Sick Leave",1,IF(K249="Partial Sick Leave",P249/Settings!$B$9,0)))</f>
        <v>0</v>
      </c>
      <c r="S249" s="35" t="str">
        <f aca="false">IF(AND(OR(E249="Vacation",E249="Sick Leave",E249="Partial Vacation",E249="Partial Sick Leave"),NOT(U249)),"Leave not allowed on this day",IF(AND(E249="Manual Work",OR(NOT(ISNUMBER(F249)),NOT(ISNUMBER(G249)))),"Enter start and end",IF(AND(OR(E249="Partial Vacation",E249="Partial Sick Leave"),OR(NOT(ISNUMBER(H249)),NOT(ISNUMBER(I249)))),"Enter leave from and to",IF(AND(ISNUMBER(F249),ISNUMBER(G249),G249&lt;=F249),"End is before start",IF(AND(ISNUMBER(H249),ISNUMBER(I249),I249&lt;=H249),"Leave end is before start",IF(AND(ISNUMBER(F249),ISNUMBER(G249),ISNUMBER(H249),ISNUMBER(I249),F249&lt;I249,H249&lt;G249),"Work and leave hours overlap",IF(AND(E249&lt;&gt;"",WEEKDAY(A249)=7),"Saturday - administrator only","")))))))</f>
        <v/>
      </c>
      <c r="T249" s="36" t="n">
        <f aca="false">MONTH(A249)</f>
        <v>8</v>
      </c>
      <c r="U249" s="37" t="b">
        <f aca="false">OR(C249="Workday",C249="Eve")</f>
        <v>1</v>
      </c>
      <c r="V249" s="34" t="n">
        <f aca="false">IF(C249="Eve",Settings!$B$8,Settings!$B$7)</f>
        <v>0.6875</v>
      </c>
      <c r="W249" s="14" t="n">
        <f aca="false">IF(U249,(V249-Settings!$B$6)*24,0)</f>
        <v>8.5</v>
      </c>
    </row>
    <row r="250" customFormat="false" ht="15" hidden="false" customHeight="false" outlineLevel="0" collapsed="false">
      <c r="A250" s="29" t="n">
        <v>46266</v>
      </c>
      <c r="B250" s="30" t="str">
        <f aca="false">CHOOSE(WEEKDAY(A250),"Sun","Mon","Tue","Wed","Thu","Fri","Sat")</f>
        <v>Tue</v>
      </c>
      <c r="C250" s="30" t="str">
        <f aca="false">IF(IFERROR(INDEX(Holidays!$D$5:$D$60,MATCH(A250,Holidays!$A$5:$A$60,0)),"")="Holiday","Holiday",IF(WEEKDAY(A250)&gt;=6,"Weekend",IF(IFERROR(INDEX(Holidays!$D$5:$D$60,MATCH(A250,Holidays!$A$5:$A$60,0)),"")="Eve","Eve","Workday")))</f>
        <v>Workday</v>
      </c>
      <c r="D250" s="18" t="str">
        <f aca="false">IFERROR(INDEX(Holidays!$C$5:$C$60,MATCH(A250,Holidays!$A$5:$A$60,0)),"")</f>
        <v/>
      </c>
      <c r="E250" s="31"/>
      <c r="F250" s="32"/>
      <c r="G250" s="32"/>
      <c r="H250" s="32"/>
      <c r="I250" s="32"/>
      <c r="J250" s="31"/>
      <c r="K250" s="33" t="str">
        <f aca="false">IF(E250&lt;&gt;"",E250,IF(U250,"Present",IF(C250="Holiday","Holiday","Weekend")))</f>
        <v>Present</v>
      </c>
      <c r="L250" s="34" t="n">
        <f aca="false">IF(OR(K250="Present",K250="Manual Work",K250="Partial Vacation",K250="Partial Sick Leave"),IF(ISNUMBER(F250),F250,IF(AND(K250="Present",U250),Settings!$B$6,"")),"")</f>
        <v>0.333333333333333</v>
      </c>
      <c r="M250" s="34" t="n">
        <f aca="false">IF(OR(K250="Present",K250="Manual Work",K250="Partial Vacation",K250="Partial Sick Leave"),IF(ISNUMBER(G250),G250,IF(AND(K250="Present",U250),V250,"")),"")</f>
        <v>0.6875</v>
      </c>
      <c r="N250" s="14" t="n">
        <f aca="false">IF(AND(ISNUMBER(L250),ISNUMBER(M250)),MAX(0,(M250-L250)*24),0)</f>
        <v>8.5</v>
      </c>
      <c r="O250" s="14" t="n">
        <f aca="false">IF(NOT(U250),0,IF(K250="Vacation",IF(C250="Eve",Settings!$B$9*Settings!$B$11,W250),IF(K250="Partial Vacation",IF(AND(ISNUMBER(H250),ISNUMBER(I250)),MAX(0,(I250-H250)*24),0),0)))</f>
        <v>0</v>
      </c>
      <c r="P250" s="14" t="n">
        <f aca="false">IF(NOT(U250),0,IF(K250="Sick Leave",W250,IF(K250="Partial Sick Leave",IF(AND(ISNUMBER(H250),ISNUMBER(I250)),MAX(0,(I250-H250)*24),0),0)))</f>
        <v>0</v>
      </c>
      <c r="Q250" s="14" t="n">
        <f aca="false">IF(NOT(U250),0,IF(K250="Vacation",IF(C250="Eve",Settings!$B$11,1),IF(K250="Partial Vacation",O250/Settings!$B$9,0)))</f>
        <v>0</v>
      </c>
      <c r="R250" s="14" t="n">
        <f aca="false">IF(NOT(U250),0,IF(K250="Sick Leave",1,IF(K250="Partial Sick Leave",P250/Settings!$B$9,0)))</f>
        <v>0</v>
      </c>
      <c r="S250" s="35" t="str">
        <f aca="false">IF(AND(OR(E250="Vacation",E250="Sick Leave",E250="Partial Vacation",E250="Partial Sick Leave"),NOT(U250)),"Leave not allowed on this day",IF(AND(E250="Manual Work",OR(NOT(ISNUMBER(F250)),NOT(ISNUMBER(G250)))),"Enter start and end",IF(AND(OR(E250="Partial Vacation",E250="Partial Sick Leave"),OR(NOT(ISNUMBER(H250)),NOT(ISNUMBER(I250)))),"Enter leave from and to",IF(AND(ISNUMBER(F250),ISNUMBER(G250),G250&lt;=F250),"End is before start",IF(AND(ISNUMBER(H250),ISNUMBER(I250),I250&lt;=H250),"Leave end is before start",IF(AND(ISNUMBER(F250),ISNUMBER(G250),ISNUMBER(H250),ISNUMBER(I250),F250&lt;I250,H250&lt;G250),"Work and leave hours overlap",IF(AND(E250&lt;&gt;"",WEEKDAY(A250)=7),"Saturday - administrator only","")))))))</f>
        <v/>
      </c>
      <c r="T250" s="36" t="n">
        <f aca="false">MONTH(A250)</f>
        <v>9</v>
      </c>
      <c r="U250" s="37" t="b">
        <f aca="false">OR(C250="Workday",C250="Eve")</f>
        <v>1</v>
      </c>
      <c r="V250" s="34" t="n">
        <f aca="false">IF(C250="Eve",Settings!$B$8,Settings!$B$7)</f>
        <v>0.6875</v>
      </c>
      <c r="W250" s="14" t="n">
        <f aca="false">IF(U250,(V250-Settings!$B$6)*24,0)</f>
        <v>8.5</v>
      </c>
    </row>
    <row r="251" customFormat="false" ht="15" hidden="false" customHeight="false" outlineLevel="0" collapsed="false">
      <c r="A251" s="29" t="n">
        <v>46267</v>
      </c>
      <c r="B251" s="30" t="str">
        <f aca="false">CHOOSE(WEEKDAY(A251),"Sun","Mon","Tue","Wed","Thu","Fri","Sat")</f>
        <v>Wed</v>
      </c>
      <c r="C251" s="30" t="str">
        <f aca="false">IF(IFERROR(INDEX(Holidays!$D$5:$D$60,MATCH(A251,Holidays!$A$5:$A$60,0)),"")="Holiday","Holiday",IF(WEEKDAY(A251)&gt;=6,"Weekend",IF(IFERROR(INDEX(Holidays!$D$5:$D$60,MATCH(A251,Holidays!$A$5:$A$60,0)),"")="Eve","Eve","Workday")))</f>
        <v>Workday</v>
      </c>
      <c r="D251" s="18" t="str">
        <f aca="false">IFERROR(INDEX(Holidays!$C$5:$C$60,MATCH(A251,Holidays!$A$5:$A$60,0)),"")</f>
        <v/>
      </c>
      <c r="E251" s="31"/>
      <c r="F251" s="32"/>
      <c r="G251" s="32"/>
      <c r="H251" s="32"/>
      <c r="I251" s="32"/>
      <c r="J251" s="31"/>
      <c r="K251" s="33" t="str">
        <f aca="false">IF(E251&lt;&gt;"",E251,IF(U251,"Present",IF(C251="Holiday","Holiday","Weekend")))</f>
        <v>Present</v>
      </c>
      <c r="L251" s="34" t="n">
        <f aca="false">IF(OR(K251="Present",K251="Manual Work",K251="Partial Vacation",K251="Partial Sick Leave"),IF(ISNUMBER(F251),F251,IF(AND(K251="Present",U251),Settings!$B$6,"")),"")</f>
        <v>0.333333333333333</v>
      </c>
      <c r="M251" s="34" t="n">
        <f aca="false">IF(OR(K251="Present",K251="Manual Work",K251="Partial Vacation",K251="Partial Sick Leave"),IF(ISNUMBER(G251),G251,IF(AND(K251="Present",U251),V251,"")),"")</f>
        <v>0.6875</v>
      </c>
      <c r="N251" s="14" t="n">
        <f aca="false">IF(AND(ISNUMBER(L251),ISNUMBER(M251)),MAX(0,(M251-L251)*24),0)</f>
        <v>8.5</v>
      </c>
      <c r="O251" s="14" t="n">
        <f aca="false">IF(NOT(U251),0,IF(K251="Vacation",IF(C251="Eve",Settings!$B$9*Settings!$B$11,W251),IF(K251="Partial Vacation",IF(AND(ISNUMBER(H251),ISNUMBER(I251)),MAX(0,(I251-H251)*24),0),0)))</f>
        <v>0</v>
      </c>
      <c r="P251" s="14" t="n">
        <f aca="false">IF(NOT(U251),0,IF(K251="Sick Leave",W251,IF(K251="Partial Sick Leave",IF(AND(ISNUMBER(H251),ISNUMBER(I251)),MAX(0,(I251-H251)*24),0),0)))</f>
        <v>0</v>
      </c>
      <c r="Q251" s="14" t="n">
        <f aca="false">IF(NOT(U251),0,IF(K251="Vacation",IF(C251="Eve",Settings!$B$11,1),IF(K251="Partial Vacation",O251/Settings!$B$9,0)))</f>
        <v>0</v>
      </c>
      <c r="R251" s="14" t="n">
        <f aca="false">IF(NOT(U251),0,IF(K251="Sick Leave",1,IF(K251="Partial Sick Leave",P251/Settings!$B$9,0)))</f>
        <v>0</v>
      </c>
      <c r="S251" s="35" t="str">
        <f aca="false">IF(AND(OR(E251="Vacation",E251="Sick Leave",E251="Partial Vacation",E251="Partial Sick Leave"),NOT(U251)),"Leave not allowed on this day",IF(AND(E251="Manual Work",OR(NOT(ISNUMBER(F251)),NOT(ISNUMBER(G251)))),"Enter start and end",IF(AND(OR(E251="Partial Vacation",E251="Partial Sick Leave"),OR(NOT(ISNUMBER(H251)),NOT(ISNUMBER(I251)))),"Enter leave from and to",IF(AND(ISNUMBER(F251),ISNUMBER(G251),G251&lt;=F251),"End is before start",IF(AND(ISNUMBER(H251),ISNUMBER(I251),I251&lt;=H251),"Leave end is before start",IF(AND(ISNUMBER(F251),ISNUMBER(G251),ISNUMBER(H251),ISNUMBER(I251),F251&lt;I251,H251&lt;G251),"Work and leave hours overlap",IF(AND(E251&lt;&gt;"",WEEKDAY(A251)=7),"Saturday - administrator only","")))))))</f>
        <v/>
      </c>
      <c r="T251" s="36" t="n">
        <f aca="false">MONTH(A251)</f>
        <v>9</v>
      </c>
      <c r="U251" s="37" t="b">
        <f aca="false">OR(C251="Workday",C251="Eve")</f>
        <v>1</v>
      </c>
      <c r="V251" s="34" t="n">
        <f aca="false">IF(C251="Eve",Settings!$B$8,Settings!$B$7)</f>
        <v>0.6875</v>
      </c>
      <c r="W251" s="14" t="n">
        <f aca="false">IF(U251,(V251-Settings!$B$6)*24,0)</f>
        <v>8.5</v>
      </c>
    </row>
    <row r="252" customFormat="false" ht="15" hidden="false" customHeight="false" outlineLevel="0" collapsed="false">
      <c r="A252" s="29" t="n">
        <v>46268</v>
      </c>
      <c r="B252" s="30" t="str">
        <f aca="false">CHOOSE(WEEKDAY(A252),"Sun","Mon","Tue","Wed","Thu","Fri","Sat")</f>
        <v>Thu</v>
      </c>
      <c r="C252" s="30" t="str">
        <f aca="false">IF(IFERROR(INDEX(Holidays!$D$5:$D$60,MATCH(A252,Holidays!$A$5:$A$60,0)),"")="Holiday","Holiday",IF(WEEKDAY(A252)&gt;=6,"Weekend",IF(IFERROR(INDEX(Holidays!$D$5:$D$60,MATCH(A252,Holidays!$A$5:$A$60,0)),"")="Eve","Eve","Workday")))</f>
        <v>Workday</v>
      </c>
      <c r="D252" s="18" t="str">
        <f aca="false">IFERROR(INDEX(Holidays!$C$5:$C$60,MATCH(A252,Holidays!$A$5:$A$60,0)),"")</f>
        <v/>
      </c>
      <c r="E252" s="31"/>
      <c r="F252" s="32"/>
      <c r="G252" s="32"/>
      <c r="H252" s="32"/>
      <c r="I252" s="32"/>
      <c r="J252" s="31"/>
      <c r="K252" s="33" t="str">
        <f aca="false">IF(E252&lt;&gt;"",E252,IF(U252,"Present",IF(C252="Holiday","Holiday","Weekend")))</f>
        <v>Present</v>
      </c>
      <c r="L252" s="34" t="n">
        <f aca="false">IF(OR(K252="Present",K252="Manual Work",K252="Partial Vacation",K252="Partial Sick Leave"),IF(ISNUMBER(F252),F252,IF(AND(K252="Present",U252),Settings!$B$6,"")),"")</f>
        <v>0.333333333333333</v>
      </c>
      <c r="M252" s="34" t="n">
        <f aca="false">IF(OR(K252="Present",K252="Manual Work",K252="Partial Vacation",K252="Partial Sick Leave"),IF(ISNUMBER(G252),G252,IF(AND(K252="Present",U252),V252,"")),"")</f>
        <v>0.6875</v>
      </c>
      <c r="N252" s="14" t="n">
        <f aca="false">IF(AND(ISNUMBER(L252),ISNUMBER(M252)),MAX(0,(M252-L252)*24),0)</f>
        <v>8.5</v>
      </c>
      <c r="O252" s="14" t="n">
        <f aca="false">IF(NOT(U252),0,IF(K252="Vacation",IF(C252="Eve",Settings!$B$9*Settings!$B$11,W252),IF(K252="Partial Vacation",IF(AND(ISNUMBER(H252),ISNUMBER(I252)),MAX(0,(I252-H252)*24),0),0)))</f>
        <v>0</v>
      </c>
      <c r="P252" s="14" t="n">
        <f aca="false">IF(NOT(U252),0,IF(K252="Sick Leave",W252,IF(K252="Partial Sick Leave",IF(AND(ISNUMBER(H252),ISNUMBER(I252)),MAX(0,(I252-H252)*24),0),0)))</f>
        <v>0</v>
      </c>
      <c r="Q252" s="14" t="n">
        <f aca="false">IF(NOT(U252),0,IF(K252="Vacation",IF(C252="Eve",Settings!$B$11,1),IF(K252="Partial Vacation",O252/Settings!$B$9,0)))</f>
        <v>0</v>
      </c>
      <c r="R252" s="14" t="n">
        <f aca="false">IF(NOT(U252),0,IF(K252="Sick Leave",1,IF(K252="Partial Sick Leave",P252/Settings!$B$9,0)))</f>
        <v>0</v>
      </c>
      <c r="S252" s="35" t="str">
        <f aca="false">IF(AND(OR(E252="Vacation",E252="Sick Leave",E252="Partial Vacation",E252="Partial Sick Leave"),NOT(U252)),"Leave not allowed on this day",IF(AND(E252="Manual Work",OR(NOT(ISNUMBER(F252)),NOT(ISNUMBER(G252)))),"Enter start and end",IF(AND(OR(E252="Partial Vacation",E252="Partial Sick Leave"),OR(NOT(ISNUMBER(H252)),NOT(ISNUMBER(I252)))),"Enter leave from and to",IF(AND(ISNUMBER(F252),ISNUMBER(G252),G252&lt;=F252),"End is before start",IF(AND(ISNUMBER(H252),ISNUMBER(I252),I252&lt;=H252),"Leave end is before start",IF(AND(ISNUMBER(F252),ISNUMBER(G252),ISNUMBER(H252),ISNUMBER(I252),F252&lt;I252,H252&lt;G252),"Work and leave hours overlap",IF(AND(E252&lt;&gt;"",WEEKDAY(A252)=7),"Saturday - administrator only","")))))))</f>
        <v/>
      </c>
      <c r="T252" s="36" t="n">
        <f aca="false">MONTH(A252)</f>
        <v>9</v>
      </c>
      <c r="U252" s="37" t="b">
        <f aca="false">OR(C252="Workday",C252="Eve")</f>
        <v>1</v>
      </c>
      <c r="V252" s="34" t="n">
        <f aca="false">IF(C252="Eve",Settings!$B$8,Settings!$B$7)</f>
        <v>0.6875</v>
      </c>
      <c r="W252" s="14" t="n">
        <f aca="false">IF(U252,(V252-Settings!$B$6)*24,0)</f>
        <v>8.5</v>
      </c>
    </row>
    <row r="253" customFormat="false" ht="15" hidden="false" customHeight="false" outlineLevel="0" collapsed="false">
      <c r="A253" s="29" t="n">
        <v>46269</v>
      </c>
      <c r="B253" s="30" t="str">
        <f aca="false">CHOOSE(WEEKDAY(A253),"Sun","Mon","Tue","Wed","Thu","Fri","Sat")</f>
        <v>Fri</v>
      </c>
      <c r="C253" s="30" t="str">
        <f aca="false">IF(IFERROR(INDEX(Holidays!$D$5:$D$60,MATCH(A253,Holidays!$A$5:$A$60,0)),"")="Holiday","Holiday",IF(WEEKDAY(A253)&gt;=6,"Weekend",IF(IFERROR(INDEX(Holidays!$D$5:$D$60,MATCH(A253,Holidays!$A$5:$A$60,0)),"")="Eve","Eve","Workday")))</f>
        <v>Weekend</v>
      </c>
      <c r="D253" s="18" t="str">
        <f aca="false">IFERROR(INDEX(Holidays!$C$5:$C$60,MATCH(A253,Holidays!$A$5:$A$60,0)),"")</f>
        <v/>
      </c>
      <c r="E253" s="31"/>
      <c r="F253" s="32"/>
      <c r="G253" s="32"/>
      <c r="H253" s="32"/>
      <c r="I253" s="32"/>
      <c r="J253" s="31"/>
      <c r="K253" s="33" t="str">
        <f aca="false">IF(E253&lt;&gt;"",E253,IF(U253,"Present",IF(C253="Holiday","Holiday","Weekend")))</f>
        <v>Weekend</v>
      </c>
      <c r="L253" s="34" t="str">
        <f aca="false">IF(OR(K253="Present",K253="Manual Work",K253="Partial Vacation",K253="Partial Sick Leave"),IF(ISNUMBER(F253),F253,IF(AND(K253="Present",U253),Settings!$B$6,"")),"")</f>
        <v/>
      </c>
      <c r="M253" s="34" t="str">
        <f aca="false">IF(OR(K253="Present",K253="Manual Work",K253="Partial Vacation",K253="Partial Sick Leave"),IF(ISNUMBER(G253),G253,IF(AND(K253="Present",U253),V253,"")),"")</f>
        <v/>
      </c>
      <c r="N253" s="14" t="n">
        <f aca="false">IF(AND(ISNUMBER(L253),ISNUMBER(M253)),MAX(0,(M253-L253)*24),0)</f>
        <v>0</v>
      </c>
      <c r="O253" s="14" t="n">
        <f aca="false">IF(NOT(U253),0,IF(K253="Vacation",IF(C253="Eve",Settings!$B$9*Settings!$B$11,W253),IF(K253="Partial Vacation",IF(AND(ISNUMBER(H253),ISNUMBER(I253)),MAX(0,(I253-H253)*24),0),0)))</f>
        <v>0</v>
      </c>
      <c r="P253" s="14" t="n">
        <f aca="false">IF(NOT(U253),0,IF(K253="Sick Leave",W253,IF(K253="Partial Sick Leave",IF(AND(ISNUMBER(H253),ISNUMBER(I253)),MAX(0,(I253-H253)*24),0),0)))</f>
        <v>0</v>
      </c>
      <c r="Q253" s="14" t="n">
        <f aca="false">IF(NOT(U253),0,IF(K253="Vacation",IF(C253="Eve",Settings!$B$11,1),IF(K253="Partial Vacation",O253/Settings!$B$9,0)))</f>
        <v>0</v>
      </c>
      <c r="R253" s="14" t="n">
        <f aca="false">IF(NOT(U253),0,IF(K253="Sick Leave",1,IF(K253="Partial Sick Leave",P253/Settings!$B$9,0)))</f>
        <v>0</v>
      </c>
      <c r="S253" s="35" t="str">
        <f aca="false">IF(AND(OR(E253="Vacation",E253="Sick Leave",E253="Partial Vacation",E253="Partial Sick Leave"),NOT(U253)),"Leave not allowed on this day",IF(AND(E253="Manual Work",OR(NOT(ISNUMBER(F253)),NOT(ISNUMBER(G253)))),"Enter start and end",IF(AND(OR(E253="Partial Vacation",E253="Partial Sick Leave"),OR(NOT(ISNUMBER(H253)),NOT(ISNUMBER(I253)))),"Enter leave from and to",IF(AND(ISNUMBER(F253),ISNUMBER(G253),G253&lt;=F253),"End is before start",IF(AND(ISNUMBER(H253),ISNUMBER(I253),I253&lt;=H253),"Leave end is before start",IF(AND(ISNUMBER(F253),ISNUMBER(G253),ISNUMBER(H253),ISNUMBER(I253),F253&lt;I253,H253&lt;G253),"Work and leave hours overlap",IF(AND(E253&lt;&gt;"",WEEKDAY(A253)=7),"Saturday - administrator only","")))))))</f>
        <v/>
      </c>
      <c r="T253" s="36" t="n">
        <f aca="false">MONTH(A253)</f>
        <v>9</v>
      </c>
      <c r="U253" s="37" t="b">
        <f aca="false">OR(C253="Workday",C253="Eve")</f>
        <v>0</v>
      </c>
      <c r="V253" s="34" t="n">
        <f aca="false">IF(C253="Eve",Settings!$B$8,Settings!$B$7)</f>
        <v>0.6875</v>
      </c>
      <c r="W253" s="14" t="n">
        <f aca="false">IF(U253,(V253-Settings!$B$6)*24,0)</f>
        <v>0</v>
      </c>
    </row>
    <row r="254" customFormat="false" ht="15" hidden="false" customHeight="false" outlineLevel="0" collapsed="false">
      <c r="A254" s="29" t="n">
        <v>46270</v>
      </c>
      <c r="B254" s="30" t="str">
        <f aca="false">CHOOSE(WEEKDAY(A254),"Sun","Mon","Tue","Wed","Thu","Fri","Sat")</f>
        <v>Sat</v>
      </c>
      <c r="C254" s="30" t="str">
        <f aca="false">IF(IFERROR(INDEX(Holidays!$D$5:$D$60,MATCH(A254,Holidays!$A$5:$A$60,0)),"")="Holiday","Holiday",IF(WEEKDAY(A254)&gt;=6,"Weekend",IF(IFERROR(INDEX(Holidays!$D$5:$D$60,MATCH(A254,Holidays!$A$5:$A$60,0)),"")="Eve","Eve","Workday")))</f>
        <v>Weekend</v>
      </c>
      <c r="D254" s="18" t="str">
        <f aca="false">IFERROR(INDEX(Holidays!$C$5:$C$60,MATCH(A254,Holidays!$A$5:$A$60,0)),"")</f>
        <v/>
      </c>
      <c r="E254" s="31"/>
      <c r="F254" s="32"/>
      <c r="G254" s="32"/>
      <c r="H254" s="32"/>
      <c r="I254" s="32"/>
      <c r="J254" s="31"/>
      <c r="K254" s="33" t="str">
        <f aca="false">IF(E254&lt;&gt;"",E254,IF(U254,"Present",IF(C254="Holiday","Holiday","Weekend")))</f>
        <v>Weekend</v>
      </c>
      <c r="L254" s="34" t="str">
        <f aca="false">IF(OR(K254="Present",K254="Manual Work",K254="Partial Vacation",K254="Partial Sick Leave"),IF(ISNUMBER(F254),F254,IF(AND(K254="Present",U254),Settings!$B$6,"")),"")</f>
        <v/>
      </c>
      <c r="M254" s="34" t="str">
        <f aca="false">IF(OR(K254="Present",K254="Manual Work",K254="Partial Vacation",K254="Partial Sick Leave"),IF(ISNUMBER(G254),G254,IF(AND(K254="Present",U254),V254,"")),"")</f>
        <v/>
      </c>
      <c r="N254" s="14" t="n">
        <f aca="false">IF(AND(ISNUMBER(L254),ISNUMBER(M254)),MAX(0,(M254-L254)*24),0)</f>
        <v>0</v>
      </c>
      <c r="O254" s="14" t="n">
        <f aca="false">IF(NOT(U254),0,IF(K254="Vacation",IF(C254="Eve",Settings!$B$9*Settings!$B$11,W254),IF(K254="Partial Vacation",IF(AND(ISNUMBER(H254),ISNUMBER(I254)),MAX(0,(I254-H254)*24),0),0)))</f>
        <v>0</v>
      </c>
      <c r="P254" s="14" t="n">
        <f aca="false">IF(NOT(U254),0,IF(K254="Sick Leave",W254,IF(K254="Partial Sick Leave",IF(AND(ISNUMBER(H254),ISNUMBER(I254)),MAX(0,(I254-H254)*24),0),0)))</f>
        <v>0</v>
      </c>
      <c r="Q254" s="14" t="n">
        <f aca="false">IF(NOT(U254),0,IF(K254="Vacation",IF(C254="Eve",Settings!$B$11,1),IF(K254="Partial Vacation",O254/Settings!$B$9,0)))</f>
        <v>0</v>
      </c>
      <c r="R254" s="14" t="n">
        <f aca="false">IF(NOT(U254),0,IF(K254="Sick Leave",1,IF(K254="Partial Sick Leave",P254/Settings!$B$9,0)))</f>
        <v>0</v>
      </c>
      <c r="S254" s="35" t="str">
        <f aca="false">IF(AND(OR(E254="Vacation",E254="Sick Leave",E254="Partial Vacation",E254="Partial Sick Leave"),NOT(U254)),"Leave not allowed on this day",IF(AND(E254="Manual Work",OR(NOT(ISNUMBER(F254)),NOT(ISNUMBER(G254)))),"Enter start and end",IF(AND(OR(E254="Partial Vacation",E254="Partial Sick Leave"),OR(NOT(ISNUMBER(H254)),NOT(ISNUMBER(I254)))),"Enter leave from and to",IF(AND(ISNUMBER(F254),ISNUMBER(G254),G254&lt;=F254),"End is before start",IF(AND(ISNUMBER(H254),ISNUMBER(I254),I254&lt;=H254),"Leave end is before start",IF(AND(ISNUMBER(F254),ISNUMBER(G254),ISNUMBER(H254),ISNUMBER(I254),F254&lt;I254,H254&lt;G254),"Work and leave hours overlap",IF(AND(E254&lt;&gt;"",WEEKDAY(A254)=7),"Saturday - administrator only","")))))))</f>
        <v/>
      </c>
      <c r="T254" s="36" t="n">
        <f aca="false">MONTH(A254)</f>
        <v>9</v>
      </c>
      <c r="U254" s="37" t="b">
        <f aca="false">OR(C254="Workday",C254="Eve")</f>
        <v>0</v>
      </c>
      <c r="V254" s="34" t="n">
        <f aca="false">IF(C254="Eve",Settings!$B$8,Settings!$B$7)</f>
        <v>0.6875</v>
      </c>
      <c r="W254" s="14" t="n">
        <f aca="false">IF(U254,(V254-Settings!$B$6)*24,0)</f>
        <v>0</v>
      </c>
    </row>
    <row r="255" customFormat="false" ht="15" hidden="false" customHeight="false" outlineLevel="0" collapsed="false">
      <c r="A255" s="29" t="n">
        <v>46271</v>
      </c>
      <c r="B255" s="30" t="str">
        <f aca="false">CHOOSE(WEEKDAY(A255),"Sun","Mon","Tue","Wed","Thu","Fri","Sat")</f>
        <v>Sun</v>
      </c>
      <c r="C255" s="30" t="str">
        <f aca="false">IF(IFERROR(INDEX(Holidays!$D$5:$D$60,MATCH(A255,Holidays!$A$5:$A$60,0)),"")="Holiday","Holiday",IF(WEEKDAY(A255)&gt;=6,"Weekend",IF(IFERROR(INDEX(Holidays!$D$5:$D$60,MATCH(A255,Holidays!$A$5:$A$60,0)),"")="Eve","Eve","Workday")))</f>
        <v>Workday</v>
      </c>
      <c r="D255" s="18" t="str">
        <f aca="false">IFERROR(INDEX(Holidays!$C$5:$C$60,MATCH(A255,Holidays!$A$5:$A$60,0)),"")</f>
        <v/>
      </c>
      <c r="E255" s="31"/>
      <c r="F255" s="32"/>
      <c r="G255" s="32"/>
      <c r="H255" s="32"/>
      <c r="I255" s="32"/>
      <c r="J255" s="31"/>
      <c r="K255" s="33" t="str">
        <f aca="false">IF(E255&lt;&gt;"",E255,IF(U255,"Present",IF(C255="Holiday","Holiday","Weekend")))</f>
        <v>Present</v>
      </c>
      <c r="L255" s="34" t="n">
        <f aca="false">IF(OR(K255="Present",K255="Manual Work",K255="Partial Vacation",K255="Partial Sick Leave"),IF(ISNUMBER(F255),F255,IF(AND(K255="Present",U255),Settings!$B$6,"")),"")</f>
        <v>0.333333333333333</v>
      </c>
      <c r="M255" s="34" t="n">
        <f aca="false">IF(OR(K255="Present",K255="Manual Work",K255="Partial Vacation",K255="Partial Sick Leave"),IF(ISNUMBER(G255),G255,IF(AND(K255="Present",U255),V255,"")),"")</f>
        <v>0.6875</v>
      </c>
      <c r="N255" s="14" t="n">
        <f aca="false">IF(AND(ISNUMBER(L255),ISNUMBER(M255)),MAX(0,(M255-L255)*24),0)</f>
        <v>8.5</v>
      </c>
      <c r="O255" s="14" t="n">
        <f aca="false">IF(NOT(U255),0,IF(K255="Vacation",IF(C255="Eve",Settings!$B$9*Settings!$B$11,W255),IF(K255="Partial Vacation",IF(AND(ISNUMBER(H255),ISNUMBER(I255)),MAX(0,(I255-H255)*24),0),0)))</f>
        <v>0</v>
      </c>
      <c r="P255" s="14" t="n">
        <f aca="false">IF(NOT(U255),0,IF(K255="Sick Leave",W255,IF(K255="Partial Sick Leave",IF(AND(ISNUMBER(H255),ISNUMBER(I255)),MAX(0,(I255-H255)*24),0),0)))</f>
        <v>0</v>
      </c>
      <c r="Q255" s="14" t="n">
        <f aca="false">IF(NOT(U255),0,IF(K255="Vacation",IF(C255="Eve",Settings!$B$11,1),IF(K255="Partial Vacation",O255/Settings!$B$9,0)))</f>
        <v>0</v>
      </c>
      <c r="R255" s="14" t="n">
        <f aca="false">IF(NOT(U255),0,IF(K255="Sick Leave",1,IF(K255="Partial Sick Leave",P255/Settings!$B$9,0)))</f>
        <v>0</v>
      </c>
      <c r="S255" s="35" t="str">
        <f aca="false">IF(AND(OR(E255="Vacation",E255="Sick Leave",E255="Partial Vacation",E255="Partial Sick Leave"),NOT(U255)),"Leave not allowed on this day",IF(AND(E255="Manual Work",OR(NOT(ISNUMBER(F255)),NOT(ISNUMBER(G255)))),"Enter start and end",IF(AND(OR(E255="Partial Vacation",E255="Partial Sick Leave"),OR(NOT(ISNUMBER(H255)),NOT(ISNUMBER(I255)))),"Enter leave from and to",IF(AND(ISNUMBER(F255),ISNUMBER(G255),G255&lt;=F255),"End is before start",IF(AND(ISNUMBER(H255),ISNUMBER(I255),I255&lt;=H255),"Leave end is before start",IF(AND(ISNUMBER(F255),ISNUMBER(G255),ISNUMBER(H255),ISNUMBER(I255),F255&lt;I255,H255&lt;G255),"Work and leave hours overlap",IF(AND(E255&lt;&gt;"",WEEKDAY(A255)=7),"Saturday - administrator only","")))))))</f>
        <v/>
      </c>
      <c r="T255" s="36" t="n">
        <f aca="false">MONTH(A255)</f>
        <v>9</v>
      </c>
      <c r="U255" s="37" t="b">
        <f aca="false">OR(C255="Workday",C255="Eve")</f>
        <v>1</v>
      </c>
      <c r="V255" s="34" t="n">
        <f aca="false">IF(C255="Eve",Settings!$B$8,Settings!$B$7)</f>
        <v>0.6875</v>
      </c>
      <c r="W255" s="14" t="n">
        <f aca="false">IF(U255,(V255-Settings!$B$6)*24,0)</f>
        <v>8.5</v>
      </c>
    </row>
    <row r="256" customFormat="false" ht="15" hidden="false" customHeight="false" outlineLevel="0" collapsed="false">
      <c r="A256" s="29" t="n">
        <v>46272</v>
      </c>
      <c r="B256" s="30" t="str">
        <f aca="false">CHOOSE(WEEKDAY(A256),"Sun","Mon","Tue","Wed","Thu","Fri","Sat")</f>
        <v>Mon</v>
      </c>
      <c r="C256" s="30" t="str">
        <f aca="false">IF(IFERROR(INDEX(Holidays!$D$5:$D$60,MATCH(A256,Holidays!$A$5:$A$60,0)),"")="Holiday","Holiday",IF(WEEKDAY(A256)&gt;=6,"Weekend",IF(IFERROR(INDEX(Holidays!$D$5:$D$60,MATCH(A256,Holidays!$A$5:$A$60,0)),"")="Eve","Eve","Workday")))</f>
        <v>Workday</v>
      </c>
      <c r="D256" s="18" t="str">
        <f aca="false">IFERROR(INDEX(Holidays!$C$5:$C$60,MATCH(A256,Holidays!$A$5:$A$60,0)),"")</f>
        <v/>
      </c>
      <c r="E256" s="31"/>
      <c r="F256" s="32"/>
      <c r="G256" s="32"/>
      <c r="H256" s="32"/>
      <c r="I256" s="32"/>
      <c r="J256" s="31"/>
      <c r="K256" s="33" t="str">
        <f aca="false">IF(E256&lt;&gt;"",E256,IF(U256,"Present",IF(C256="Holiday","Holiday","Weekend")))</f>
        <v>Present</v>
      </c>
      <c r="L256" s="34" t="n">
        <f aca="false">IF(OR(K256="Present",K256="Manual Work",K256="Partial Vacation",K256="Partial Sick Leave"),IF(ISNUMBER(F256),F256,IF(AND(K256="Present",U256),Settings!$B$6,"")),"")</f>
        <v>0.333333333333333</v>
      </c>
      <c r="M256" s="34" t="n">
        <f aca="false">IF(OR(K256="Present",K256="Manual Work",K256="Partial Vacation",K256="Partial Sick Leave"),IF(ISNUMBER(G256),G256,IF(AND(K256="Present",U256),V256,"")),"")</f>
        <v>0.6875</v>
      </c>
      <c r="N256" s="14" t="n">
        <f aca="false">IF(AND(ISNUMBER(L256),ISNUMBER(M256)),MAX(0,(M256-L256)*24),0)</f>
        <v>8.5</v>
      </c>
      <c r="O256" s="14" t="n">
        <f aca="false">IF(NOT(U256),0,IF(K256="Vacation",IF(C256="Eve",Settings!$B$9*Settings!$B$11,W256),IF(K256="Partial Vacation",IF(AND(ISNUMBER(H256),ISNUMBER(I256)),MAX(0,(I256-H256)*24),0),0)))</f>
        <v>0</v>
      </c>
      <c r="P256" s="14" t="n">
        <f aca="false">IF(NOT(U256),0,IF(K256="Sick Leave",W256,IF(K256="Partial Sick Leave",IF(AND(ISNUMBER(H256),ISNUMBER(I256)),MAX(0,(I256-H256)*24),0),0)))</f>
        <v>0</v>
      </c>
      <c r="Q256" s="14" t="n">
        <f aca="false">IF(NOT(U256),0,IF(K256="Vacation",IF(C256="Eve",Settings!$B$11,1),IF(K256="Partial Vacation",O256/Settings!$B$9,0)))</f>
        <v>0</v>
      </c>
      <c r="R256" s="14" t="n">
        <f aca="false">IF(NOT(U256),0,IF(K256="Sick Leave",1,IF(K256="Partial Sick Leave",P256/Settings!$B$9,0)))</f>
        <v>0</v>
      </c>
      <c r="S256" s="35" t="str">
        <f aca="false">IF(AND(OR(E256="Vacation",E256="Sick Leave",E256="Partial Vacation",E256="Partial Sick Leave"),NOT(U256)),"Leave not allowed on this day",IF(AND(E256="Manual Work",OR(NOT(ISNUMBER(F256)),NOT(ISNUMBER(G256)))),"Enter start and end",IF(AND(OR(E256="Partial Vacation",E256="Partial Sick Leave"),OR(NOT(ISNUMBER(H256)),NOT(ISNUMBER(I256)))),"Enter leave from and to",IF(AND(ISNUMBER(F256),ISNUMBER(G256),G256&lt;=F256),"End is before start",IF(AND(ISNUMBER(H256),ISNUMBER(I256),I256&lt;=H256),"Leave end is before start",IF(AND(ISNUMBER(F256),ISNUMBER(G256),ISNUMBER(H256),ISNUMBER(I256),F256&lt;I256,H256&lt;G256),"Work and leave hours overlap",IF(AND(E256&lt;&gt;"",WEEKDAY(A256)=7),"Saturday - administrator only","")))))))</f>
        <v/>
      </c>
      <c r="T256" s="36" t="n">
        <f aca="false">MONTH(A256)</f>
        <v>9</v>
      </c>
      <c r="U256" s="37" t="b">
        <f aca="false">OR(C256="Workday",C256="Eve")</f>
        <v>1</v>
      </c>
      <c r="V256" s="34" t="n">
        <f aca="false">IF(C256="Eve",Settings!$B$8,Settings!$B$7)</f>
        <v>0.6875</v>
      </c>
      <c r="W256" s="14" t="n">
        <f aca="false">IF(U256,(V256-Settings!$B$6)*24,0)</f>
        <v>8.5</v>
      </c>
    </row>
    <row r="257" customFormat="false" ht="15" hidden="false" customHeight="false" outlineLevel="0" collapsed="false">
      <c r="A257" s="29" t="n">
        <v>46273</v>
      </c>
      <c r="B257" s="30" t="str">
        <f aca="false">CHOOSE(WEEKDAY(A257),"Sun","Mon","Tue","Wed","Thu","Fri","Sat")</f>
        <v>Tue</v>
      </c>
      <c r="C257" s="30" t="str">
        <f aca="false">IF(IFERROR(INDEX(Holidays!$D$5:$D$60,MATCH(A257,Holidays!$A$5:$A$60,0)),"")="Holiday","Holiday",IF(WEEKDAY(A257)&gt;=6,"Weekend",IF(IFERROR(INDEX(Holidays!$D$5:$D$60,MATCH(A257,Holidays!$A$5:$A$60,0)),"")="Eve","Eve","Workday")))</f>
        <v>Workday</v>
      </c>
      <c r="D257" s="18" t="str">
        <f aca="false">IFERROR(INDEX(Holidays!$C$5:$C$60,MATCH(A257,Holidays!$A$5:$A$60,0)),"")</f>
        <v/>
      </c>
      <c r="E257" s="31"/>
      <c r="F257" s="32"/>
      <c r="G257" s="32"/>
      <c r="H257" s="32"/>
      <c r="I257" s="32"/>
      <c r="J257" s="31"/>
      <c r="K257" s="33" t="str">
        <f aca="false">IF(E257&lt;&gt;"",E257,IF(U257,"Present",IF(C257="Holiday","Holiday","Weekend")))</f>
        <v>Present</v>
      </c>
      <c r="L257" s="34" t="n">
        <f aca="false">IF(OR(K257="Present",K257="Manual Work",K257="Partial Vacation",K257="Partial Sick Leave"),IF(ISNUMBER(F257),F257,IF(AND(K257="Present",U257),Settings!$B$6,"")),"")</f>
        <v>0.333333333333333</v>
      </c>
      <c r="M257" s="34" t="n">
        <f aca="false">IF(OR(K257="Present",K257="Manual Work",K257="Partial Vacation",K257="Partial Sick Leave"),IF(ISNUMBER(G257),G257,IF(AND(K257="Present",U257),V257,"")),"")</f>
        <v>0.6875</v>
      </c>
      <c r="N257" s="14" t="n">
        <f aca="false">IF(AND(ISNUMBER(L257),ISNUMBER(M257)),MAX(0,(M257-L257)*24),0)</f>
        <v>8.5</v>
      </c>
      <c r="O257" s="14" t="n">
        <f aca="false">IF(NOT(U257),0,IF(K257="Vacation",IF(C257="Eve",Settings!$B$9*Settings!$B$11,W257),IF(K257="Partial Vacation",IF(AND(ISNUMBER(H257),ISNUMBER(I257)),MAX(0,(I257-H257)*24),0),0)))</f>
        <v>0</v>
      </c>
      <c r="P257" s="14" t="n">
        <f aca="false">IF(NOT(U257),0,IF(K257="Sick Leave",W257,IF(K257="Partial Sick Leave",IF(AND(ISNUMBER(H257),ISNUMBER(I257)),MAX(0,(I257-H257)*24),0),0)))</f>
        <v>0</v>
      </c>
      <c r="Q257" s="14" t="n">
        <f aca="false">IF(NOT(U257),0,IF(K257="Vacation",IF(C257="Eve",Settings!$B$11,1),IF(K257="Partial Vacation",O257/Settings!$B$9,0)))</f>
        <v>0</v>
      </c>
      <c r="R257" s="14" t="n">
        <f aca="false">IF(NOT(U257),0,IF(K257="Sick Leave",1,IF(K257="Partial Sick Leave",P257/Settings!$B$9,0)))</f>
        <v>0</v>
      </c>
      <c r="S257" s="35" t="str">
        <f aca="false">IF(AND(OR(E257="Vacation",E257="Sick Leave",E257="Partial Vacation",E257="Partial Sick Leave"),NOT(U257)),"Leave not allowed on this day",IF(AND(E257="Manual Work",OR(NOT(ISNUMBER(F257)),NOT(ISNUMBER(G257)))),"Enter start and end",IF(AND(OR(E257="Partial Vacation",E257="Partial Sick Leave"),OR(NOT(ISNUMBER(H257)),NOT(ISNUMBER(I257)))),"Enter leave from and to",IF(AND(ISNUMBER(F257),ISNUMBER(G257),G257&lt;=F257),"End is before start",IF(AND(ISNUMBER(H257),ISNUMBER(I257),I257&lt;=H257),"Leave end is before start",IF(AND(ISNUMBER(F257),ISNUMBER(G257),ISNUMBER(H257),ISNUMBER(I257),F257&lt;I257,H257&lt;G257),"Work and leave hours overlap",IF(AND(E257&lt;&gt;"",WEEKDAY(A257)=7),"Saturday - administrator only","")))))))</f>
        <v/>
      </c>
      <c r="T257" s="36" t="n">
        <f aca="false">MONTH(A257)</f>
        <v>9</v>
      </c>
      <c r="U257" s="37" t="b">
        <f aca="false">OR(C257="Workday",C257="Eve")</f>
        <v>1</v>
      </c>
      <c r="V257" s="34" t="n">
        <f aca="false">IF(C257="Eve",Settings!$B$8,Settings!$B$7)</f>
        <v>0.6875</v>
      </c>
      <c r="W257" s="14" t="n">
        <f aca="false">IF(U257,(V257-Settings!$B$6)*24,0)</f>
        <v>8.5</v>
      </c>
    </row>
    <row r="258" customFormat="false" ht="15" hidden="false" customHeight="false" outlineLevel="0" collapsed="false">
      <c r="A258" s="29" t="n">
        <v>46274</v>
      </c>
      <c r="B258" s="30" t="str">
        <f aca="false">CHOOSE(WEEKDAY(A258),"Sun","Mon","Tue","Wed","Thu","Fri","Sat")</f>
        <v>Wed</v>
      </c>
      <c r="C258" s="30" t="str">
        <f aca="false">IF(IFERROR(INDEX(Holidays!$D$5:$D$60,MATCH(A258,Holidays!$A$5:$A$60,0)),"")="Holiday","Holiday",IF(WEEKDAY(A258)&gt;=6,"Weekend",IF(IFERROR(INDEX(Holidays!$D$5:$D$60,MATCH(A258,Holidays!$A$5:$A$60,0)),"")="Eve","Eve","Workday")))</f>
        <v>Workday</v>
      </c>
      <c r="D258" s="18" t="str">
        <f aca="false">IFERROR(INDEX(Holidays!$C$5:$C$60,MATCH(A258,Holidays!$A$5:$A$60,0)),"")</f>
        <v/>
      </c>
      <c r="E258" s="31"/>
      <c r="F258" s="32"/>
      <c r="G258" s="32"/>
      <c r="H258" s="32"/>
      <c r="I258" s="32"/>
      <c r="J258" s="31"/>
      <c r="K258" s="33" t="str">
        <f aca="false">IF(E258&lt;&gt;"",E258,IF(U258,"Present",IF(C258="Holiday","Holiday","Weekend")))</f>
        <v>Present</v>
      </c>
      <c r="L258" s="34" t="n">
        <f aca="false">IF(OR(K258="Present",K258="Manual Work",K258="Partial Vacation",K258="Partial Sick Leave"),IF(ISNUMBER(F258),F258,IF(AND(K258="Present",U258),Settings!$B$6,"")),"")</f>
        <v>0.333333333333333</v>
      </c>
      <c r="M258" s="34" t="n">
        <f aca="false">IF(OR(K258="Present",K258="Manual Work",K258="Partial Vacation",K258="Partial Sick Leave"),IF(ISNUMBER(G258),G258,IF(AND(K258="Present",U258),V258,"")),"")</f>
        <v>0.6875</v>
      </c>
      <c r="N258" s="14" t="n">
        <f aca="false">IF(AND(ISNUMBER(L258),ISNUMBER(M258)),MAX(0,(M258-L258)*24),0)</f>
        <v>8.5</v>
      </c>
      <c r="O258" s="14" t="n">
        <f aca="false">IF(NOT(U258),0,IF(K258="Vacation",IF(C258="Eve",Settings!$B$9*Settings!$B$11,W258),IF(K258="Partial Vacation",IF(AND(ISNUMBER(H258),ISNUMBER(I258)),MAX(0,(I258-H258)*24),0),0)))</f>
        <v>0</v>
      </c>
      <c r="P258" s="14" t="n">
        <f aca="false">IF(NOT(U258),0,IF(K258="Sick Leave",W258,IF(K258="Partial Sick Leave",IF(AND(ISNUMBER(H258),ISNUMBER(I258)),MAX(0,(I258-H258)*24),0),0)))</f>
        <v>0</v>
      </c>
      <c r="Q258" s="14" t="n">
        <f aca="false">IF(NOT(U258),0,IF(K258="Vacation",IF(C258="Eve",Settings!$B$11,1),IF(K258="Partial Vacation",O258/Settings!$B$9,0)))</f>
        <v>0</v>
      </c>
      <c r="R258" s="14" t="n">
        <f aca="false">IF(NOT(U258),0,IF(K258="Sick Leave",1,IF(K258="Partial Sick Leave",P258/Settings!$B$9,0)))</f>
        <v>0</v>
      </c>
      <c r="S258" s="35" t="str">
        <f aca="false">IF(AND(OR(E258="Vacation",E258="Sick Leave",E258="Partial Vacation",E258="Partial Sick Leave"),NOT(U258)),"Leave not allowed on this day",IF(AND(E258="Manual Work",OR(NOT(ISNUMBER(F258)),NOT(ISNUMBER(G258)))),"Enter start and end",IF(AND(OR(E258="Partial Vacation",E258="Partial Sick Leave"),OR(NOT(ISNUMBER(H258)),NOT(ISNUMBER(I258)))),"Enter leave from and to",IF(AND(ISNUMBER(F258),ISNUMBER(G258),G258&lt;=F258),"End is before start",IF(AND(ISNUMBER(H258),ISNUMBER(I258),I258&lt;=H258),"Leave end is before start",IF(AND(ISNUMBER(F258),ISNUMBER(G258),ISNUMBER(H258),ISNUMBER(I258),F258&lt;I258,H258&lt;G258),"Work and leave hours overlap",IF(AND(E258&lt;&gt;"",WEEKDAY(A258)=7),"Saturday - administrator only","")))))))</f>
        <v/>
      </c>
      <c r="T258" s="36" t="n">
        <f aca="false">MONTH(A258)</f>
        <v>9</v>
      </c>
      <c r="U258" s="37" t="b">
        <f aca="false">OR(C258="Workday",C258="Eve")</f>
        <v>1</v>
      </c>
      <c r="V258" s="34" t="n">
        <f aca="false">IF(C258="Eve",Settings!$B$8,Settings!$B$7)</f>
        <v>0.6875</v>
      </c>
      <c r="W258" s="14" t="n">
        <f aca="false">IF(U258,(V258-Settings!$B$6)*24,0)</f>
        <v>8.5</v>
      </c>
    </row>
    <row r="259" customFormat="false" ht="15" hidden="false" customHeight="false" outlineLevel="0" collapsed="false">
      <c r="A259" s="29" t="n">
        <v>46275</v>
      </c>
      <c r="B259" s="30" t="str">
        <f aca="false">CHOOSE(WEEKDAY(A259),"Sun","Mon","Tue","Wed","Thu","Fri","Sat")</f>
        <v>Thu</v>
      </c>
      <c r="C259" s="30" t="str">
        <f aca="false">IF(IFERROR(INDEX(Holidays!$D$5:$D$60,MATCH(A259,Holidays!$A$5:$A$60,0)),"")="Holiday","Holiday",IF(WEEKDAY(A259)&gt;=6,"Weekend",IF(IFERROR(INDEX(Holidays!$D$5:$D$60,MATCH(A259,Holidays!$A$5:$A$60,0)),"")="Eve","Eve","Workday")))</f>
        <v>Workday</v>
      </c>
      <c r="D259" s="18" t="str">
        <f aca="false">IFERROR(INDEX(Holidays!$C$5:$C$60,MATCH(A259,Holidays!$A$5:$A$60,0)),"")</f>
        <v/>
      </c>
      <c r="E259" s="31"/>
      <c r="F259" s="32"/>
      <c r="G259" s="32"/>
      <c r="H259" s="32"/>
      <c r="I259" s="32"/>
      <c r="J259" s="31"/>
      <c r="K259" s="33" t="str">
        <f aca="false">IF(E259&lt;&gt;"",E259,IF(U259,"Present",IF(C259="Holiday","Holiday","Weekend")))</f>
        <v>Present</v>
      </c>
      <c r="L259" s="34" t="n">
        <f aca="false">IF(OR(K259="Present",K259="Manual Work",K259="Partial Vacation",K259="Partial Sick Leave"),IF(ISNUMBER(F259),F259,IF(AND(K259="Present",U259),Settings!$B$6,"")),"")</f>
        <v>0.333333333333333</v>
      </c>
      <c r="M259" s="34" t="n">
        <f aca="false">IF(OR(K259="Present",K259="Manual Work",K259="Partial Vacation",K259="Partial Sick Leave"),IF(ISNUMBER(G259),G259,IF(AND(K259="Present",U259),V259,"")),"")</f>
        <v>0.6875</v>
      </c>
      <c r="N259" s="14" t="n">
        <f aca="false">IF(AND(ISNUMBER(L259),ISNUMBER(M259)),MAX(0,(M259-L259)*24),0)</f>
        <v>8.5</v>
      </c>
      <c r="O259" s="14" t="n">
        <f aca="false">IF(NOT(U259),0,IF(K259="Vacation",IF(C259="Eve",Settings!$B$9*Settings!$B$11,W259),IF(K259="Partial Vacation",IF(AND(ISNUMBER(H259),ISNUMBER(I259)),MAX(0,(I259-H259)*24),0),0)))</f>
        <v>0</v>
      </c>
      <c r="P259" s="14" t="n">
        <f aca="false">IF(NOT(U259),0,IF(K259="Sick Leave",W259,IF(K259="Partial Sick Leave",IF(AND(ISNUMBER(H259),ISNUMBER(I259)),MAX(0,(I259-H259)*24),0),0)))</f>
        <v>0</v>
      </c>
      <c r="Q259" s="14" t="n">
        <f aca="false">IF(NOT(U259),0,IF(K259="Vacation",IF(C259="Eve",Settings!$B$11,1),IF(K259="Partial Vacation",O259/Settings!$B$9,0)))</f>
        <v>0</v>
      </c>
      <c r="R259" s="14" t="n">
        <f aca="false">IF(NOT(U259),0,IF(K259="Sick Leave",1,IF(K259="Partial Sick Leave",P259/Settings!$B$9,0)))</f>
        <v>0</v>
      </c>
      <c r="S259" s="35" t="str">
        <f aca="false">IF(AND(OR(E259="Vacation",E259="Sick Leave",E259="Partial Vacation",E259="Partial Sick Leave"),NOT(U259)),"Leave not allowed on this day",IF(AND(E259="Manual Work",OR(NOT(ISNUMBER(F259)),NOT(ISNUMBER(G259)))),"Enter start and end",IF(AND(OR(E259="Partial Vacation",E259="Partial Sick Leave"),OR(NOT(ISNUMBER(H259)),NOT(ISNUMBER(I259)))),"Enter leave from and to",IF(AND(ISNUMBER(F259),ISNUMBER(G259),G259&lt;=F259),"End is before start",IF(AND(ISNUMBER(H259),ISNUMBER(I259),I259&lt;=H259),"Leave end is before start",IF(AND(ISNUMBER(F259),ISNUMBER(G259),ISNUMBER(H259),ISNUMBER(I259),F259&lt;I259,H259&lt;G259),"Work and leave hours overlap",IF(AND(E259&lt;&gt;"",WEEKDAY(A259)=7),"Saturday - administrator only","")))))))</f>
        <v/>
      </c>
      <c r="T259" s="36" t="n">
        <f aca="false">MONTH(A259)</f>
        <v>9</v>
      </c>
      <c r="U259" s="37" t="b">
        <f aca="false">OR(C259="Workday",C259="Eve")</f>
        <v>1</v>
      </c>
      <c r="V259" s="34" t="n">
        <f aca="false">IF(C259="Eve",Settings!$B$8,Settings!$B$7)</f>
        <v>0.6875</v>
      </c>
      <c r="W259" s="14" t="n">
        <f aca="false">IF(U259,(V259-Settings!$B$6)*24,0)</f>
        <v>8.5</v>
      </c>
    </row>
    <row r="260" customFormat="false" ht="15" hidden="false" customHeight="false" outlineLevel="0" collapsed="false">
      <c r="A260" s="29" t="n">
        <v>46276</v>
      </c>
      <c r="B260" s="30" t="str">
        <f aca="false">CHOOSE(WEEKDAY(A260),"Sun","Mon","Tue","Wed","Thu","Fri","Sat")</f>
        <v>Fri</v>
      </c>
      <c r="C260" s="30" t="str">
        <f aca="false">IF(IFERROR(INDEX(Holidays!$D$5:$D$60,MATCH(A260,Holidays!$A$5:$A$60,0)),"")="Holiday","Holiday",IF(WEEKDAY(A260)&gt;=6,"Weekend",IF(IFERROR(INDEX(Holidays!$D$5:$D$60,MATCH(A260,Holidays!$A$5:$A$60,0)),"")="Eve","Eve","Workday")))</f>
        <v>Weekend</v>
      </c>
      <c r="D260" s="18" t="str">
        <f aca="false">IFERROR(INDEX(Holidays!$C$5:$C$60,MATCH(A260,Holidays!$A$5:$A$60,0)),"")</f>
        <v>Erev Rosh Hashana</v>
      </c>
      <c r="E260" s="31"/>
      <c r="F260" s="32"/>
      <c r="G260" s="32"/>
      <c r="H260" s="32"/>
      <c r="I260" s="32"/>
      <c r="J260" s="31"/>
      <c r="K260" s="33" t="str">
        <f aca="false">IF(E260&lt;&gt;"",E260,IF(U260,"Present",IF(C260="Holiday","Holiday","Weekend")))</f>
        <v>Weekend</v>
      </c>
      <c r="L260" s="34" t="str">
        <f aca="false">IF(OR(K260="Present",K260="Manual Work",K260="Partial Vacation",K260="Partial Sick Leave"),IF(ISNUMBER(F260),F260,IF(AND(K260="Present",U260),Settings!$B$6,"")),"")</f>
        <v/>
      </c>
      <c r="M260" s="34" t="str">
        <f aca="false">IF(OR(K260="Present",K260="Manual Work",K260="Partial Vacation",K260="Partial Sick Leave"),IF(ISNUMBER(G260),G260,IF(AND(K260="Present",U260),V260,"")),"")</f>
        <v/>
      </c>
      <c r="N260" s="14" t="n">
        <f aca="false">IF(AND(ISNUMBER(L260),ISNUMBER(M260)),MAX(0,(M260-L260)*24),0)</f>
        <v>0</v>
      </c>
      <c r="O260" s="14" t="n">
        <f aca="false">IF(NOT(U260),0,IF(K260="Vacation",IF(C260="Eve",Settings!$B$9*Settings!$B$11,W260),IF(K260="Partial Vacation",IF(AND(ISNUMBER(H260),ISNUMBER(I260)),MAX(0,(I260-H260)*24),0),0)))</f>
        <v>0</v>
      </c>
      <c r="P260" s="14" t="n">
        <f aca="false">IF(NOT(U260),0,IF(K260="Sick Leave",W260,IF(K260="Partial Sick Leave",IF(AND(ISNUMBER(H260),ISNUMBER(I260)),MAX(0,(I260-H260)*24),0),0)))</f>
        <v>0</v>
      </c>
      <c r="Q260" s="14" t="n">
        <f aca="false">IF(NOT(U260),0,IF(K260="Vacation",IF(C260="Eve",Settings!$B$11,1),IF(K260="Partial Vacation",O260/Settings!$B$9,0)))</f>
        <v>0</v>
      </c>
      <c r="R260" s="14" t="n">
        <f aca="false">IF(NOT(U260),0,IF(K260="Sick Leave",1,IF(K260="Partial Sick Leave",P260/Settings!$B$9,0)))</f>
        <v>0</v>
      </c>
      <c r="S260" s="35" t="str">
        <f aca="false">IF(AND(OR(E260="Vacation",E260="Sick Leave",E260="Partial Vacation",E260="Partial Sick Leave"),NOT(U260)),"Leave not allowed on this day",IF(AND(E260="Manual Work",OR(NOT(ISNUMBER(F260)),NOT(ISNUMBER(G260)))),"Enter start and end",IF(AND(OR(E260="Partial Vacation",E260="Partial Sick Leave"),OR(NOT(ISNUMBER(H260)),NOT(ISNUMBER(I260)))),"Enter leave from and to",IF(AND(ISNUMBER(F260),ISNUMBER(G260),G260&lt;=F260),"End is before start",IF(AND(ISNUMBER(H260),ISNUMBER(I260),I260&lt;=H260),"Leave end is before start",IF(AND(ISNUMBER(F260),ISNUMBER(G260),ISNUMBER(H260),ISNUMBER(I260),F260&lt;I260,H260&lt;G260),"Work and leave hours overlap",IF(AND(E260&lt;&gt;"",WEEKDAY(A260)=7),"Saturday - administrator only","")))))))</f>
        <v/>
      </c>
      <c r="T260" s="36" t="n">
        <f aca="false">MONTH(A260)</f>
        <v>9</v>
      </c>
      <c r="U260" s="37" t="b">
        <f aca="false">OR(C260="Workday",C260="Eve")</f>
        <v>0</v>
      </c>
      <c r="V260" s="34" t="n">
        <f aca="false">IF(C260="Eve",Settings!$B$8,Settings!$B$7)</f>
        <v>0.6875</v>
      </c>
      <c r="W260" s="14" t="n">
        <f aca="false">IF(U260,(V260-Settings!$B$6)*24,0)</f>
        <v>0</v>
      </c>
    </row>
    <row r="261" customFormat="false" ht="15" hidden="false" customHeight="false" outlineLevel="0" collapsed="false">
      <c r="A261" s="29" t="n">
        <v>46277</v>
      </c>
      <c r="B261" s="30" t="str">
        <f aca="false">CHOOSE(WEEKDAY(A261),"Sun","Mon","Tue","Wed","Thu","Fri","Sat")</f>
        <v>Sat</v>
      </c>
      <c r="C261" s="30" t="str">
        <f aca="false">IF(IFERROR(INDEX(Holidays!$D$5:$D$60,MATCH(A261,Holidays!$A$5:$A$60,0)),"")="Holiday","Holiday",IF(WEEKDAY(A261)&gt;=6,"Weekend",IF(IFERROR(INDEX(Holidays!$D$5:$D$60,MATCH(A261,Holidays!$A$5:$A$60,0)),"")="Eve","Eve","Workday")))</f>
        <v>Holiday</v>
      </c>
      <c r="D261" s="18" t="str">
        <f aca="false">IFERROR(INDEX(Holidays!$C$5:$C$60,MATCH(A261,Holidays!$A$5:$A$60,0)),"")</f>
        <v>Rosh Hashana</v>
      </c>
      <c r="E261" s="31"/>
      <c r="F261" s="32"/>
      <c r="G261" s="32"/>
      <c r="H261" s="32"/>
      <c r="I261" s="32"/>
      <c r="J261" s="31"/>
      <c r="K261" s="33" t="str">
        <f aca="false">IF(E261&lt;&gt;"",E261,IF(U261,"Present",IF(C261="Holiday","Holiday","Weekend")))</f>
        <v>Holiday</v>
      </c>
      <c r="L261" s="34" t="str">
        <f aca="false">IF(OR(K261="Present",K261="Manual Work",K261="Partial Vacation",K261="Partial Sick Leave"),IF(ISNUMBER(F261),F261,IF(AND(K261="Present",U261),Settings!$B$6,"")),"")</f>
        <v/>
      </c>
      <c r="M261" s="34" t="str">
        <f aca="false">IF(OR(K261="Present",K261="Manual Work",K261="Partial Vacation",K261="Partial Sick Leave"),IF(ISNUMBER(G261),G261,IF(AND(K261="Present",U261),V261,"")),"")</f>
        <v/>
      </c>
      <c r="N261" s="14" t="n">
        <f aca="false">IF(AND(ISNUMBER(L261),ISNUMBER(M261)),MAX(0,(M261-L261)*24),0)</f>
        <v>0</v>
      </c>
      <c r="O261" s="14" t="n">
        <f aca="false">IF(NOT(U261),0,IF(K261="Vacation",IF(C261="Eve",Settings!$B$9*Settings!$B$11,W261),IF(K261="Partial Vacation",IF(AND(ISNUMBER(H261),ISNUMBER(I261)),MAX(0,(I261-H261)*24),0),0)))</f>
        <v>0</v>
      </c>
      <c r="P261" s="14" t="n">
        <f aca="false">IF(NOT(U261),0,IF(K261="Sick Leave",W261,IF(K261="Partial Sick Leave",IF(AND(ISNUMBER(H261),ISNUMBER(I261)),MAX(0,(I261-H261)*24),0),0)))</f>
        <v>0</v>
      </c>
      <c r="Q261" s="14" t="n">
        <f aca="false">IF(NOT(U261),0,IF(K261="Vacation",IF(C261="Eve",Settings!$B$11,1),IF(K261="Partial Vacation",O261/Settings!$B$9,0)))</f>
        <v>0</v>
      </c>
      <c r="R261" s="14" t="n">
        <f aca="false">IF(NOT(U261),0,IF(K261="Sick Leave",1,IF(K261="Partial Sick Leave",P261/Settings!$B$9,0)))</f>
        <v>0</v>
      </c>
      <c r="S261" s="35" t="str">
        <f aca="false">IF(AND(OR(E261="Vacation",E261="Sick Leave",E261="Partial Vacation",E261="Partial Sick Leave"),NOT(U261)),"Leave not allowed on this day",IF(AND(E261="Manual Work",OR(NOT(ISNUMBER(F261)),NOT(ISNUMBER(G261)))),"Enter start and end",IF(AND(OR(E261="Partial Vacation",E261="Partial Sick Leave"),OR(NOT(ISNUMBER(H261)),NOT(ISNUMBER(I261)))),"Enter leave from and to",IF(AND(ISNUMBER(F261),ISNUMBER(G261),G261&lt;=F261),"End is before start",IF(AND(ISNUMBER(H261),ISNUMBER(I261),I261&lt;=H261),"Leave end is before start",IF(AND(ISNUMBER(F261),ISNUMBER(G261),ISNUMBER(H261),ISNUMBER(I261),F261&lt;I261,H261&lt;G261),"Work and leave hours overlap",IF(AND(E261&lt;&gt;"",WEEKDAY(A261)=7),"Saturday - administrator only","")))))))</f>
        <v/>
      </c>
      <c r="T261" s="36" t="n">
        <f aca="false">MONTH(A261)</f>
        <v>9</v>
      </c>
      <c r="U261" s="37" t="b">
        <f aca="false">OR(C261="Workday",C261="Eve")</f>
        <v>0</v>
      </c>
      <c r="V261" s="34" t="n">
        <f aca="false">IF(C261="Eve",Settings!$B$8,Settings!$B$7)</f>
        <v>0.6875</v>
      </c>
      <c r="W261" s="14" t="n">
        <f aca="false">IF(U261,(V261-Settings!$B$6)*24,0)</f>
        <v>0</v>
      </c>
    </row>
    <row r="262" customFormat="false" ht="15" hidden="false" customHeight="false" outlineLevel="0" collapsed="false">
      <c r="A262" s="29" t="n">
        <v>46278</v>
      </c>
      <c r="B262" s="30" t="str">
        <f aca="false">CHOOSE(WEEKDAY(A262),"Sun","Mon","Tue","Wed","Thu","Fri","Sat")</f>
        <v>Sun</v>
      </c>
      <c r="C262" s="30" t="str">
        <f aca="false">IF(IFERROR(INDEX(Holidays!$D$5:$D$60,MATCH(A262,Holidays!$A$5:$A$60,0)),"")="Holiday","Holiday",IF(WEEKDAY(A262)&gt;=6,"Weekend",IF(IFERROR(INDEX(Holidays!$D$5:$D$60,MATCH(A262,Holidays!$A$5:$A$60,0)),"")="Eve","Eve","Workday")))</f>
        <v>Holiday</v>
      </c>
      <c r="D262" s="18" t="str">
        <f aca="false">IFERROR(INDEX(Holidays!$C$5:$C$60,MATCH(A262,Holidays!$A$5:$A$60,0)),"")</f>
        <v>Rosh Hashana (second day)</v>
      </c>
      <c r="E262" s="31"/>
      <c r="F262" s="32"/>
      <c r="G262" s="32"/>
      <c r="H262" s="32"/>
      <c r="I262" s="32"/>
      <c r="J262" s="31"/>
      <c r="K262" s="33" t="str">
        <f aca="false">IF(E262&lt;&gt;"",E262,IF(U262,"Present",IF(C262="Holiday","Holiday","Weekend")))</f>
        <v>Holiday</v>
      </c>
      <c r="L262" s="34" t="str">
        <f aca="false">IF(OR(K262="Present",K262="Manual Work",K262="Partial Vacation",K262="Partial Sick Leave"),IF(ISNUMBER(F262),F262,IF(AND(K262="Present",U262),Settings!$B$6,"")),"")</f>
        <v/>
      </c>
      <c r="M262" s="34" t="str">
        <f aca="false">IF(OR(K262="Present",K262="Manual Work",K262="Partial Vacation",K262="Partial Sick Leave"),IF(ISNUMBER(G262),G262,IF(AND(K262="Present",U262),V262,"")),"")</f>
        <v/>
      </c>
      <c r="N262" s="14" t="n">
        <f aca="false">IF(AND(ISNUMBER(L262),ISNUMBER(M262)),MAX(0,(M262-L262)*24),0)</f>
        <v>0</v>
      </c>
      <c r="O262" s="14" t="n">
        <f aca="false">IF(NOT(U262),0,IF(K262="Vacation",IF(C262="Eve",Settings!$B$9*Settings!$B$11,W262),IF(K262="Partial Vacation",IF(AND(ISNUMBER(H262),ISNUMBER(I262)),MAX(0,(I262-H262)*24),0),0)))</f>
        <v>0</v>
      </c>
      <c r="P262" s="14" t="n">
        <f aca="false">IF(NOT(U262),0,IF(K262="Sick Leave",W262,IF(K262="Partial Sick Leave",IF(AND(ISNUMBER(H262),ISNUMBER(I262)),MAX(0,(I262-H262)*24),0),0)))</f>
        <v>0</v>
      </c>
      <c r="Q262" s="14" t="n">
        <f aca="false">IF(NOT(U262),0,IF(K262="Vacation",IF(C262="Eve",Settings!$B$11,1),IF(K262="Partial Vacation",O262/Settings!$B$9,0)))</f>
        <v>0</v>
      </c>
      <c r="R262" s="14" t="n">
        <f aca="false">IF(NOT(U262),0,IF(K262="Sick Leave",1,IF(K262="Partial Sick Leave",P262/Settings!$B$9,0)))</f>
        <v>0</v>
      </c>
      <c r="S262" s="35" t="str">
        <f aca="false">IF(AND(OR(E262="Vacation",E262="Sick Leave",E262="Partial Vacation",E262="Partial Sick Leave"),NOT(U262)),"Leave not allowed on this day",IF(AND(E262="Manual Work",OR(NOT(ISNUMBER(F262)),NOT(ISNUMBER(G262)))),"Enter start and end",IF(AND(OR(E262="Partial Vacation",E262="Partial Sick Leave"),OR(NOT(ISNUMBER(H262)),NOT(ISNUMBER(I262)))),"Enter leave from and to",IF(AND(ISNUMBER(F262),ISNUMBER(G262),G262&lt;=F262),"End is before start",IF(AND(ISNUMBER(H262),ISNUMBER(I262),I262&lt;=H262),"Leave end is before start",IF(AND(ISNUMBER(F262),ISNUMBER(G262),ISNUMBER(H262),ISNUMBER(I262),F262&lt;I262,H262&lt;G262),"Work and leave hours overlap",IF(AND(E262&lt;&gt;"",WEEKDAY(A262)=7),"Saturday - administrator only","")))))))</f>
        <v/>
      </c>
      <c r="T262" s="36" t="n">
        <f aca="false">MONTH(A262)</f>
        <v>9</v>
      </c>
      <c r="U262" s="37" t="b">
        <f aca="false">OR(C262="Workday",C262="Eve")</f>
        <v>0</v>
      </c>
      <c r="V262" s="34" t="n">
        <f aca="false">IF(C262="Eve",Settings!$B$8,Settings!$B$7)</f>
        <v>0.6875</v>
      </c>
      <c r="W262" s="14" t="n">
        <f aca="false">IF(U262,(V262-Settings!$B$6)*24,0)</f>
        <v>0</v>
      </c>
    </row>
    <row r="263" customFormat="false" ht="15" hidden="false" customHeight="false" outlineLevel="0" collapsed="false">
      <c r="A263" s="29" t="n">
        <v>46279</v>
      </c>
      <c r="B263" s="30" t="str">
        <f aca="false">CHOOSE(WEEKDAY(A263),"Sun","Mon","Tue","Wed","Thu","Fri","Sat")</f>
        <v>Mon</v>
      </c>
      <c r="C263" s="30" t="str">
        <f aca="false">IF(IFERROR(INDEX(Holidays!$D$5:$D$60,MATCH(A263,Holidays!$A$5:$A$60,0)),"")="Holiday","Holiday",IF(WEEKDAY(A263)&gt;=6,"Weekend",IF(IFERROR(INDEX(Holidays!$D$5:$D$60,MATCH(A263,Holidays!$A$5:$A$60,0)),"")="Eve","Eve","Workday")))</f>
        <v>Workday</v>
      </c>
      <c r="D263" s="18" t="str">
        <f aca="false">IFERROR(INDEX(Holidays!$C$5:$C$60,MATCH(A263,Holidays!$A$5:$A$60,0)),"")</f>
        <v/>
      </c>
      <c r="E263" s="31"/>
      <c r="F263" s="32"/>
      <c r="G263" s="32"/>
      <c r="H263" s="32"/>
      <c r="I263" s="32"/>
      <c r="J263" s="31"/>
      <c r="K263" s="33" t="str">
        <f aca="false">IF(E263&lt;&gt;"",E263,IF(U263,"Present",IF(C263="Holiday","Holiday","Weekend")))</f>
        <v>Present</v>
      </c>
      <c r="L263" s="34" t="n">
        <f aca="false">IF(OR(K263="Present",K263="Manual Work",K263="Partial Vacation",K263="Partial Sick Leave"),IF(ISNUMBER(F263),F263,IF(AND(K263="Present",U263),Settings!$B$6,"")),"")</f>
        <v>0.333333333333333</v>
      </c>
      <c r="M263" s="34" t="n">
        <f aca="false">IF(OR(K263="Present",K263="Manual Work",K263="Partial Vacation",K263="Partial Sick Leave"),IF(ISNUMBER(G263),G263,IF(AND(K263="Present",U263),V263,"")),"")</f>
        <v>0.6875</v>
      </c>
      <c r="N263" s="14" t="n">
        <f aca="false">IF(AND(ISNUMBER(L263),ISNUMBER(M263)),MAX(0,(M263-L263)*24),0)</f>
        <v>8.5</v>
      </c>
      <c r="O263" s="14" t="n">
        <f aca="false">IF(NOT(U263),0,IF(K263="Vacation",IF(C263="Eve",Settings!$B$9*Settings!$B$11,W263),IF(K263="Partial Vacation",IF(AND(ISNUMBER(H263),ISNUMBER(I263)),MAX(0,(I263-H263)*24),0),0)))</f>
        <v>0</v>
      </c>
      <c r="P263" s="14" t="n">
        <f aca="false">IF(NOT(U263),0,IF(K263="Sick Leave",W263,IF(K263="Partial Sick Leave",IF(AND(ISNUMBER(H263),ISNUMBER(I263)),MAX(0,(I263-H263)*24),0),0)))</f>
        <v>0</v>
      </c>
      <c r="Q263" s="14" t="n">
        <f aca="false">IF(NOT(U263),0,IF(K263="Vacation",IF(C263="Eve",Settings!$B$11,1),IF(K263="Partial Vacation",O263/Settings!$B$9,0)))</f>
        <v>0</v>
      </c>
      <c r="R263" s="14" t="n">
        <f aca="false">IF(NOT(U263),0,IF(K263="Sick Leave",1,IF(K263="Partial Sick Leave",P263/Settings!$B$9,0)))</f>
        <v>0</v>
      </c>
      <c r="S263" s="35" t="str">
        <f aca="false">IF(AND(OR(E263="Vacation",E263="Sick Leave",E263="Partial Vacation",E263="Partial Sick Leave"),NOT(U263)),"Leave not allowed on this day",IF(AND(E263="Manual Work",OR(NOT(ISNUMBER(F263)),NOT(ISNUMBER(G263)))),"Enter start and end",IF(AND(OR(E263="Partial Vacation",E263="Partial Sick Leave"),OR(NOT(ISNUMBER(H263)),NOT(ISNUMBER(I263)))),"Enter leave from and to",IF(AND(ISNUMBER(F263),ISNUMBER(G263),G263&lt;=F263),"End is before start",IF(AND(ISNUMBER(H263),ISNUMBER(I263),I263&lt;=H263),"Leave end is before start",IF(AND(ISNUMBER(F263),ISNUMBER(G263),ISNUMBER(H263),ISNUMBER(I263),F263&lt;I263,H263&lt;G263),"Work and leave hours overlap",IF(AND(E263&lt;&gt;"",WEEKDAY(A263)=7),"Saturday - administrator only","")))))))</f>
        <v/>
      </c>
      <c r="T263" s="36" t="n">
        <f aca="false">MONTH(A263)</f>
        <v>9</v>
      </c>
      <c r="U263" s="37" t="b">
        <f aca="false">OR(C263="Workday",C263="Eve")</f>
        <v>1</v>
      </c>
      <c r="V263" s="34" t="n">
        <f aca="false">IF(C263="Eve",Settings!$B$8,Settings!$B$7)</f>
        <v>0.6875</v>
      </c>
      <c r="W263" s="14" t="n">
        <f aca="false">IF(U263,(V263-Settings!$B$6)*24,0)</f>
        <v>8.5</v>
      </c>
    </row>
    <row r="264" customFormat="false" ht="15" hidden="false" customHeight="false" outlineLevel="0" collapsed="false">
      <c r="A264" s="29" t="n">
        <v>46280</v>
      </c>
      <c r="B264" s="30" t="str">
        <f aca="false">CHOOSE(WEEKDAY(A264),"Sun","Mon","Tue","Wed","Thu","Fri","Sat")</f>
        <v>Tue</v>
      </c>
      <c r="C264" s="30" t="str">
        <f aca="false">IF(IFERROR(INDEX(Holidays!$D$5:$D$60,MATCH(A264,Holidays!$A$5:$A$60,0)),"")="Holiday","Holiday",IF(WEEKDAY(A264)&gt;=6,"Weekend",IF(IFERROR(INDEX(Holidays!$D$5:$D$60,MATCH(A264,Holidays!$A$5:$A$60,0)),"")="Eve","Eve","Workday")))</f>
        <v>Workday</v>
      </c>
      <c r="D264" s="18" t="str">
        <f aca="false">IFERROR(INDEX(Holidays!$C$5:$C$60,MATCH(A264,Holidays!$A$5:$A$60,0)),"")</f>
        <v/>
      </c>
      <c r="E264" s="31"/>
      <c r="F264" s="32"/>
      <c r="G264" s="32"/>
      <c r="H264" s="32"/>
      <c r="I264" s="32"/>
      <c r="J264" s="31"/>
      <c r="K264" s="33" t="str">
        <f aca="false">IF(E264&lt;&gt;"",E264,IF(U264,"Present",IF(C264="Holiday","Holiday","Weekend")))</f>
        <v>Present</v>
      </c>
      <c r="L264" s="34" t="n">
        <f aca="false">IF(OR(K264="Present",K264="Manual Work",K264="Partial Vacation",K264="Partial Sick Leave"),IF(ISNUMBER(F264),F264,IF(AND(K264="Present",U264),Settings!$B$6,"")),"")</f>
        <v>0.333333333333333</v>
      </c>
      <c r="M264" s="34" t="n">
        <f aca="false">IF(OR(K264="Present",K264="Manual Work",K264="Partial Vacation",K264="Partial Sick Leave"),IF(ISNUMBER(G264),G264,IF(AND(K264="Present",U264),V264,"")),"")</f>
        <v>0.6875</v>
      </c>
      <c r="N264" s="14" t="n">
        <f aca="false">IF(AND(ISNUMBER(L264),ISNUMBER(M264)),MAX(0,(M264-L264)*24),0)</f>
        <v>8.5</v>
      </c>
      <c r="O264" s="14" t="n">
        <f aca="false">IF(NOT(U264),0,IF(K264="Vacation",IF(C264="Eve",Settings!$B$9*Settings!$B$11,W264),IF(K264="Partial Vacation",IF(AND(ISNUMBER(H264),ISNUMBER(I264)),MAX(0,(I264-H264)*24),0),0)))</f>
        <v>0</v>
      </c>
      <c r="P264" s="14" t="n">
        <f aca="false">IF(NOT(U264),0,IF(K264="Sick Leave",W264,IF(K264="Partial Sick Leave",IF(AND(ISNUMBER(H264),ISNUMBER(I264)),MAX(0,(I264-H264)*24),0),0)))</f>
        <v>0</v>
      </c>
      <c r="Q264" s="14" t="n">
        <f aca="false">IF(NOT(U264),0,IF(K264="Vacation",IF(C264="Eve",Settings!$B$11,1),IF(K264="Partial Vacation",O264/Settings!$B$9,0)))</f>
        <v>0</v>
      </c>
      <c r="R264" s="14" t="n">
        <f aca="false">IF(NOT(U264),0,IF(K264="Sick Leave",1,IF(K264="Partial Sick Leave",P264/Settings!$B$9,0)))</f>
        <v>0</v>
      </c>
      <c r="S264" s="35" t="str">
        <f aca="false">IF(AND(OR(E264="Vacation",E264="Sick Leave",E264="Partial Vacation",E264="Partial Sick Leave"),NOT(U264)),"Leave not allowed on this day",IF(AND(E264="Manual Work",OR(NOT(ISNUMBER(F264)),NOT(ISNUMBER(G264)))),"Enter start and end",IF(AND(OR(E264="Partial Vacation",E264="Partial Sick Leave"),OR(NOT(ISNUMBER(H264)),NOT(ISNUMBER(I264)))),"Enter leave from and to",IF(AND(ISNUMBER(F264),ISNUMBER(G264),G264&lt;=F264),"End is before start",IF(AND(ISNUMBER(H264),ISNUMBER(I264),I264&lt;=H264),"Leave end is before start",IF(AND(ISNUMBER(F264),ISNUMBER(G264),ISNUMBER(H264),ISNUMBER(I264),F264&lt;I264,H264&lt;G264),"Work and leave hours overlap",IF(AND(E264&lt;&gt;"",WEEKDAY(A264)=7),"Saturday - administrator only","")))))))</f>
        <v/>
      </c>
      <c r="T264" s="36" t="n">
        <f aca="false">MONTH(A264)</f>
        <v>9</v>
      </c>
      <c r="U264" s="37" t="b">
        <f aca="false">OR(C264="Workday",C264="Eve")</f>
        <v>1</v>
      </c>
      <c r="V264" s="34" t="n">
        <f aca="false">IF(C264="Eve",Settings!$B$8,Settings!$B$7)</f>
        <v>0.6875</v>
      </c>
      <c r="W264" s="14" t="n">
        <f aca="false">IF(U264,(V264-Settings!$B$6)*24,0)</f>
        <v>8.5</v>
      </c>
    </row>
    <row r="265" customFormat="false" ht="15" hidden="false" customHeight="false" outlineLevel="0" collapsed="false">
      <c r="A265" s="29" t="n">
        <v>46281</v>
      </c>
      <c r="B265" s="30" t="str">
        <f aca="false">CHOOSE(WEEKDAY(A265),"Sun","Mon","Tue","Wed","Thu","Fri","Sat")</f>
        <v>Wed</v>
      </c>
      <c r="C265" s="30" t="str">
        <f aca="false">IF(IFERROR(INDEX(Holidays!$D$5:$D$60,MATCH(A265,Holidays!$A$5:$A$60,0)),"")="Holiday","Holiday",IF(WEEKDAY(A265)&gt;=6,"Weekend",IF(IFERROR(INDEX(Holidays!$D$5:$D$60,MATCH(A265,Holidays!$A$5:$A$60,0)),"")="Eve","Eve","Workday")))</f>
        <v>Workday</v>
      </c>
      <c r="D265" s="18" t="str">
        <f aca="false">IFERROR(INDEX(Holidays!$C$5:$C$60,MATCH(A265,Holidays!$A$5:$A$60,0)),"")</f>
        <v/>
      </c>
      <c r="E265" s="31"/>
      <c r="F265" s="32"/>
      <c r="G265" s="32"/>
      <c r="H265" s="32"/>
      <c r="I265" s="32"/>
      <c r="J265" s="31"/>
      <c r="K265" s="33" t="str">
        <f aca="false">IF(E265&lt;&gt;"",E265,IF(U265,"Present",IF(C265="Holiday","Holiday","Weekend")))</f>
        <v>Present</v>
      </c>
      <c r="L265" s="34" t="n">
        <f aca="false">IF(OR(K265="Present",K265="Manual Work",K265="Partial Vacation",K265="Partial Sick Leave"),IF(ISNUMBER(F265),F265,IF(AND(K265="Present",U265),Settings!$B$6,"")),"")</f>
        <v>0.333333333333333</v>
      </c>
      <c r="M265" s="34" t="n">
        <f aca="false">IF(OR(K265="Present",K265="Manual Work",K265="Partial Vacation",K265="Partial Sick Leave"),IF(ISNUMBER(G265),G265,IF(AND(K265="Present",U265),V265,"")),"")</f>
        <v>0.6875</v>
      </c>
      <c r="N265" s="14" t="n">
        <f aca="false">IF(AND(ISNUMBER(L265),ISNUMBER(M265)),MAX(0,(M265-L265)*24),0)</f>
        <v>8.5</v>
      </c>
      <c r="O265" s="14" t="n">
        <f aca="false">IF(NOT(U265),0,IF(K265="Vacation",IF(C265="Eve",Settings!$B$9*Settings!$B$11,W265),IF(K265="Partial Vacation",IF(AND(ISNUMBER(H265),ISNUMBER(I265)),MAX(0,(I265-H265)*24),0),0)))</f>
        <v>0</v>
      </c>
      <c r="P265" s="14" t="n">
        <f aca="false">IF(NOT(U265),0,IF(K265="Sick Leave",W265,IF(K265="Partial Sick Leave",IF(AND(ISNUMBER(H265),ISNUMBER(I265)),MAX(0,(I265-H265)*24),0),0)))</f>
        <v>0</v>
      </c>
      <c r="Q265" s="14" t="n">
        <f aca="false">IF(NOT(U265),0,IF(K265="Vacation",IF(C265="Eve",Settings!$B$11,1),IF(K265="Partial Vacation",O265/Settings!$B$9,0)))</f>
        <v>0</v>
      </c>
      <c r="R265" s="14" t="n">
        <f aca="false">IF(NOT(U265),0,IF(K265="Sick Leave",1,IF(K265="Partial Sick Leave",P265/Settings!$B$9,0)))</f>
        <v>0</v>
      </c>
      <c r="S265" s="35" t="str">
        <f aca="false">IF(AND(OR(E265="Vacation",E265="Sick Leave",E265="Partial Vacation",E265="Partial Sick Leave"),NOT(U265)),"Leave not allowed on this day",IF(AND(E265="Manual Work",OR(NOT(ISNUMBER(F265)),NOT(ISNUMBER(G265)))),"Enter start and end",IF(AND(OR(E265="Partial Vacation",E265="Partial Sick Leave"),OR(NOT(ISNUMBER(H265)),NOT(ISNUMBER(I265)))),"Enter leave from and to",IF(AND(ISNUMBER(F265),ISNUMBER(G265),G265&lt;=F265),"End is before start",IF(AND(ISNUMBER(H265),ISNUMBER(I265),I265&lt;=H265),"Leave end is before start",IF(AND(ISNUMBER(F265),ISNUMBER(G265),ISNUMBER(H265),ISNUMBER(I265),F265&lt;I265,H265&lt;G265),"Work and leave hours overlap",IF(AND(E265&lt;&gt;"",WEEKDAY(A265)=7),"Saturday - administrator only","")))))))</f>
        <v/>
      </c>
      <c r="T265" s="36" t="n">
        <f aca="false">MONTH(A265)</f>
        <v>9</v>
      </c>
      <c r="U265" s="37" t="b">
        <f aca="false">OR(C265="Workday",C265="Eve")</f>
        <v>1</v>
      </c>
      <c r="V265" s="34" t="n">
        <f aca="false">IF(C265="Eve",Settings!$B$8,Settings!$B$7)</f>
        <v>0.6875</v>
      </c>
      <c r="W265" s="14" t="n">
        <f aca="false">IF(U265,(V265-Settings!$B$6)*24,0)</f>
        <v>8.5</v>
      </c>
    </row>
    <row r="266" customFormat="false" ht="15" hidden="false" customHeight="false" outlineLevel="0" collapsed="false">
      <c r="A266" s="29" t="n">
        <v>46282</v>
      </c>
      <c r="B266" s="30" t="str">
        <f aca="false">CHOOSE(WEEKDAY(A266),"Sun","Mon","Tue","Wed","Thu","Fri","Sat")</f>
        <v>Thu</v>
      </c>
      <c r="C266" s="30" t="str">
        <f aca="false">IF(IFERROR(INDEX(Holidays!$D$5:$D$60,MATCH(A266,Holidays!$A$5:$A$60,0)),"")="Holiday","Holiday",IF(WEEKDAY(A266)&gt;=6,"Weekend",IF(IFERROR(INDEX(Holidays!$D$5:$D$60,MATCH(A266,Holidays!$A$5:$A$60,0)),"")="Eve","Eve","Workday")))</f>
        <v>Workday</v>
      </c>
      <c r="D266" s="18" t="str">
        <f aca="false">IFERROR(INDEX(Holidays!$C$5:$C$60,MATCH(A266,Holidays!$A$5:$A$60,0)),"")</f>
        <v/>
      </c>
      <c r="E266" s="31"/>
      <c r="F266" s="32"/>
      <c r="G266" s="32"/>
      <c r="H266" s="32"/>
      <c r="I266" s="32"/>
      <c r="J266" s="31"/>
      <c r="K266" s="33" t="str">
        <f aca="false">IF(E266&lt;&gt;"",E266,IF(U266,"Present",IF(C266="Holiday","Holiday","Weekend")))</f>
        <v>Present</v>
      </c>
      <c r="L266" s="34" t="n">
        <f aca="false">IF(OR(K266="Present",K266="Manual Work",K266="Partial Vacation",K266="Partial Sick Leave"),IF(ISNUMBER(F266),F266,IF(AND(K266="Present",U266),Settings!$B$6,"")),"")</f>
        <v>0.333333333333333</v>
      </c>
      <c r="M266" s="34" t="n">
        <f aca="false">IF(OR(K266="Present",K266="Manual Work",K266="Partial Vacation",K266="Partial Sick Leave"),IF(ISNUMBER(G266),G266,IF(AND(K266="Present",U266),V266,"")),"")</f>
        <v>0.6875</v>
      </c>
      <c r="N266" s="14" t="n">
        <f aca="false">IF(AND(ISNUMBER(L266),ISNUMBER(M266)),MAX(0,(M266-L266)*24),0)</f>
        <v>8.5</v>
      </c>
      <c r="O266" s="14" t="n">
        <f aca="false">IF(NOT(U266),0,IF(K266="Vacation",IF(C266="Eve",Settings!$B$9*Settings!$B$11,W266),IF(K266="Partial Vacation",IF(AND(ISNUMBER(H266),ISNUMBER(I266)),MAX(0,(I266-H266)*24),0),0)))</f>
        <v>0</v>
      </c>
      <c r="P266" s="14" t="n">
        <f aca="false">IF(NOT(U266),0,IF(K266="Sick Leave",W266,IF(K266="Partial Sick Leave",IF(AND(ISNUMBER(H266),ISNUMBER(I266)),MAX(0,(I266-H266)*24),0),0)))</f>
        <v>0</v>
      </c>
      <c r="Q266" s="14" t="n">
        <f aca="false">IF(NOT(U266),0,IF(K266="Vacation",IF(C266="Eve",Settings!$B$11,1),IF(K266="Partial Vacation",O266/Settings!$B$9,0)))</f>
        <v>0</v>
      </c>
      <c r="R266" s="14" t="n">
        <f aca="false">IF(NOT(U266),0,IF(K266="Sick Leave",1,IF(K266="Partial Sick Leave",P266/Settings!$B$9,0)))</f>
        <v>0</v>
      </c>
      <c r="S266" s="35" t="str">
        <f aca="false">IF(AND(OR(E266="Vacation",E266="Sick Leave",E266="Partial Vacation",E266="Partial Sick Leave"),NOT(U266)),"Leave not allowed on this day",IF(AND(E266="Manual Work",OR(NOT(ISNUMBER(F266)),NOT(ISNUMBER(G266)))),"Enter start and end",IF(AND(OR(E266="Partial Vacation",E266="Partial Sick Leave"),OR(NOT(ISNUMBER(H266)),NOT(ISNUMBER(I266)))),"Enter leave from and to",IF(AND(ISNUMBER(F266),ISNUMBER(G266),G266&lt;=F266),"End is before start",IF(AND(ISNUMBER(H266),ISNUMBER(I266),I266&lt;=H266),"Leave end is before start",IF(AND(ISNUMBER(F266),ISNUMBER(G266),ISNUMBER(H266),ISNUMBER(I266),F266&lt;I266,H266&lt;G266),"Work and leave hours overlap",IF(AND(E266&lt;&gt;"",WEEKDAY(A266)=7),"Saturday - administrator only","")))))))</f>
        <v/>
      </c>
      <c r="T266" s="36" t="n">
        <f aca="false">MONTH(A266)</f>
        <v>9</v>
      </c>
      <c r="U266" s="37" t="b">
        <f aca="false">OR(C266="Workday",C266="Eve")</f>
        <v>1</v>
      </c>
      <c r="V266" s="34" t="n">
        <f aca="false">IF(C266="Eve",Settings!$B$8,Settings!$B$7)</f>
        <v>0.6875</v>
      </c>
      <c r="W266" s="14" t="n">
        <f aca="false">IF(U266,(V266-Settings!$B$6)*24,0)</f>
        <v>8.5</v>
      </c>
    </row>
    <row r="267" customFormat="false" ht="15" hidden="false" customHeight="false" outlineLevel="0" collapsed="false">
      <c r="A267" s="29" t="n">
        <v>46283</v>
      </c>
      <c r="B267" s="30" t="str">
        <f aca="false">CHOOSE(WEEKDAY(A267),"Sun","Mon","Tue","Wed","Thu","Fri","Sat")</f>
        <v>Fri</v>
      </c>
      <c r="C267" s="30" t="str">
        <f aca="false">IF(IFERROR(INDEX(Holidays!$D$5:$D$60,MATCH(A267,Holidays!$A$5:$A$60,0)),"")="Holiday","Holiday",IF(WEEKDAY(A267)&gt;=6,"Weekend",IF(IFERROR(INDEX(Holidays!$D$5:$D$60,MATCH(A267,Holidays!$A$5:$A$60,0)),"")="Eve","Eve","Workday")))</f>
        <v>Weekend</v>
      </c>
      <c r="D267" s="18" t="str">
        <f aca="false">IFERROR(INDEX(Holidays!$C$5:$C$60,MATCH(A267,Holidays!$A$5:$A$60,0)),"")</f>
        <v/>
      </c>
      <c r="E267" s="31"/>
      <c r="F267" s="32"/>
      <c r="G267" s="32"/>
      <c r="H267" s="32"/>
      <c r="I267" s="32"/>
      <c r="J267" s="31"/>
      <c r="K267" s="33" t="str">
        <f aca="false">IF(E267&lt;&gt;"",E267,IF(U267,"Present",IF(C267="Holiday","Holiday","Weekend")))</f>
        <v>Weekend</v>
      </c>
      <c r="L267" s="34" t="str">
        <f aca="false">IF(OR(K267="Present",K267="Manual Work",K267="Partial Vacation",K267="Partial Sick Leave"),IF(ISNUMBER(F267),F267,IF(AND(K267="Present",U267),Settings!$B$6,"")),"")</f>
        <v/>
      </c>
      <c r="M267" s="34" t="str">
        <f aca="false">IF(OR(K267="Present",K267="Manual Work",K267="Partial Vacation",K267="Partial Sick Leave"),IF(ISNUMBER(G267),G267,IF(AND(K267="Present",U267),V267,"")),"")</f>
        <v/>
      </c>
      <c r="N267" s="14" t="n">
        <f aca="false">IF(AND(ISNUMBER(L267),ISNUMBER(M267)),MAX(0,(M267-L267)*24),0)</f>
        <v>0</v>
      </c>
      <c r="O267" s="14" t="n">
        <f aca="false">IF(NOT(U267),0,IF(K267="Vacation",IF(C267="Eve",Settings!$B$9*Settings!$B$11,W267),IF(K267="Partial Vacation",IF(AND(ISNUMBER(H267),ISNUMBER(I267)),MAX(0,(I267-H267)*24),0),0)))</f>
        <v>0</v>
      </c>
      <c r="P267" s="14" t="n">
        <f aca="false">IF(NOT(U267),0,IF(K267="Sick Leave",W267,IF(K267="Partial Sick Leave",IF(AND(ISNUMBER(H267),ISNUMBER(I267)),MAX(0,(I267-H267)*24),0),0)))</f>
        <v>0</v>
      </c>
      <c r="Q267" s="14" t="n">
        <f aca="false">IF(NOT(U267),0,IF(K267="Vacation",IF(C267="Eve",Settings!$B$11,1),IF(K267="Partial Vacation",O267/Settings!$B$9,0)))</f>
        <v>0</v>
      </c>
      <c r="R267" s="14" t="n">
        <f aca="false">IF(NOT(U267),0,IF(K267="Sick Leave",1,IF(K267="Partial Sick Leave",P267/Settings!$B$9,0)))</f>
        <v>0</v>
      </c>
      <c r="S267" s="35" t="str">
        <f aca="false">IF(AND(OR(E267="Vacation",E267="Sick Leave",E267="Partial Vacation",E267="Partial Sick Leave"),NOT(U267)),"Leave not allowed on this day",IF(AND(E267="Manual Work",OR(NOT(ISNUMBER(F267)),NOT(ISNUMBER(G267)))),"Enter start and end",IF(AND(OR(E267="Partial Vacation",E267="Partial Sick Leave"),OR(NOT(ISNUMBER(H267)),NOT(ISNUMBER(I267)))),"Enter leave from and to",IF(AND(ISNUMBER(F267),ISNUMBER(G267),G267&lt;=F267),"End is before start",IF(AND(ISNUMBER(H267),ISNUMBER(I267),I267&lt;=H267),"Leave end is before start",IF(AND(ISNUMBER(F267),ISNUMBER(G267),ISNUMBER(H267),ISNUMBER(I267),F267&lt;I267,H267&lt;G267),"Work and leave hours overlap",IF(AND(E267&lt;&gt;"",WEEKDAY(A267)=7),"Saturday - administrator only","")))))))</f>
        <v/>
      </c>
      <c r="T267" s="36" t="n">
        <f aca="false">MONTH(A267)</f>
        <v>9</v>
      </c>
      <c r="U267" s="37" t="b">
        <f aca="false">OR(C267="Workday",C267="Eve")</f>
        <v>0</v>
      </c>
      <c r="V267" s="34" t="n">
        <f aca="false">IF(C267="Eve",Settings!$B$8,Settings!$B$7)</f>
        <v>0.6875</v>
      </c>
      <c r="W267" s="14" t="n">
        <f aca="false">IF(U267,(V267-Settings!$B$6)*24,0)</f>
        <v>0</v>
      </c>
    </row>
    <row r="268" customFormat="false" ht="15" hidden="false" customHeight="false" outlineLevel="0" collapsed="false">
      <c r="A268" s="29" t="n">
        <v>46284</v>
      </c>
      <c r="B268" s="30" t="str">
        <f aca="false">CHOOSE(WEEKDAY(A268),"Sun","Mon","Tue","Wed","Thu","Fri","Sat")</f>
        <v>Sat</v>
      </c>
      <c r="C268" s="30" t="str">
        <f aca="false">IF(IFERROR(INDEX(Holidays!$D$5:$D$60,MATCH(A268,Holidays!$A$5:$A$60,0)),"")="Holiday","Holiday",IF(WEEKDAY(A268)&gt;=6,"Weekend",IF(IFERROR(INDEX(Holidays!$D$5:$D$60,MATCH(A268,Holidays!$A$5:$A$60,0)),"")="Eve","Eve","Workday")))</f>
        <v>Weekend</v>
      </c>
      <c r="D268" s="18" t="str">
        <f aca="false">IFERROR(INDEX(Holidays!$C$5:$C$60,MATCH(A268,Holidays!$A$5:$A$60,0)),"")</f>
        <v/>
      </c>
      <c r="E268" s="31"/>
      <c r="F268" s="32"/>
      <c r="G268" s="32"/>
      <c r="H268" s="32"/>
      <c r="I268" s="32"/>
      <c r="J268" s="31"/>
      <c r="K268" s="33" t="str">
        <f aca="false">IF(E268&lt;&gt;"",E268,IF(U268,"Present",IF(C268="Holiday","Holiday","Weekend")))</f>
        <v>Weekend</v>
      </c>
      <c r="L268" s="34" t="str">
        <f aca="false">IF(OR(K268="Present",K268="Manual Work",K268="Partial Vacation",K268="Partial Sick Leave"),IF(ISNUMBER(F268),F268,IF(AND(K268="Present",U268),Settings!$B$6,"")),"")</f>
        <v/>
      </c>
      <c r="M268" s="34" t="str">
        <f aca="false">IF(OR(K268="Present",K268="Manual Work",K268="Partial Vacation",K268="Partial Sick Leave"),IF(ISNUMBER(G268),G268,IF(AND(K268="Present",U268),V268,"")),"")</f>
        <v/>
      </c>
      <c r="N268" s="14" t="n">
        <f aca="false">IF(AND(ISNUMBER(L268),ISNUMBER(M268)),MAX(0,(M268-L268)*24),0)</f>
        <v>0</v>
      </c>
      <c r="O268" s="14" t="n">
        <f aca="false">IF(NOT(U268),0,IF(K268="Vacation",IF(C268="Eve",Settings!$B$9*Settings!$B$11,W268),IF(K268="Partial Vacation",IF(AND(ISNUMBER(H268),ISNUMBER(I268)),MAX(0,(I268-H268)*24),0),0)))</f>
        <v>0</v>
      </c>
      <c r="P268" s="14" t="n">
        <f aca="false">IF(NOT(U268),0,IF(K268="Sick Leave",W268,IF(K268="Partial Sick Leave",IF(AND(ISNUMBER(H268),ISNUMBER(I268)),MAX(0,(I268-H268)*24),0),0)))</f>
        <v>0</v>
      </c>
      <c r="Q268" s="14" t="n">
        <f aca="false">IF(NOT(U268),0,IF(K268="Vacation",IF(C268="Eve",Settings!$B$11,1),IF(K268="Partial Vacation",O268/Settings!$B$9,0)))</f>
        <v>0</v>
      </c>
      <c r="R268" s="14" t="n">
        <f aca="false">IF(NOT(U268),0,IF(K268="Sick Leave",1,IF(K268="Partial Sick Leave",P268/Settings!$B$9,0)))</f>
        <v>0</v>
      </c>
      <c r="S268" s="35" t="str">
        <f aca="false">IF(AND(OR(E268="Vacation",E268="Sick Leave",E268="Partial Vacation",E268="Partial Sick Leave"),NOT(U268)),"Leave not allowed on this day",IF(AND(E268="Manual Work",OR(NOT(ISNUMBER(F268)),NOT(ISNUMBER(G268)))),"Enter start and end",IF(AND(OR(E268="Partial Vacation",E268="Partial Sick Leave"),OR(NOT(ISNUMBER(H268)),NOT(ISNUMBER(I268)))),"Enter leave from and to",IF(AND(ISNUMBER(F268),ISNUMBER(G268),G268&lt;=F268),"End is before start",IF(AND(ISNUMBER(H268),ISNUMBER(I268),I268&lt;=H268),"Leave end is before start",IF(AND(ISNUMBER(F268),ISNUMBER(G268),ISNUMBER(H268),ISNUMBER(I268),F268&lt;I268,H268&lt;G268),"Work and leave hours overlap",IF(AND(E268&lt;&gt;"",WEEKDAY(A268)=7),"Saturday - administrator only","")))))))</f>
        <v/>
      </c>
      <c r="T268" s="36" t="n">
        <f aca="false">MONTH(A268)</f>
        <v>9</v>
      </c>
      <c r="U268" s="37" t="b">
        <f aca="false">OR(C268="Workday",C268="Eve")</f>
        <v>0</v>
      </c>
      <c r="V268" s="34" t="n">
        <f aca="false">IF(C268="Eve",Settings!$B$8,Settings!$B$7)</f>
        <v>0.6875</v>
      </c>
      <c r="W268" s="14" t="n">
        <f aca="false">IF(U268,(V268-Settings!$B$6)*24,0)</f>
        <v>0</v>
      </c>
    </row>
    <row r="269" customFormat="false" ht="15" hidden="false" customHeight="false" outlineLevel="0" collapsed="false">
      <c r="A269" s="29" t="n">
        <v>46285</v>
      </c>
      <c r="B269" s="30" t="str">
        <f aca="false">CHOOSE(WEEKDAY(A269),"Sun","Mon","Tue","Wed","Thu","Fri","Sat")</f>
        <v>Sun</v>
      </c>
      <c r="C269" s="30" t="str">
        <f aca="false">IF(IFERROR(INDEX(Holidays!$D$5:$D$60,MATCH(A269,Holidays!$A$5:$A$60,0)),"")="Holiday","Holiday",IF(WEEKDAY(A269)&gt;=6,"Weekend",IF(IFERROR(INDEX(Holidays!$D$5:$D$60,MATCH(A269,Holidays!$A$5:$A$60,0)),"")="Eve","Eve","Workday")))</f>
        <v>Eve</v>
      </c>
      <c r="D269" s="18" t="str">
        <f aca="false">IFERROR(INDEX(Holidays!$C$5:$C$60,MATCH(A269,Holidays!$A$5:$A$60,0)),"")</f>
        <v>Erev Yom Kippur</v>
      </c>
      <c r="E269" s="31"/>
      <c r="F269" s="32"/>
      <c r="G269" s="32"/>
      <c r="H269" s="32"/>
      <c r="I269" s="32"/>
      <c r="J269" s="31"/>
      <c r="K269" s="33" t="str">
        <f aca="false">IF(E269&lt;&gt;"",E269,IF(U269,"Present",IF(C269="Holiday","Holiday","Weekend")))</f>
        <v>Present</v>
      </c>
      <c r="L269" s="34" t="n">
        <f aca="false">IF(OR(K269="Present",K269="Manual Work",K269="Partial Vacation",K269="Partial Sick Leave"),IF(ISNUMBER(F269),F269,IF(AND(K269="Present",U269),Settings!$B$6,"")),"")</f>
        <v>0.333333333333333</v>
      </c>
      <c r="M269" s="34" t="n">
        <f aca="false">IF(OR(K269="Present",K269="Manual Work",K269="Partial Vacation",K269="Partial Sick Leave"),IF(ISNUMBER(G269),G269,IF(AND(K269="Present",U269),V269,"")),"")</f>
        <v>0.583333333333333</v>
      </c>
      <c r="N269" s="14" t="n">
        <f aca="false">IF(AND(ISNUMBER(L269),ISNUMBER(M269)),MAX(0,(M269-L269)*24),0)</f>
        <v>6</v>
      </c>
      <c r="O269" s="14" t="n">
        <f aca="false">IF(NOT(U269),0,IF(K269="Vacation",IF(C269="Eve",Settings!$B$9*Settings!$B$11,W269),IF(K269="Partial Vacation",IF(AND(ISNUMBER(H269),ISNUMBER(I269)),MAX(0,(I269-H269)*24),0),0)))</f>
        <v>0</v>
      </c>
      <c r="P269" s="14" t="n">
        <f aca="false">IF(NOT(U269),0,IF(K269="Sick Leave",W269,IF(K269="Partial Sick Leave",IF(AND(ISNUMBER(H269),ISNUMBER(I269)),MAX(0,(I269-H269)*24),0),0)))</f>
        <v>0</v>
      </c>
      <c r="Q269" s="14" t="n">
        <f aca="false">IF(NOT(U269),0,IF(K269="Vacation",IF(C269="Eve",Settings!$B$11,1),IF(K269="Partial Vacation",O269/Settings!$B$9,0)))</f>
        <v>0</v>
      </c>
      <c r="R269" s="14" t="n">
        <f aca="false">IF(NOT(U269),0,IF(K269="Sick Leave",1,IF(K269="Partial Sick Leave",P269/Settings!$B$9,0)))</f>
        <v>0</v>
      </c>
      <c r="S269" s="35" t="str">
        <f aca="false">IF(AND(OR(E269="Vacation",E269="Sick Leave",E269="Partial Vacation",E269="Partial Sick Leave"),NOT(U269)),"Leave not allowed on this day",IF(AND(E269="Manual Work",OR(NOT(ISNUMBER(F269)),NOT(ISNUMBER(G269)))),"Enter start and end",IF(AND(OR(E269="Partial Vacation",E269="Partial Sick Leave"),OR(NOT(ISNUMBER(H269)),NOT(ISNUMBER(I269)))),"Enter leave from and to",IF(AND(ISNUMBER(F269),ISNUMBER(G269),G269&lt;=F269),"End is before start",IF(AND(ISNUMBER(H269),ISNUMBER(I269),I269&lt;=H269),"Leave end is before start",IF(AND(ISNUMBER(F269),ISNUMBER(G269),ISNUMBER(H269),ISNUMBER(I269),F269&lt;I269,H269&lt;G269),"Work and leave hours overlap",IF(AND(E269&lt;&gt;"",WEEKDAY(A269)=7),"Saturday - administrator only","")))))))</f>
        <v/>
      </c>
      <c r="T269" s="36" t="n">
        <f aca="false">MONTH(A269)</f>
        <v>9</v>
      </c>
      <c r="U269" s="37" t="b">
        <f aca="false">OR(C269="Workday",C269="Eve")</f>
        <v>1</v>
      </c>
      <c r="V269" s="34" t="n">
        <f aca="false">IF(C269="Eve",Settings!$B$8,Settings!$B$7)</f>
        <v>0.583333333333333</v>
      </c>
      <c r="W269" s="14" t="n">
        <f aca="false">IF(U269,(V269-Settings!$B$6)*24,0)</f>
        <v>6</v>
      </c>
    </row>
    <row r="270" customFormat="false" ht="15" hidden="false" customHeight="false" outlineLevel="0" collapsed="false">
      <c r="A270" s="29" t="n">
        <v>46286</v>
      </c>
      <c r="B270" s="30" t="str">
        <f aca="false">CHOOSE(WEEKDAY(A270),"Sun","Mon","Tue","Wed","Thu","Fri","Sat")</f>
        <v>Mon</v>
      </c>
      <c r="C270" s="30" t="str">
        <f aca="false">IF(IFERROR(INDEX(Holidays!$D$5:$D$60,MATCH(A270,Holidays!$A$5:$A$60,0)),"")="Holiday","Holiday",IF(WEEKDAY(A270)&gt;=6,"Weekend",IF(IFERROR(INDEX(Holidays!$D$5:$D$60,MATCH(A270,Holidays!$A$5:$A$60,0)),"")="Eve","Eve","Workday")))</f>
        <v>Holiday</v>
      </c>
      <c r="D270" s="18" t="str">
        <f aca="false">IFERROR(INDEX(Holidays!$C$5:$C$60,MATCH(A270,Holidays!$A$5:$A$60,0)),"")</f>
        <v>Yom Kippur</v>
      </c>
      <c r="E270" s="31"/>
      <c r="F270" s="32"/>
      <c r="G270" s="32"/>
      <c r="H270" s="32"/>
      <c r="I270" s="32"/>
      <c r="J270" s="31"/>
      <c r="K270" s="33" t="str">
        <f aca="false">IF(E270&lt;&gt;"",E270,IF(U270,"Present",IF(C270="Holiday","Holiday","Weekend")))</f>
        <v>Holiday</v>
      </c>
      <c r="L270" s="34" t="str">
        <f aca="false">IF(OR(K270="Present",K270="Manual Work",K270="Partial Vacation",K270="Partial Sick Leave"),IF(ISNUMBER(F270),F270,IF(AND(K270="Present",U270),Settings!$B$6,"")),"")</f>
        <v/>
      </c>
      <c r="M270" s="34" t="str">
        <f aca="false">IF(OR(K270="Present",K270="Manual Work",K270="Partial Vacation",K270="Partial Sick Leave"),IF(ISNUMBER(G270),G270,IF(AND(K270="Present",U270),V270,"")),"")</f>
        <v/>
      </c>
      <c r="N270" s="14" t="n">
        <f aca="false">IF(AND(ISNUMBER(L270),ISNUMBER(M270)),MAX(0,(M270-L270)*24),0)</f>
        <v>0</v>
      </c>
      <c r="O270" s="14" t="n">
        <f aca="false">IF(NOT(U270),0,IF(K270="Vacation",IF(C270="Eve",Settings!$B$9*Settings!$B$11,W270),IF(K270="Partial Vacation",IF(AND(ISNUMBER(H270),ISNUMBER(I270)),MAX(0,(I270-H270)*24),0),0)))</f>
        <v>0</v>
      </c>
      <c r="P270" s="14" t="n">
        <f aca="false">IF(NOT(U270),0,IF(K270="Sick Leave",W270,IF(K270="Partial Sick Leave",IF(AND(ISNUMBER(H270),ISNUMBER(I270)),MAX(0,(I270-H270)*24),0),0)))</f>
        <v>0</v>
      </c>
      <c r="Q270" s="14" t="n">
        <f aca="false">IF(NOT(U270),0,IF(K270="Vacation",IF(C270="Eve",Settings!$B$11,1),IF(K270="Partial Vacation",O270/Settings!$B$9,0)))</f>
        <v>0</v>
      </c>
      <c r="R270" s="14" t="n">
        <f aca="false">IF(NOT(U270),0,IF(K270="Sick Leave",1,IF(K270="Partial Sick Leave",P270/Settings!$B$9,0)))</f>
        <v>0</v>
      </c>
      <c r="S270" s="35" t="str">
        <f aca="false">IF(AND(OR(E270="Vacation",E270="Sick Leave",E270="Partial Vacation",E270="Partial Sick Leave"),NOT(U270)),"Leave not allowed on this day",IF(AND(E270="Manual Work",OR(NOT(ISNUMBER(F270)),NOT(ISNUMBER(G270)))),"Enter start and end",IF(AND(OR(E270="Partial Vacation",E270="Partial Sick Leave"),OR(NOT(ISNUMBER(H270)),NOT(ISNUMBER(I270)))),"Enter leave from and to",IF(AND(ISNUMBER(F270),ISNUMBER(G270),G270&lt;=F270),"End is before start",IF(AND(ISNUMBER(H270),ISNUMBER(I270),I270&lt;=H270),"Leave end is before start",IF(AND(ISNUMBER(F270),ISNUMBER(G270),ISNUMBER(H270),ISNUMBER(I270),F270&lt;I270,H270&lt;G270),"Work and leave hours overlap",IF(AND(E270&lt;&gt;"",WEEKDAY(A270)=7),"Saturday - administrator only","")))))))</f>
        <v/>
      </c>
      <c r="T270" s="36" t="n">
        <f aca="false">MONTH(A270)</f>
        <v>9</v>
      </c>
      <c r="U270" s="37" t="b">
        <f aca="false">OR(C270="Workday",C270="Eve")</f>
        <v>0</v>
      </c>
      <c r="V270" s="34" t="n">
        <f aca="false">IF(C270="Eve",Settings!$B$8,Settings!$B$7)</f>
        <v>0.6875</v>
      </c>
      <c r="W270" s="14" t="n">
        <f aca="false">IF(U270,(V270-Settings!$B$6)*24,0)</f>
        <v>0</v>
      </c>
    </row>
    <row r="271" customFormat="false" ht="15" hidden="false" customHeight="false" outlineLevel="0" collapsed="false">
      <c r="A271" s="29" t="n">
        <v>46287</v>
      </c>
      <c r="B271" s="30" t="str">
        <f aca="false">CHOOSE(WEEKDAY(A271),"Sun","Mon","Tue","Wed","Thu","Fri","Sat")</f>
        <v>Tue</v>
      </c>
      <c r="C271" s="30" t="str">
        <f aca="false">IF(IFERROR(INDEX(Holidays!$D$5:$D$60,MATCH(A271,Holidays!$A$5:$A$60,0)),"")="Holiday","Holiday",IF(WEEKDAY(A271)&gt;=6,"Weekend",IF(IFERROR(INDEX(Holidays!$D$5:$D$60,MATCH(A271,Holidays!$A$5:$A$60,0)),"")="Eve","Eve","Workday")))</f>
        <v>Workday</v>
      </c>
      <c r="D271" s="18" t="str">
        <f aca="false">IFERROR(INDEX(Holidays!$C$5:$C$60,MATCH(A271,Holidays!$A$5:$A$60,0)),"")</f>
        <v/>
      </c>
      <c r="E271" s="31"/>
      <c r="F271" s="32"/>
      <c r="G271" s="32"/>
      <c r="H271" s="32"/>
      <c r="I271" s="32"/>
      <c r="J271" s="31"/>
      <c r="K271" s="33" t="str">
        <f aca="false">IF(E271&lt;&gt;"",E271,IF(U271,"Present",IF(C271="Holiday","Holiday","Weekend")))</f>
        <v>Present</v>
      </c>
      <c r="L271" s="34" t="n">
        <f aca="false">IF(OR(K271="Present",K271="Manual Work",K271="Partial Vacation",K271="Partial Sick Leave"),IF(ISNUMBER(F271),F271,IF(AND(K271="Present",U271),Settings!$B$6,"")),"")</f>
        <v>0.333333333333333</v>
      </c>
      <c r="M271" s="34" t="n">
        <f aca="false">IF(OR(K271="Present",K271="Manual Work",K271="Partial Vacation",K271="Partial Sick Leave"),IF(ISNUMBER(G271),G271,IF(AND(K271="Present",U271),V271,"")),"")</f>
        <v>0.6875</v>
      </c>
      <c r="N271" s="14" t="n">
        <f aca="false">IF(AND(ISNUMBER(L271),ISNUMBER(M271)),MAX(0,(M271-L271)*24),0)</f>
        <v>8.5</v>
      </c>
      <c r="O271" s="14" t="n">
        <f aca="false">IF(NOT(U271),0,IF(K271="Vacation",IF(C271="Eve",Settings!$B$9*Settings!$B$11,W271),IF(K271="Partial Vacation",IF(AND(ISNUMBER(H271),ISNUMBER(I271)),MAX(0,(I271-H271)*24),0),0)))</f>
        <v>0</v>
      </c>
      <c r="P271" s="14" t="n">
        <f aca="false">IF(NOT(U271),0,IF(K271="Sick Leave",W271,IF(K271="Partial Sick Leave",IF(AND(ISNUMBER(H271),ISNUMBER(I271)),MAX(0,(I271-H271)*24),0),0)))</f>
        <v>0</v>
      </c>
      <c r="Q271" s="14" t="n">
        <f aca="false">IF(NOT(U271),0,IF(K271="Vacation",IF(C271="Eve",Settings!$B$11,1),IF(K271="Partial Vacation",O271/Settings!$B$9,0)))</f>
        <v>0</v>
      </c>
      <c r="R271" s="14" t="n">
        <f aca="false">IF(NOT(U271),0,IF(K271="Sick Leave",1,IF(K271="Partial Sick Leave",P271/Settings!$B$9,0)))</f>
        <v>0</v>
      </c>
      <c r="S271" s="35" t="str">
        <f aca="false">IF(AND(OR(E271="Vacation",E271="Sick Leave",E271="Partial Vacation",E271="Partial Sick Leave"),NOT(U271)),"Leave not allowed on this day",IF(AND(E271="Manual Work",OR(NOT(ISNUMBER(F271)),NOT(ISNUMBER(G271)))),"Enter start and end",IF(AND(OR(E271="Partial Vacation",E271="Partial Sick Leave"),OR(NOT(ISNUMBER(H271)),NOT(ISNUMBER(I271)))),"Enter leave from and to",IF(AND(ISNUMBER(F271),ISNUMBER(G271),G271&lt;=F271),"End is before start",IF(AND(ISNUMBER(H271),ISNUMBER(I271),I271&lt;=H271),"Leave end is before start",IF(AND(ISNUMBER(F271),ISNUMBER(G271),ISNUMBER(H271),ISNUMBER(I271),F271&lt;I271,H271&lt;G271),"Work and leave hours overlap",IF(AND(E271&lt;&gt;"",WEEKDAY(A271)=7),"Saturday - administrator only","")))))))</f>
        <v/>
      </c>
      <c r="T271" s="36" t="n">
        <f aca="false">MONTH(A271)</f>
        <v>9</v>
      </c>
      <c r="U271" s="37" t="b">
        <f aca="false">OR(C271="Workday",C271="Eve")</f>
        <v>1</v>
      </c>
      <c r="V271" s="34" t="n">
        <f aca="false">IF(C271="Eve",Settings!$B$8,Settings!$B$7)</f>
        <v>0.6875</v>
      </c>
      <c r="W271" s="14" t="n">
        <f aca="false">IF(U271,(V271-Settings!$B$6)*24,0)</f>
        <v>8.5</v>
      </c>
    </row>
    <row r="272" customFormat="false" ht="15" hidden="false" customHeight="false" outlineLevel="0" collapsed="false">
      <c r="A272" s="29" t="n">
        <v>46288</v>
      </c>
      <c r="B272" s="30" t="str">
        <f aca="false">CHOOSE(WEEKDAY(A272),"Sun","Mon","Tue","Wed","Thu","Fri","Sat")</f>
        <v>Wed</v>
      </c>
      <c r="C272" s="30" t="str">
        <f aca="false">IF(IFERROR(INDEX(Holidays!$D$5:$D$60,MATCH(A272,Holidays!$A$5:$A$60,0)),"")="Holiday","Holiday",IF(WEEKDAY(A272)&gt;=6,"Weekend",IF(IFERROR(INDEX(Holidays!$D$5:$D$60,MATCH(A272,Holidays!$A$5:$A$60,0)),"")="Eve","Eve","Workday")))</f>
        <v>Workday</v>
      </c>
      <c r="D272" s="18" t="str">
        <f aca="false">IFERROR(INDEX(Holidays!$C$5:$C$60,MATCH(A272,Holidays!$A$5:$A$60,0)),"")</f>
        <v/>
      </c>
      <c r="E272" s="31"/>
      <c r="F272" s="32"/>
      <c r="G272" s="32"/>
      <c r="H272" s="32"/>
      <c r="I272" s="32"/>
      <c r="J272" s="31"/>
      <c r="K272" s="33" t="str">
        <f aca="false">IF(E272&lt;&gt;"",E272,IF(U272,"Present",IF(C272="Holiday","Holiday","Weekend")))</f>
        <v>Present</v>
      </c>
      <c r="L272" s="34" t="n">
        <f aca="false">IF(OR(K272="Present",K272="Manual Work",K272="Partial Vacation",K272="Partial Sick Leave"),IF(ISNUMBER(F272),F272,IF(AND(K272="Present",U272),Settings!$B$6,"")),"")</f>
        <v>0.333333333333333</v>
      </c>
      <c r="M272" s="34" t="n">
        <f aca="false">IF(OR(K272="Present",K272="Manual Work",K272="Partial Vacation",K272="Partial Sick Leave"),IF(ISNUMBER(G272),G272,IF(AND(K272="Present",U272),V272,"")),"")</f>
        <v>0.6875</v>
      </c>
      <c r="N272" s="14" t="n">
        <f aca="false">IF(AND(ISNUMBER(L272),ISNUMBER(M272)),MAX(0,(M272-L272)*24),0)</f>
        <v>8.5</v>
      </c>
      <c r="O272" s="14" t="n">
        <f aca="false">IF(NOT(U272),0,IF(K272="Vacation",IF(C272="Eve",Settings!$B$9*Settings!$B$11,W272),IF(K272="Partial Vacation",IF(AND(ISNUMBER(H272),ISNUMBER(I272)),MAX(0,(I272-H272)*24),0),0)))</f>
        <v>0</v>
      </c>
      <c r="P272" s="14" t="n">
        <f aca="false">IF(NOT(U272),0,IF(K272="Sick Leave",W272,IF(K272="Partial Sick Leave",IF(AND(ISNUMBER(H272),ISNUMBER(I272)),MAX(0,(I272-H272)*24),0),0)))</f>
        <v>0</v>
      </c>
      <c r="Q272" s="14" t="n">
        <f aca="false">IF(NOT(U272),0,IF(K272="Vacation",IF(C272="Eve",Settings!$B$11,1),IF(K272="Partial Vacation",O272/Settings!$B$9,0)))</f>
        <v>0</v>
      </c>
      <c r="R272" s="14" t="n">
        <f aca="false">IF(NOT(U272),0,IF(K272="Sick Leave",1,IF(K272="Partial Sick Leave",P272/Settings!$B$9,0)))</f>
        <v>0</v>
      </c>
      <c r="S272" s="35" t="str">
        <f aca="false">IF(AND(OR(E272="Vacation",E272="Sick Leave",E272="Partial Vacation",E272="Partial Sick Leave"),NOT(U272)),"Leave not allowed on this day",IF(AND(E272="Manual Work",OR(NOT(ISNUMBER(F272)),NOT(ISNUMBER(G272)))),"Enter start and end",IF(AND(OR(E272="Partial Vacation",E272="Partial Sick Leave"),OR(NOT(ISNUMBER(H272)),NOT(ISNUMBER(I272)))),"Enter leave from and to",IF(AND(ISNUMBER(F272),ISNUMBER(G272),G272&lt;=F272),"End is before start",IF(AND(ISNUMBER(H272),ISNUMBER(I272),I272&lt;=H272),"Leave end is before start",IF(AND(ISNUMBER(F272),ISNUMBER(G272),ISNUMBER(H272),ISNUMBER(I272),F272&lt;I272,H272&lt;G272),"Work and leave hours overlap",IF(AND(E272&lt;&gt;"",WEEKDAY(A272)=7),"Saturday - administrator only","")))))))</f>
        <v/>
      </c>
      <c r="T272" s="36" t="n">
        <f aca="false">MONTH(A272)</f>
        <v>9</v>
      </c>
      <c r="U272" s="37" t="b">
        <f aca="false">OR(C272="Workday",C272="Eve")</f>
        <v>1</v>
      </c>
      <c r="V272" s="34" t="n">
        <f aca="false">IF(C272="Eve",Settings!$B$8,Settings!$B$7)</f>
        <v>0.6875</v>
      </c>
      <c r="W272" s="14" t="n">
        <f aca="false">IF(U272,(V272-Settings!$B$6)*24,0)</f>
        <v>8.5</v>
      </c>
    </row>
    <row r="273" customFormat="false" ht="15" hidden="false" customHeight="false" outlineLevel="0" collapsed="false">
      <c r="A273" s="29" t="n">
        <v>46289</v>
      </c>
      <c r="B273" s="30" t="str">
        <f aca="false">CHOOSE(WEEKDAY(A273),"Sun","Mon","Tue","Wed","Thu","Fri","Sat")</f>
        <v>Thu</v>
      </c>
      <c r="C273" s="30" t="str">
        <f aca="false">IF(IFERROR(INDEX(Holidays!$D$5:$D$60,MATCH(A273,Holidays!$A$5:$A$60,0)),"")="Holiday","Holiday",IF(WEEKDAY(A273)&gt;=6,"Weekend",IF(IFERROR(INDEX(Holidays!$D$5:$D$60,MATCH(A273,Holidays!$A$5:$A$60,0)),"")="Eve","Eve","Workday")))</f>
        <v>Workday</v>
      </c>
      <c r="D273" s="18" t="str">
        <f aca="false">IFERROR(INDEX(Holidays!$C$5:$C$60,MATCH(A273,Holidays!$A$5:$A$60,0)),"")</f>
        <v/>
      </c>
      <c r="E273" s="31"/>
      <c r="F273" s="32"/>
      <c r="G273" s="32"/>
      <c r="H273" s="32"/>
      <c r="I273" s="32"/>
      <c r="J273" s="31"/>
      <c r="K273" s="33" t="str">
        <f aca="false">IF(E273&lt;&gt;"",E273,IF(U273,"Present",IF(C273="Holiday","Holiday","Weekend")))</f>
        <v>Present</v>
      </c>
      <c r="L273" s="34" t="n">
        <f aca="false">IF(OR(K273="Present",K273="Manual Work",K273="Partial Vacation",K273="Partial Sick Leave"),IF(ISNUMBER(F273),F273,IF(AND(K273="Present",U273),Settings!$B$6,"")),"")</f>
        <v>0.333333333333333</v>
      </c>
      <c r="M273" s="34" t="n">
        <f aca="false">IF(OR(K273="Present",K273="Manual Work",K273="Partial Vacation",K273="Partial Sick Leave"),IF(ISNUMBER(G273),G273,IF(AND(K273="Present",U273),V273,"")),"")</f>
        <v>0.6875</v>
      </c>
      <c r="N273" s="14" t="n">
        <f aca="false">IF(AND(ISNUMBER(L273),ISNUMBER(M273)),MAX(0,(M273-L273)*24),0)</f>
        <v>8.5</v>
      </c>
      <c r="O273" s="14" t="n">
        <f aca="false">IF(NOT(U273),0,IF(K273="Vacation",IF(C273="Eve",Settings!$B$9*Settings!$B$11,W273),IF(K273="Partial Vacation",IF(AND(ISNUMBER(H273),ISNUMBER(I273)),MAX(0,(I273-H273)*24),0),0)))</f>
        <v>0</v>
      </c>
      <c r="P273" s="14" t="n">
        <f aca="false">IF(NOT(U273),0,IF(K273="Sick Leave",W273,IF(K273="Partial Sick Leave",IF(AND(ISNUMBER(H273),ISNUMBER(I273)),MAX(0,(I273-H273)*24),0),0)))</f>
        <v>0</v>
      </c>
      <c r="Q273" s="14" t="n">
        <f aca="false">IF(NOT(U273),0,IF(K273="Vacation",IF(C273="Eve",Settings!$B$11,1),IF(K273="Partial Vacation",O273/Settings!$B$9,0)))</f>
        <v>0</v>
      </c>
      <c r="R273" s="14" t="n">
        <f aca="false">IF(NOT(U273),0,IF(K273="Sick Leave",1,IF(K273="Partial Sick Leave",P273/Settings!$B$9,0)))</f>
        <v>0</v>
      </c>
      <c r="S273" s="35" t="str">
        <f aca="false">IF(AND(OR(E273="Vacation",E273="Sick Leave",E273="Partial Vacation",E273="Partial Sick Leave"),NOT(U273)),"Leave not allowed on this day",IF(AND(E273="Manual Work",OR(NOT(ISNUMBER(F273)),NOT(ISNUMBER(G273)))),"Enter start and end",IF(AND(OR(E273="Partial Vacation",E273="Partial Sick Leave"),OR(NOT(ISNUMBER(H273)),NOT(ISNUMBER(I273)))),"Enter leave from and to",IF(AND(ISNUMBER(F273),ISNUMBER(G273),G273&lt;=F273),"End is before start",IF(AND(ISNUMBER(H273),ISNUMBER(I273),I273&lt;=H273),"Leave end is before start",IF(AND(ISNUMBER(F273),ISNUMBER(G273),ISNUMBER(H273),ISNUMBER(I273),F273&lt;I273,H273&lt;G273),"Work and leave hours overlap",IF(AND(E273&lt;&gt;"",WEEKDAY(A273)=7),"Saturday - administrator only","")))))))</f>
        <v/>
      </c>
      <c r="T273" s="36" t="n">
        <f aca="false">MONTH(A273)</f>
        <v>9</v>
      </c>
      <c r="U273" s="37" t="b">
        <f aca="false">OR(C273="Workday",C273="Eve")</f>
        <v>1</v>
      </c>
      <c r="V273" s="34" t="n">
        <f aca="false">IF(C273="Eve",Settings!$B$8,Settings!$B$7)</f>
        <v>0.6875</v>
      </c>
      <c r="W273" s="14" t="n">
        <f aca="false">IF(U273,(V273-Settings!$B$6)*24,0)</f>
        <v>8.5</v>
      </c>
    </row>
    <row r="274" customFormat="false" ht="15" hidden="false" customHeight="false" outlineLevel="0" collapsed="false">
      <c r="A274" s="29" t="n">
        <v>46290</v>
      </c>
      <c r="B274" s="30" t="str">
        <f aca="false">CHOOSE(WEEKDAY(A274),"Sun","Mon","Tue","Wed","Thu","Fri","Sat")</f>
        <v>Fri</v>
      </c>
      <c r="C274" s="30" t="str">
        <f aca="false">IF(IFERROR(INDEX(Holidays!$D$5:$D$60,MATCH(A274,Holidays!$A$5:$A$60,0)),"")="Holiday","Holiday",IF(WEEKDAY(A274)&gt;=6,"Weekend",IF(IFERROR(INDEX(Holidays!$D$5:$D$60,MATCH(A274,Holidays!$A$5:$A$60,0)),"")="Eve","Eve","Workday")))</f>
        <v>Weekend</v>
      </c>
      <c r="D274" s="18" t="str">
        <f aca="false">IFERROR(INDEX(Holidays!$C$5:$C$60,MATCH(A274,Holidays!$A$5:$A$60,0)),"")</f>
        <v>Erev Sukkot</v>
      </c>
      <c r="E274" s="31"/>
      <c r="F274" s="32"/>
      <c r="G274" s="32"/>
      <c r="H274" s="32"/>
      <c r="I274" s="32"/>
      <c r="J274" s="31"/>
      <c r="K274" s="33" t="str">
        <f aca="false">IF(E274&lt;&gt;"",E274,IF(U274,"Present",IF(C274="Holiday","Holiday","Weekend")))</f>
        <v>Weekend</v>
      </c>
      <c r="L274" s="34" t="str">
        <f aca="false">IF(OR(K274="Present",K274="Manual Work",K274="Partial Vacation",K274="Partial Sick Leave"),IF(ISNUMBER(F274),F274,IF(AND(K274="Present",U274),Settings!$B$6,"")),"")</f>
        <v/>
      </c>
      <c r="M274" s="34" t="str">
        <f aca="false">IF(OR(K274="Present",K274="Manual Work",K274="Partial Vacation",K274="Partial Sick Leave"),IF(ISNUMBER(G274),G274,IF(AND(K274="Present",U274),V274,"")),"")</f>
        <v/>
      </c>
      <c r="N274" s="14" t="n">
        <f aca="false">IF(AND(ISNUMBER(L274),ISNUMBER(M274)),MAX(0,(M274-L274)*24),0)</f>
        <v>0</v>
      </c>
      <c r="O274" s="14" t="n">
        <f aca="false">IF(NOT(U274),0,IF(K274="Vacation",IF(C274="Eve",Settings!$B$9*Settings!$B$11,W274),IF(K274="Partial Vacation",IF(AND(ISNUMBER(H274),ISNUMBER(I274)),MAX(0,(I274-H274)*24),0),0)))</f>
        <v>0</v>
      </c>
      <c r="P274" s="14" t="n">
        <f aca="false">IF(NOT(U274),0,IF(K274="Sick Leave",W274,IF(K274="Partial Sick Leave",IF(AND(ISNUMBER(H274),ISNUMBER(I274)),MAX(0,(I274-H274)*24),0),0)))</f>
        <v>0</v>
      </c>
      <c r="Q274" s="14" t="n">
        <f aca="false">IF(NOT(U274),0,IF(K274="Vacation",IF(C274="Eve",Settings!$B$11,1),IF(K274="Partial Vacation",O274/Settings!$B$9,0)))</f>
        <v>0</v>
      </c>
      <c r="R274" s="14" t="n">
        <f aca="false">IF(NOT(U274),0,IF(K274="Sick Leave",1,IF(K274="Partial Sick Leave",P274/Settings!$B$9,0)))</f>
        <v>0</v>
      </c>
      <c r="S274" s="35" t="str">
        <f aca="false">IF(AND(OR(E274="Vacation",E274="Sick Leave",E274="Partial Vacation",E274="Partial Sick Leave"),NOT(U274)),"Leave not allowed on this day",IF(AND(E274="Manual Work",OR(NOT(ISNUMBER(F274)),NOT(ISNUMBER(G274)))),"Enter start and end",IF(AND(OR(E274="Partial Vacation",E274="Partial Sick Leave"),OR(NOT(ISNUMBER(H274)),NOT(ISNUMBER(I274)))),"Enter leave from and to",IF(AND(ISNUMBER(F274),ISNUMBER(G274),G274&lt;=F274),"End is before start",IF(AND(ISNUMBER(H274),ISNUMBER(I274),I274&lt;=H274),"Leave end is before start",IF(AND(ISNUMBER(F274),ISNUMBER(G274),ISNUMBER(H274),ISNUMBER(I274),F274&lt;I274,H274&lt;G274),"Work and leave hours overlap",IF(AND(E274&lt;&gt;"",WEEKDAY(A274)=7),"Saturday - administrator only","")))))))</f>
        <v/>
      </c>
      <c r="T274" s="36" t="n">
        <f aca="false">MONTH(A274)</f>
        <v>9</v>
      </c>
      <c r="U274" s="37" t="b">
        <f aca="false">OR(C274="Workday",C274="Eve")</f>
        <v>0</v>
      </c>
      <c r="V274" s="34" t="n">
        <f aca="false">IF(C274="Eve",Settings!$B$8,Settings!$B$7)</f>
        <v>0.6875</v>
      </c>
      <c r="W274" s="14" t="n">
        <f aca="false">IF(U274,(V274-Settings!$B$6)*24,0)</f>
        <v>0</v>
      </c>
    </row>
    <row r="275" customFormat="false" ht="15" hidden="false" customHeight="false" outlineLevel="0" collapsed="false">
      <c r="A275" s="29" t="n">
        <v>46291</v>
      </c>
      <c r="B275" s="30" t="str">
        <f aca="false">CHOOSE(WEEKDAY(A275),"Sun","Mon","Tue","Wed","Thu","Fri","Sat")</f>
        <v>Sat</v>
      </c>
      <c r="C275" s="30" t="str">
        <f aca="false">IF(IFERROR(INDEX(Holidays!$D$5:$D$60,MATCH(A275,Holidays!$A$5:$A$60,0)),"")="Holiday","Holiday",IF(WEEKDAY(A275)&gt;=6,"Weekend",IF(IFERROR(INDEX(Holidays!$D$5:$D$60,MATCH(A275,Holidays!$A$5:$A$60,0)),"")="Eve","Eve","Workday")))</f>
        <v>Holiday</v>
      </c>
      <c r="D275" s="18" t="str">
        <f aca="false">IFERROR(INDEX(Holidays!$C$5:$C$60,MATCH(A275,Holidays!$A$5:$A$60,0)),"")</f>
        <v>Sukkot</v>
      </c>
      <c r="E275" s="31"/>
      <c r="F275" s="32"/>
      <c r="G275" s="32"/>
      <c r="H275" s="32"/>
      <c r="I275" s="32"/>
      <c r="J275" s="31"/>
      <c r="K275" s="33" t="str">
        <f aca="false">IF(E275&lt;&gt;"",E275,IF(U275,"Present",IF(C275="Holiday","Holiday","Weekend")))</f>
        <v>Holiday</v>
      </c>
      <c r="L275" s="34" t="str">
        <f aca="false">IF(OR(K275="Present",K275="Manual Work",K275="Partial Vacation",K275="Partial Sick Leave"),IF(ISNUMBER(F275),F275,IF(AND(K275="Present",U275),Settings!$B$6,"")),"")</f>
        <v/>
      </c>
      <c r="M275" s="34" t="str">
        <f aca="false">IF(OR(K275="Present",K275="Manual Work",K275="Partial Vacation",K275="Partial Sick Leave"),IF(ISNUMBER(G275),G275,IF(AND(K275="Present",U275),V275,"")),"")</f>
        <v/>
      </c>
      <c r="N275" s="14" t="n">
        <f aca="false">IF(AND(ISNUMBER(L275),ISNUMBER(M275)),MAX(0,(M275-L275)*24),0)</f>
        <v>0</v>
      </c>
      <c r="O275" s="14" t="n">
        <f aca="false">IF(NOT(U275),0,IF(K275="Vacation",IF(C275="Eve",Settings!$B$9*Settings!$B$11,W275),IF(K275="Partial Vacation",IF(AND(ISNUMBER(H275),ISNUMBER(I275)),MAX(0,(I275-H275)*24),0),0)))</f>
        <v>0</v>
      </c>
      <c r="P275" s="14" t="n">
        <f aca="false">IF(NOT(U275),0,IF(K275="Sick Leave",W275,IF(K275="Partial Sick Leave",IF(AND(ISNUMBER(H275),ISNUMBER(I275)),MAX(0,(I275-H275)*24),0),0)))</f>
        <v>0</v>
      </c>
      <c r="Q275" s="14" t="n">
        <f aca="false">IF(NOT(U275),0,IF(K275="Vacation",IF(C275="Eve",Settings!$B$11,1),IF(K275="Partial Vacation",O275/Settings!$B$9,0)))</f>
        <v>0</v>
      </c>
      <c r="R275" s="14" t="n">
        <f aca="false">IF(NOT(U275),0,IF(K275="Sick Leave",1,IF(K275="Partial Sick Leave",P275/Settings!$B$9,0)))</f>
        <v>0</v>
      </c>
      <c r="S275" s="35" t="str">
        <f aca="false">IF(AND(OR(E275="Vacation",E275="Sick Leave",E275="Partial Vacation",E275="Partial Sick Leave"),NOT(U275)),"Leave not allowed on this day",IF(AND(E275="Manual Work",OR(NOT(ISNUMBER(F275)),NOT(ISNUMBER(G275)))),"Enter start and end",IF(AND(OR(E275="Partial Vacation",E275="Partial Sick Leave"),OR(NOT(ISNUMBER(H275)),NOT(ISNUMBER(I275)))),"Enter leave from and to",IF(AND(ISNUMBER(F275),ISNUMBER(G275),G275&lt;=F275),"End is before start",IF(AND(ISNUMBER(H275),ISNUMBER(I275),I275&lt;=H275),"Leave end is before start",IF(AND(ISNUMBER(F275),ISNUMBER(G275),ISNUMBER(H275),ISNUMBER(I275),F275&lt;I275,H275&lt;G275),"Work and leave hours overlap",IF(AND(E275&lt;&gt;"",WEEKDAY(A275)=7),"Saturday - administrator only","")))))))</f>
        <v/>
      </c>
      <c r="T275" s="36" t="n">
        <f aca="false">MONTH(A275)</f>
        <v>9</v>
      </c>
      <c r="U275" s="37" t="b">
        <f aca="false">OR(C275="Workday",C275="Eve")</f>
        <v>0</v>
      </c>
      <c r="V275" s="34" t="n">
        <f aca="false">IF(C275="Eve",Settings!$B$8,Settings!$B$7)</f>
        <v>0.6875</v>
      </c>
      <c r="W275" s="14" t="n">
        <f aca="false">IF(U275,(V275-Settings!$B$6)*24,0)</f>
        <v>0</v>
      </c>
    </row>
    <row r="276" customFormat="false" ht="15" hidden="false" customHeight="false" outlineLevel="0" collapsed="false">
      <c r="A276" s="29" t="n">
        <v>46292</v>
      </c>
      <c r="B276" s="30" t="str">
        <f aca="false">CHOOSE(WEEKDAY(A276),"Sun","Mon","Tue","Wed","Thu","Fri","Sat")</f>
        <v>Sun</v>
      </c>
      <c r="C276" s="30" t="str">
        <f aca="false">IF(IFERROR(INDEX(Holidays!$D$5:$D$60,MATCH(A276,Holidays!$A$5:$A$60,0)),"")="Holiday","Holiday",IF(WEEKDAY(A276)&gt;=6,"Weekend",IF(IFERROR(INDEX(Holidays!$D$5:$D$60,MATCH(A276,Holidays!$A$5:$A$60,0)),"")="Eve","Eve","Workday")))</f>
        <v>Workday</v>
      </c>
      <c r="D276" s="18" t="str">
        <f aca="false">IFERROR(INDEX(Holidays!$C$5:$C$60,MATCH(A276,Holidays!$A$5:$A$60,0)),"")</f>
        <v/>
      </c>
      <c r="E276" s="31"/>
      <c r="F276" s="32"/>
      <c r="G276" s="32"/>
      <c r="H276" s="32"/>
      <c r="I276" s="32"/>
      <c r="J276" s="31"/>
      <c r="K276" s="33" t="str">
        <f aca="false">IF(E276&lt;&gt;"",E276,IF(U276,"Present",IF(C276="Holiday","Holiday","Weekend")))</f>
        <v>Present</v>
      </c>
      <c r="L276" s="34" t="n">
        <f aca="false">IF(OR(K276="Present",K276="Manual Work",K276="Partial Vacation",K276="Partial Sick Leave"),IF(ISNUMBER(F276),F276,IF(AND(K276="Present",U276),Settings!$B$6,"")),"")</f>
        <v>0.333333333333333</v>
      </c>
      <c r="M276" s="34" t="n">
        <f aca="false">IF(OR(K276="Present",K276="Manual Work",K276="Partial Vacation",K276="Partial Sick Leave"),IF(ISNUMBER(G276),G276,IF(AND(K276="Present",U276),V276,"")),"")</f>
        <v>0.6875</v>
      </c>
      <c r="N276" s="14" t="n">
        <f aca="false">IF(AND(ISNUMBER(L276),ISNUMBER(M276)),MAX(0,(M276-L276)*24),0)</f>
        <v>8.5</v>
      </c>
      <c r="O276" s="14" t="n">
        <f aca="false">IF(NOT(U276),0,IF(K276="Vacation",IF(C276="Eve",Settings!$B$9*Settings!$B$11,W276),IF(K276="Partial Vacation",IF(AND(ISNUMBER(H276),ISNUMBER(I276)),MAX(0,(I276-H276)*24),0),0)))</f>
        <v>0</v>
      </c>
      <c r="P276" s="14" t="n">
        <f aca="false">IF(NOT(U276),0,IF(K276="Sick Leave",W276,IF(K276="Partial Sick Leave",IF(AND(ISNUMBER(H276),ISNUMBER(I276)),MAX(0,(I276-H276)*24),0),0)))</f>
        <v>0</v>
      </c>
      <c r="Q276" s="14" t="n">
        <f aca="false">IF(NOT(U276),0,IF(K276="Vacation",IF(C276="Eve",Settings!$B$11,1),IF(K276="Partial Vacation",O276/Settings!$B$9,0)))</f>
        <v>0</v>
      </c>
      <c r="R276" s="14" t="n">
        <f aca="false">IF(NOT(U276),0,IF(K276="Sick Leave",1,IF(K276="Partial Sick Leave",P276/Settings!$B$9,0)))</f>
        <v>0</v>
      </c>
      <c r="S276" s="35" t="str">
        <f aca="false">IF(AND(OR(E276="Vacation",E276="Sick Leave",E276="Partial Vacation",E276="Partial Sick Leave"),NOT(U276)),"Leave not allowed on this day",IF(AND(E276="Manual Work",OR(NOT(ISNUMBER(F276)),NOT(ISNUMBER(G276)))),"Enter start and end",IF(AND(OR(E276="Partial Vacation",E276="Partial Sick Leave"),OR(NOT(ISNUMBER(H276)),NOT(ISNUMBER(I276)))),"Enter leave from and to",IF(AND(ISNUMBER(F276),ISNUMBER(G276),G276&lt;=F276),"End is before start",IF(AND(ISNUMBER(H276),ISNUMBER(I276),I276&lt;=H276),"Leave end is before start",IF(AND(ISNUMBER(F276),ISNUMBER(G276),ISNUMBER(H276),ISNUMBER(I276),F276&lt;I276,H276&lt;G276),"Work and leave hours overlap",IF(AND(E276&lt;&gt;"",WEEKDAY(A276)=7),"Saturday - administrator only","")))))))</f>
        <v/>
      </c>
      <c r="T276" s="36" t="n">
        <f aca="false">MONTH(A276)</f>
        <v>9</v>
      </c>
      <c r="U276" s="37" t="b">
        <f aca="false">OR(C276="Workday",C276="Eve")</f>
        <v>1</v>
      </c>
      <c r="V276" s="34" t="n">
        <f aca="false">IF(C276="Eve",Settings!$B$8,Settings!$B$7)</f>
        <v>0.6875</v>
      </c>
      <c r="W276" s="14" t="n">
        <f aca="false">IF(U276,(V276-Settings!$B$6)*24,0)</f>
        <v>8.5</v>
      </c>
    </row>
    <row r="277" customFormat="false" ht="15" hidden="false" customHeight="false" outlineLevel="0" collapsed="false">
      <c r="A277" s="29" t="n">
        <v>46293</v>
      </c>
      <c r="B277" s="30" t="str">
        <f aca="false">CHOOSE(WEEKDAY(A277),"Sun","Mon","Tue","Wed","Thu","Fri","Sat")</f>
        <v>Mon</v>
      </c>
      <c r="C277" s="30" t="str">
        <f aca="false">IF(IFERROR(INDEX(Holidays!$D$5:$D$60,MATCH(A277,Holidays!$A$5:$A$60,0)),"")="Holiday","Holiday",IF(WEEKDAY(A277)&gt;=6,"Weekend",IF(IFERROR(INDEX(Holidays!$D$5:$D$60,MATCH(A277,Holidays!$A$5:$A$60,0)),"")="Eve","Eve","Workday")))</f>
        <v>Workday</v>
      </c>
      <c r="D277" s="18" t="str">
        <f aca="false">IFERROR(INDEX(Holidays!$C$5:$C$60,MATCH(A277,Holidays!$A$5:$A$60,0)),"")</f>
        <v/>
      </c>
      <c r="E277" s="31"/>
      <c r="F277" s="32"/>
      <c r="G277" s="32"/>
      <c r="H277" s="32"/>
      <c r="I277" s="32"/>
      <c r="J277" s="31"/>
      <c r="K277" s="33" t="str">
        <f aca="false">IF(E277&lt;&gt;"",E277,IF(U277,"Present",IF(C277="Holiday","Holiday","Weekend")))</f>
        <v>Present</v>
      </c>
      <c r="L277" s="34" t="n">
        <f aca="false">IF(OR(K277="Present",K277="Manual Work",K277="Partial Vacation",K277="Partial Sick Leave"),IF(ISNUMBER(F277),F277,IF(AND(K277="Present",U277),Settings!$B$6,"")),"")</f>
        <v>0.333333333333333</v>
      </c>
      <c r="M277" s="34" t="n">
        <f aca="false">IF(OR(K277="Present",K277="Manual Work",K277="Partial Vacation",K277="Partial Sick Leave"),IF(ISNUMBER(G277),G277,IF(AND(K277="Present",U277),V277,"")),"")</f>
        <v>0.6875</v>
      </c>
      <c r="N277" s="14" t="n">
        <f aca="false">IF(AND(ISNUMBER(L277),ISNUMBER(M277)),MAX(0,(M277-L277)*24),0)</f>
        <v>8.5</v>
      </c>
      <c r="O277" s="14" t="n">
        <f aca="false">IF(NOT(U277),0,IF(K277="Vacation",IF(C277="Eve",Settings!$B$9*Settings!$B$11,W277),IF(K277="Partial Vacation",IF(AND(ISNUMBER(H277),ISNUMBER(I277)),MAX(0,(I277-H277)*24),0),0)))</f>
        <v>0</v>
      </c>
      <c r="P277" s="14" t="n">
        <f aca="false">IF(NOT(U277),0,IF(K277="Sick Leave",W277,IF(K277="Partial Sick Leave",IF(AND(ISNUMBER(H277),ISNUMBER(I277)),MAX(0,(I277-H277)*24),0),0)))</f>
        <v>0</v>
      </c>
      <c r="Q277" s="14" t="n">
        <f aca="false">IF(NOT(U277),0,IF(K277="Vacation",IF(C277="Eve",Settings!$B$11,1),IF(K277="Partial Vacation",O277/Settings!$B$9,0)))</f>
        <v>0</v>
      </c>
      <c r="R277" s="14" t="n">
        <f aca="false">IF(NOT(U277),0,IF(K277="Sick Leave",1,IF(K277="Partial Sick Leave",P277/Settings!$B$9,0)))</f>
        <v>0</v>
      </c>
      <c r="S277" s="35" t="str">
        <f aca="false">IF(AND(OR(E277="Vacation",E277="Sick Leave",E277="Partial Vacation",E277="Partial Sick Leave"),NOT(U277)),"Leave not allowed on this day",IF(AND(E277="Manual Work",OR(NOT(ISNUMBER(F277)),NOT(ISNUMBER(G277)))),"Enter start and end",IF(AND(OR(E277="Partial Vacation",E277="Partial Sick Leave"),OR(NOT(ISNUMBER(H277)),NOT(ISNUMBER(I277)))),"Enter leave from and to",IF(AND(ISNUMBER(F277),ISNUMBER(G277),G277&lt;=F277),"End is before start",IF(AND(ISNUMBER(H277),ISNUMBER(I277),I277&lt;=H277),"Leave end is before start",IF(AND(ISNUMBER(F277),ISNUMBER(G277),ISNUMBER(H277),ISNUMBER(I277),F277&lt;I277,H277&lt;G277),"Work and leave hours overlap",IF(AND(E277&lt;&gt;"",WEEKDAY(A277)=7),"Saturday - administrator only","")))))))</f>
        <v/>
      </c>
      <c r="T277" s="36" t="n">
        <f aca="false">MONTH(A277)</f>
        <v>9</v>
      </c>
      <c r="U277" s="37" t="b">
        <f aca="false">OR(C277="Workday",C277="Eve")</f>
        <v>1</v>
      </c>
      <c r="V277" s="34" t="n">
        <f aca="false">IF(C277="Eve",Settings!$B$8,Settings!$B$7)</f>
        <v>0.6875</v>
      </c>
      <c r="W277" s="14" t="n">
        <f aca="false">IF(U277,(V277-Settings!$B$6)*24,0)</f>
        <v>8.5</v>
      </c>
    </row>
    <row r="278" customFormat="false" ht="15" hidden="false" customHeight="false" outlineLevel="0" collapsed="false">
      <c r="A278" s="29" t="n">
        <v>46294</v>
      </c>
      <c r="B278" s="30" t="str">
        <f aca="false">CHOOSE(WEEKDAY(A278),"Sun","Mon","Tue","Wed","Thu","Fri","Sat")</f>
        <v>Tue</v>
      </c>
      <c r="C278" s="30" t="str">
        <f aca="false">IF(IFERROR(INDEX(Holidays!$D$5:$D$60,MATCH(A278,Holidays!$A$5:$A$60,0)),"")="Holiday","Holiday",IF(WEEKDAY(A278)&gt;=6,"Weekend",IF(IFERROR(INDEX(Holidays!$D$5:$D$60,MATCH(A278,Holidays!$A$5:$A$60,0)),"")="Eve","Eve","Workday")))</f>
        <v>Workday</v>
      </c>
      <c r="D278" s="18" t="str">
        <f aca="false">IFERROR(INDEX(Holidays!$C$5:$C$60,MATCH(A278,Holidays!$A$5:$A$60,0)),"")</f>
        <v/>
      </c>
      <c r="E278" s="31"/>
      <c r="F278" s="32"/>
      <c r="G278" s="32"/>
      <c r="H278" s="32"/>
      <c r="I278" s="32"/>
      <c r="J278" s="31"/>
      <c r="K278" s="33" t="str">
        <f aca="false">IF(E278&lt;&gt;"",E278,IF(U278,"Present",IF(C278="Holiday","Holiday","Weekend")))</f>
        <v>Present</v>
      </c>
      <c r="L278" s="34" t="n">
        <f aca="false">IF(OR(K278="Present",K278="Manual Work",K278="Partial Vacation",K278="Partial Sick Leave"),IF(ISNUMBER(F278),F278,IF(AND(K278="Present",U278),Settings!$B$6,"")),"")</f>
        <v>0.333333333333333</v>
      </c>
      <c r="M278" s="34" t="n">
        <f aca="false">IF(OR(K278="Present",K278="Manual Work",K278="Partial Vacation",K278="Partial Sick Leave"),IF(ISNUMBER(G278),G278,IF(AND(K278="Present",U278),V278,"")),"")</f>
        <v>0.6875</v>
      </c>
      <c r="N278" s="14" t="n">
        <f aca="false">IF(AND(ISNUMBER(L278),ISNUMBER(M278)),MAX(0,(M278-L278)*24),0)</f>
        <v>8.5</v>
      </c>
      <c r="O278" s="14" t="n">
        <f aca="false">IF(NOT(U278),0,IF(K278="Vacation",IF(C278="Eve",Settings!$B$9*Settings!$B$11,W278),IF(K278="Partial Vacation",IF(AND(ISNUMBER(H278),ISNUMBER(I278)),MAX(0,(I278-H278)*24),0),0)))</f>
        <v>0</v>
      </c>
      <c r="P278" s="14" t="n">
        <f aca="false">IF(NOT(U278),0,IF(K278="Sick Leave",W278,IF(K278="Partial Sick Leave",IF(AND(ISNUMBER(H278),ISNUMBER(I278)),MAX(0,(I278-H278)*24),0),0)))</f>
        <v>0</v>
      </c>
      <c r="Q278" s="14" t="n">
        <f aca="false">IF(NOT(U278),0,IF(K278="Vacation",IF(C278="Eve",Settings!$B$11,1),IF(K278="Partial Vacation",O278/Settings!$B$9,0)))</f>
        <v>0</v>
      </c>
      <c r="R278" s="14" t="n">
        <f aca="false">IF(NOT(U278),0,IF(K278="Sick Leave",1,IF(K278="Partial Sick Leave",P278/Settings!$B$9,0)))</f>
        <v>0</v>
      </c>
      <c r="S278" s="35" t="str">
        <f aca="false">IF(AND(OR(E278="Vacation",E278="Sick Leave",E278="Partial Vacation",E278="Partial Sick Leave"),NOT(U278)),"Leave not allowed on this day",IF(AND(E278="Manual Work",OR(NOT(ISNUMBER(F278)),NOT(ISNUMBER(G278)))),"Enter start and end",IF(AND(OR(E278="Partial Vacation",E278="Partial Sick Leave"),OR(NOT(ISNUMBER(H278)),NOT(ISNUMBER(I278)))),"Enter leave from and to",IF(AND(ISNUMBER(F278),ISNUMBER(G278),G278&lt;=F278),"End is before start",IF(AND(ISNUMBER(H278),ISNUMBER(I278),I278&lt;=H278),"Leave end is before start",IF(AND(ISNUMBER(F278),ISNUMBER(G278),ISNUMBER(H278),ISNUMBER(I278),F278&lt;I278,H278&lt;G278),"Work and leave hours overlap",IF(AND(E278&lt;&gt;"",WEEKDAY(A278)=7),"Saturday - administrator only","")))))))</f>
        <v/>
      </c>
      <c r="T278" s="36" t="n">
        <f aca="false">MONTH(A278)</f>
        <v>9</v>
      </c>
      <c r="U278" s="37" t="b">
        <f aca="false">OR(C278="Workday",C278="Eve")</f>
        <v>1</v>
      </c>
      <c r="V278" s="34" t="n">
        <f aca="false">IF(C278="Eve",Settings!$B$8,Settings!$B$7)</f>
        <v>0.6875</v>
      </c>
      <c r="W278" s="14" t="n">
        <f aca="false">IF(U278,(V278-Settings!$B$6)*24,0)</f>
        <v>8.5</v>
      </c>
    </row>
    <row r="279" customFormat="false" ht="15" hidden="false" customHeight="false" outlineLevel="0" collapsed="false">
      <c r="A279" s="29" t="n">
        <v>46295</v>
      </c>
      <c r="B279" s="30" t="str">
        <f aca="false">CHOOSE(WEEKDAY(A279),"Sun","Mon","Tue","Wed","Thu","Fri","Sat")</f>
        <v>Wed</v>
      </c>
      <c r="C279" s="30" t="str">
        <f aca="false">IF(IFERROR(INDEX(Holidays!$D$5:$D$60,MATCH(A279,Holidays!$A$5:$A$60,0)),"")="Holiday","Holiday",IF(WEEKDAY(A279)&gt;=6,"Weekend",IF(IFERROR(INDEX(Holidays!$D$5:$D$60,MATCH(A279,Holidays!$A$5:$A$60,0)),"")="Eve","Eve","Workday")))</f>
        <v>Workday</v>
      </c>
      <c r="D279" s="18" t="str">
        <f aca="false">IFERROR(INDEX(Holidays!$C$5:$C$60,MATCH(A279,Holidays!$A$5:$A$60,0)),"")</f>
        <v/>
      </c>
      <c r="E279" s="31"/>
      <c r="F279" s="32"/>
      <c r="G279" s="32"/>
      <c r="H279" s="32"/>
      <c r="I279" s="32"/>
      <c r="J279" s="31"/>
      <c r="K279" s="33" t="str">
        <f aca="false">IF(E279&lt;&gt;"",E279,IF(U279,"Present",IF(C279="Holiday","Holiday","Weekend")))</f>
        <v>Present</v>
      </c>
      <c r="L279" s="34" t="n">
        <f aca="false">IF(OR(K279="Present",K279="Manual Work",K279="Partial Vacation",K279="Partial Sick Leave"),IF(ISNUMBER(F279),F279,IF(AND(K279="Present",U279),Settings!$B$6,"")),"")</f>
        <v>0.333333333333333</v>
      </c>
      <c r="M279" s="34" t="n">
        <f aca="false">IF(OR(K279="Present",K279="Manual Work",K279="Partial Vacation",K279="Partial Sick Leave"),IF(ISNUMBER(G279),G279,IF(AND(K279="Present",U279),V279,"")),"")</f>
        <v>0.6875</v>
      </c>
      <c r="N279" s="14" t="n">
        <f aca="false">IF(AND(ISNUMBER(L279),ISNUMBER(M279)),MAX(0,(M279-L279)*24),0)</f>
        <v>8.5</v>
      </c>
      <c r="O279" s="14" t="n">
        <f aca="false">IF(NOT(U279),0,IF(K279="Vacation",IF(C279="Eve",Settings!$B$9*Settings!$B$11,W279),IF(K279="Partial Vacation",IF(AND(ISNUMBER(H279),ISNUMBER(I279)),MAX(0,(I279-H279)*24),0),0)))</f>
        <v>0</v>
      </c>
      <c r="P279" s="14" t="n">
        <f aca="false">IF(NOT(U279),0,IF(K279="Sick Leave",W279,IF(K279="Partial Sick Leave",IF(AND(ISNUMBER(H279),ISNUMBER(I279)),MAX(0,(I279-H279)*24),0),0)))</f>
        <v>0</v>
      </c>
      <c r="Q279" s="14" t="n">
        <f aca="false">IF(NOT(U279),0,IF(K279="Vacation",IF(C279="Eve",Settings!$B$11,1),IF(K279="Partial Vacation",O279/Settings!$B$9,0)))</f>
        <v>0</v>
      </c>
      <c r="R279" s="14" t="n">
        <f aca="false">IF(NOT(U279),0,IF(K279="Sick Leave",1,IF(K279="Partial Sick Leave",P279/Settings!$B$9,0)))</f>
        <v>0</v>
      </c>
      <c r="S279" s="35" t="str">
        <f aca="false">IF(AND(OR(E279="Vacation",E279="Sick Leave",E279="Partial Vacation",E279="Partial Sick Leave"),NOT(U279)),"Leave not allowed on this day",IF(AND(E279="Manual Work",OR(NOT(ISNUMBER(F279)),NOT(ISNUMBER(G279)))),"Enter start and end",IF(AND(OR(E279="Partial Vacation",E279="Partial Sick Leave"),OR(NOT(ISNUMBER(H279)),NOT(ISNUMBER(I279)))),"Enter leave from and to",IF(AND(ISNUMBER(F279),ISNUMBER(G279),G279&lt;=F279),"End is before start",IF(AND(ISNUMBER(H279),ISNUMBER(I279),I279&lt;=H279),"Leave end is before start",IF(AND(ISNUMBER(F279),ISNUMBER(G279),ISNUMBER(H279),ISNUMBER(I279),F279&lt;I279,H279&lt;G279),"Work and leave hours overlap",IF(AND(E279&lt;&gt;"",WEEKDAY(A279)=7),"Saturday - administrator only","")))))))</f>
        <v/>
      </c>
      <c r="T279" s="36" t="n">
        <f aca="false">MONTH(A279)</f>
        <v>9</v>
      </c>
      <c r="U279" s="37" t="b">
        <f aca="false">OR(C279="Workday",C279="Eve")</f>
        <v>1</v>
      </c>
      <c r="V279" s="34" t="n">
        <f aca="false">IF(C279="Eve",Settings!$B$8,Settings!$B$7)</f>
        <v>0.6875</v>
      </c>
      <c r="W279" s="14" t="n">
        <f aca="false">IF(U279,(V279-Settings!$B$6)*24,0)</f>
        <v>8.5</v>
      </c>
    </row>
    <row r="280" customFormat="false" ht="15" hidden="false" customHeight="false" outlineLevel="0" collapsed="false">
      <c r="A280" s="29" t="n">
        <v>46296</v>
      </c>
      <c r="B280" s="30" t="str">
        <f aca="false">CHOOSE(WEEKDAY(A280),"Sun","Mon","Tue","Wed","Thu","Fri","Sat")</f>
        <v>Thu</v>
      </c>
      <c r="C280" s="30" t="str">
        <f aca="false">IF(IFERROR(INDEX(Holidays!$D$5:$D$60,MATCH(A280,Holidays!$A$5:$A$60,0)),"")="Holiday","Holiday",IF(WEEKDAY(A280)&gt;=6,"Weekend",IF(IFERROR(INDEX(Holidays!$D$5:$D$60,MATCH(A280,Holidays!$A$5:$A$60,0)),"")="Eve","Eve","Workday")))</f>
        <v>Workday</v>
      </c>
      <c r="D280" s="18" t="str">
        <f aca="false">IFERROR(INDEX(Holidays!$C$5:$C$60,MATCH(A280,Holidays!$A$5:$A$60,0)),"")</f>
        <v/>
      </c>
      <c r="E280" s="31"/>
      <c r="F280" s="32"/>
      <c r="G280" s="32"/>
      <c r="H280" s="32"/>
      <c r="I280" s="32"/>
      <c r="J280" s="31"/>
      <c r="K280" s="33" t="str">
        <f aca="false">IF(E280&lt;&gt;"",E280,IF(U280,"Present",IF(C280="Holiday","Holiday","Weekend")))</f>
        <v>Present</v>
      </c>
      <c r="L280" s="34" t="n">
        <f aca="false">IF(OR(K280="Present",K280="Manual Work",K280="Partial Vacation",K280="Partial Sick Leave"),IF(ISNUMBER(F280),F280,IF(AND(K280="Present",U280),Settings!$B$6,"")),"")</f>
        <v>0.333333333333333</v>
      </c>
      <c r="M280" s="34" t="n">
        <f aca="false">IF(OR(K280="Present",K280="Manual Work",K280="Partial Vacation",K280="Partial Sick Leave"),IF(ISNUMBER(G280),G280,IF(AND(K280="Present",U280),V280,"")),"")</f>
        <v>0.6875</v>
      </c>
      <c r="N280" s="14" t="n">
        <f aca="false">IF(AND(ISNUMBER(L280),ISNUMBER(M280)),MAX(0,(M280-L280)*24),0)</f>
        <v>8.5</v>
      </c>
      <c r="O280" s="14" t="n">
        <f aca="false">IF(NOT(U280),0,IF(K280="Vacation",IF(C280="Eve",Settings!$B$9*Settings!$B$11,W280),IF(K280="Partial Vacation",IF(AND(ISNUMBER(H280),ISNUMBER(I280)),MAX(0,(I280-H280)*24),0),0)))</f>
        <v>0</v>
      </c>
      <c r="P280" s="14" t="n">
        <f aca="false">IF(NOT(U280),0,IF(K280="Sick Leave",W280,IF(K280="Partial Sick Leave",IF(AND(ISNUMBER(H280),ISNUMBER(I280)),MAX(0,(I280-H280)*24),0),0)))</f>
        <v>0</v>
      </c>
      <c r="Q280" s="14" t="n">
        <f aca="false">IF(NOT(U280),0,IF(K280="Vacation",IF(C280="Eve",Settings!$B$11,1),IF(K280="Partial Vacation",O280/Settings!$B$9,0)))</f>
        <v>0</v>
      </c>
      <c r="R280" s="14" t="n">
        <f aca="false">IF(NOT(U280),0,IF(K280="Sick Leave",1,IF(K280="Partial Sick Leave",P280/Settings!$B$9,0)))</f>
        <v>0</v>
      </c>
      <c r="S280" s="35" t="str">
        <f aca="false">IF(AND(OR(E280="Vacation",E280="Sick Leave",E280="Partial Vacation",E280="Partial Sick Leave"),NOT(U280)),"Leave not allowed on this day",IF(AND(E280="Manual Work",OR(NOT(ISNUMBER(F280)),NOT(ISNUMBER(G280)))),"Enter start and end",IF(AND(OR(E280="Partial Vacation",E280="Partial Sick Leave"),OR(NOT(ISNUMBER(H280)),NOT(ISNUMBER(I280)))),"Enter leave from and to",IF(AND(ISNUMBER(F280),ISNUMBER(G280),G280&lt;=F280),"End is before start",IF(AND(ISNUMBER(H280),ISNUMBER(I280),I280&lt;=H280),"Leave end is before start",IF(AND(ISNUMBER(F280),ISNUMBER(G280),ISNUMBER(H280),ISNUMBER(I280),F280&lt;I280,H280&lt;G280),"Work and leave hours overlap",IF(AND(E280&lt;&gt;"",WEEKDAY(A280)=7),"Saturday - administrator only","")))))))</f>
        <v/>
      </c>
      <c r="T280" s="36" t="n">
        <f aca="false">MONTH(A280)</f>
        <v>10</v>
      </c>
      <c r="U280" s="37" t="b">
        <f aca="false">OR(C280="Workday",C280="Eve")</f>
        <v>1</v>
      </c>
      <c r="V280" s="34" t="n">
        <f aca="false">IF(C280="Eve",Settings!$B$8,Settings!$B$7)</f>
        <v>0.6875</v>
      </c>
      <c r="W280" s="14" t="n">
        <f aca="false">IF(U280,(V280-Settings!$B$6)*24,0)</f>
        <v>8.5</v>
      </c>
    </row>
    <row r="281" customFormat="false" ht="15" hidden="false" customHeight="false" outlineLevel="0" collapsed="false">
      <c r="A281" s="29" t="n">
        <v>46297</v>
      </c>
      <c r="B281" s="30" t="str">
        <f aca="false">CHOOSE(WEEKDAY(A281),"Sun","Mon","Tue","Wed","Thu","Fri","Sat")</f>
        <v>Fri</v>
      </c>
      <c r="C281" s="30" t="str">
        <f aca="false">IF(IFERROR(INDEX(Holidays!$D$5:$D$60,MATCH(A281,Holidays!$A$5:$A$60,0)),"")="Holiday","Holiday",IF(WEEKDAY(A281)&gt;=6,"Weekend",IF(IFERROR(INDEX(Holidays!$D$5:$D$60,MATCH(A281,Holidays!$A$5:$A$60,0)),"")="Eve","Eve","Workday")))</f>
        <v>Weekend</v>
      </c>
      <c r="D281" s="18" t="str">
        <f aca="false">IFERROR(INDEX(Holidays!$C$5:$C$60,MATCH(A281,Holidays!$A$5:$A$60,0)),"")</f>
        <v>Erev Simchat Torah</v>
      </c>
      <c r="E281" s="31"/>
      <c r="F281" s="32"/>
      <c r="G281" s="32"/>
      <c r="H281" s="32"/>
      <c r="I281" s="32"/>
      <c r="J281" s="31"/>
      <c r="K281" s="33" t="str">
        <f aca="false">IF(E281&lt;&gt;"",E281,IF(U281,"Present",IF(C281="Holiday","Holiday","Weekend")))</f>
        <v>Weekend</v>
      </c>
      <c r="L281" s="34" t="str">
        <f aca="false">IF(OR(K281="Present",K281="Manual Work",K281="Partial Vacation",K281="Partial Sick Leave"),IF(ISNUMBER(F281),F281,IF(AND(K281="Present",U281),Settings!$B$6,"")),"")</f>
        <v/>
      </c>
      <c r="M281" s="34" t="str">
        <f aca="false">IF(OR(K281="Present",K281="Manual Work",K281="Partial Vacation",K281="Partial Sick Leave"),IF(ISNUMBER(G281),G281,IF(AND(K281="Present",U281),V281,"")),"")</f>
        <v/>
      </c>
      <c r="N281" s="14" t="n">
        <f aca="false">IF(AND(ISNUMBER(L281),ISNUMBER(M281)),MAX(0,(M281-L281)*24),0)</f>
        <v>0</v>
      </c>
      <c r="O281" s="14" t="n">
        <f aca="false">IF(NOT(U281),0,IF(K281="Vacation",IF(C281="Eve",Settings!$B$9*Settings!$B$11,W281),IF(K281="Partial Vacation",IF(AND(ISNUMBER(H281),ISNUMBER(I281)),MAX(0,(I281-H281)*24),0),0)))</f>
        <v>0</v>
      </c>
      <c r="P281" s="14" t="n">
        <f aca="false">IF(NOT(U281),0,IF(K281="Sick Leave",W281,IF(K281="Partial Sick Leave",IF(AND(ISNUMBER(H281),ISNUMBER(I281)),MAX(0,(I281-H281)*24),0),0)))</f>
        <v>0</v>
      </c>
      <c r="Q281" s="14" t="n">
        <f aca="false">IF(NOT(U281),0,IF(K281="Vacation",IF(C281="Eve",Settings!$B$11,1),IF(K281="Partial Vacation",O281/Settings!$B$9,0)))</f>
        <v>0</v>
      </c>
      <c r="R281" s="14" t="n">
        <f aca="false">IF(NOT(U281),0,IF(K281="Sick Leave",1,IF(K281="Partial Sick Leave",P281/Settings!$B$9,0)))</f>
        <v>0</v>
      </c>
      <c r="S281" s="35" t="str">
        <f aca="false">IF(AND(OR(E281="Vacation",E281="Sick Leave",E281="Partial Vacation",E281="Partial Sick Leave"),NOT(U281)),"Leave not allowed on this day",IF(AND(E281="Manual Work",OR(NOT(ISNUMBER(F281)),NOT(ISNUMBER(G281)))),"Enter start and end",IF(AND(OR(E281="Partial Vacation",E281="Partial Sick Leave"),OR(NOT(ISNUMBER(H281)),NOT(ISNUMBER(I281)))),"Enter leave from and to",IF(AND(ISNUMBER(F281),ISNUMBER(G281),G281&lt;=F281),"End is before start",IF(AND(ISNUMBER(H281),ISNUMBER(I281),I281&lt;=H281),"Leave end is before start",IF(AND(ISNUMBER(F281),ISNUMBER(G281),ISNUMBER(H281),ISNUMBER(I281),F281&lt;I281,H281&lt;G281),"Work and leave hours overlap",IF(AND(E281&lt;&gt;"",WEEKDAY(A281)=7),"Saturday - administrator only","")))))))</f>
        <v/>
      </c>
      <c r="T281" s="36" t="n">
        <f aca="false">MONTH(A281)</f>
        <v>10</v>
      </c>
      <c r="U281" s="37" t="b">
        <f aca="false">OR(C281="Workday",C281="Eve")</f>
        <v>0</v>
      </c>
      <c r="V281" s="34" t="n">
        <f aca="false">IF(C281="Eve",Settings!$B$8,Settings!$B$7)</f>
        <v>0.6875</v>
      </c>
      <c r="W281" s="14" t="n">
        <f aca="false">IF(U281,(V281-Settings!$B$6)*24,0)</f>
        <v>0</v>
      </c>
    </row>
    <row r="282" customFormat="false" ht="15" hidden="false" customHeight="false" outlineLevel="0" collapsed="false">
      <c r="A282" s="29" t="n">
        <v>46298</v>
      </c>
      <c r="B282" s="30" t="str">
        <f aca="false">CHOOSE(WEEKDAY(A282),"Sun","Mon","Tue","Wed","Thu","Fri","Sat")</f>
        <v>Sat</v>
      </c>
      <c r="C282" s="30" t="str">
        <f aca="false">IF(IFERROR(INDEX(Holidays!$D$5:$D$60,MATCH(A282,Holidays!$A$5:$A$60,0)),"")="Holiday","Holiday",IF(WEEKDAY(A282)&gt;=6,"Weekend",IF(IFERROR(INDEX(Holidays!$D$5:$D$60,MATCH(A282,Holidays!$A$5:$A$60,0)),"")="Eve","Eve","Workday")))</f>
        <v>Holiday</v>
      </c>
      <c r="D282" s="18" t="str">
        <f aca="false">IFERROR(INDEX(Holidays!$C$5:$C$60,MATCH(A282,Holidays!$A$5:$A$60,0)),"")</f>
        <v>Simchat Torah</v>
      </c>
      <c r="E282" s="31"/>
      <c r="F282" s="32"/>
      <c r="G282" s="32"/>
      <c r="H282" s="32"/>
      <c r="I282" s="32"/>
      <c r="J282" s="31"/>
      <c r="K282" s="33" t="str">
        <f aca="false">IF(E282&lt;&gt;"",E282,IF(U282,"Present",IF(C282="Holiday","Holiday","Weekend")))</f>
        <v>Holiday</v>
      </c>
      <c r="L282" s="34" t="str">
        <f aca="false">IF(OR(K282="Present",K282="Manual Work",K282="Partial Vacation",K282="Partial Sick Leave"),IF(ISNUMBER(F282),F282,IF(AND(K282="Present",U282),Settings!$B$6,"")),"")</f>
        <v/>
      </c>
      <c r="M282" s="34" t="str">
        <f aca="false">IF(OR(K282="Present",K282="Manual Work",K282="Partial Vacation",K282="Partial Sick Leave"),IF(ISNUMBER(G282),G282,IF(AND(K282="Present",U282),V282,"")),"")</f>
        <v/>
      </c>
      <c r="N282" s="14" t="n">
        <f aca="false">IF(AND(ISNUMBER(L282),ISNUMBER(M282)),MAX(0,(M282-L282)*24),0)</f>
        <v>0</v>
      </c>
      <c r="O282" s="14" t="n">
        <f aca="false">IF(NOT(U282),0,IF(K282="Vacation",IF(C282="Eve",Settings!$B$9*Settings!$B$11,W282),IF(K282="Partial Vacation",IF(AND(ISNUMBER(H282),ISNUMBER(I282)),MAX(0,(I282-H282)*24),0),0)))</f>
        <v>0</v>
      </c>
      <c r="P282" s="14" t="n">
        <f aca="false">IF(NOT(U282),0,IF(K282="Sick Leave",W282,IF(K282="Partial Sick Leave",IF(AND(ISNUMBER(H282),ISNUMBER(I282)),MAX(0,(I282-H282)*24),0),0)))</f>
        <v>0</v>
      </c>
      <c r="Q282" s="14" t="n">
        <f aca="false">IF(NOT(U282),0,IF(K282="Vacation",IF(C282="Eve",Settings!$B$11,1),IF(K282="Partial Vacation",O282/Settings!$B$9,0)))</f>
        <v>0</v>
      </c>
      <c r="R282" s="14" t="n">
        <f aca="false">IF(NOT(U282),0,IF(K282="Sick Leave",1,IF(K282="Partial Sick Leave",P282/Settings!$B$9,0)))</f>
        <v>0</v>
      </c>
      <c r="S282" s="35" t="str">
        <f aca="false">IF(AND(OR(E282="Vacation",E282="Sick Leave",E282="Partial Vacation",E282="Partial Sick Leave"),NOT(U282)),"Leave not allowed on this day",IF(AND(E282="Manual Work",OR(NOT(ISNUMBER(F282)),NOT(ISNUMBER(G282)))),"Enter start and end",IF(AND(OR(E282="Partial Vacation",E282="Partial Sick Leave"),OR(NOT(ISNUMBER(H282)),NOT(ISNUMBER(I282)))),"Enter leave from and to",IF(AND(ISNUMBER(F282),ISNUMBER(G282),G282&lt;=F282),"End is before start",IF(AND(ISNUMBER(H282),ISNUMBER(I282),I282&lt;=H282),"Leave end is before start",IF(AND(ISNUMBER(F282),ISNUMBER(G282),ISNUMBER(H282),ISNUMBER(I282),F282&lt;I282,H282&lt;G282),"Work and leave hours overlap",IF(AND(E282&lt;&gt;"",WEEKDAY(A282)=7),"Saturday - administrator only","")))))))</f>
        <v/>
      </c>
      <c r="T282" s="36" t="n">
        <f aca="false">MONTH(A282)</f>
        <v>10</v>
      </c>
      <c r="U282" s="37" t="b">
        <f aca="false">OR(C282="Workday",C282="Eve")</f>
        <v>0</v>
      </c>
      <c r="V282" s="34" t="n">
        <f aca="false">IF(C282="Eve",Settings!$B$8,Settings!$B$7)</f>
        <v>0.6875</v>
      </c>
      <c r="W282" s="14" t="n">
        <f aca="false">IF(U282,(V282-Settings!$B$6)*24,0)</f>
        <v>0</v>
      </c>
    </row>
    <row r="283" customFormat="false" ht="15" hidden="false" customHeight="false" outlineLevel="0" collapsed="false">
      <c r="A283" s="29" t="n">
        <v>46299</v>
      </c>
      <c r="B283" s="30" t="str">
        <f aca="false">CHOOSE(WEEKDAY(A283),"Sun","Mon","Tue","Wed","Thu","Fri","Sat")</f>
        <v>Sun</v>
      </c>
      <c r="C283" s="30" t="str">
        <f aca="false">IF(IFERROR(INDEX(Holidays!$D$5:$D$60,MATCH(A283,Holidays!$A$5:$A$60,0)),"")="Holiday","Holiday",IF(WEEKDAY(A283)&gt;=6,"Weekend",IF(IFERROR(INDEX(Holidays!$D$5:$D$60,MATCH(A283,Holidays!$A$5:$A$60,0)),"")="Eve","Eve","Workday")))</f>
        <v>Workday</v>
      </c>
      <c r="D283" s="18" t="str">
        <f aca="false">IFERROR(INDEX(Holidays!$C$5:$C$60,MATCH(A283,Holidays!$A$5:$A$60,0)),"")</f>
        <v/>
      </c>
      <c r="E283" s="31"/>
      <c r="F283" s="32"/>
      <c r="G283" s="32"/>
      <c r="H283" s="32"/>
      <c r="I283" s="32"/>
      <c r="J283" s="31"/>
      <c r="K283" s="33" t="str">
        <f aca="false">IF(E283&lt;&gt;"",E283,IF(U283,"Present",IF(C283="Holiday","Holiday","Weekend")))</f>
        <v>Present</v>
      </c>
      <c r="L283" s="34" t="n">
        <f aca="false">IF(OR(K283="Present",K283="Manual Work",K283="Partial Vacation",K283="Partial Sick Leave"),IF(ISNUMBER(F283),F283,IF(AND(K283="Present",U283),Settings!$B$6,"")),"")</f>
        <v>0.333333333333333</v>
      </c>
      <c r="M283" s="34" t="n">
        <f aca="false">IF(OR(K283="Present",K283="Manual Work",K283="Partial Vacation",K283="Partial Sick Leave"),IF(ISNUMBER(G283),G283,IF(AND(K283="Present",U283),V283,"")),"")</f>
        <v>0.6875</v>
      </c>
      <c r="N283" s="14" t="n">
        <f aca="false">IF(AND(ISNUMBER(L283),ISNUMBER(M283)),MAX(0,(M283-L283)*24),0)</f>
        <v>8.5</v>
      </c>
      <c r="O283" s="14" t="n">
        <f aca="false">IF(NOT(U283),0,IF(K283="Vacation",IF(C283="Eve",Settings!$B$9*Settings!$B$11,W283),IF(K283="Partial Vacation",IF(AND(ISNUMBER(H283),ISNUMBER(I283)),MAX(0,(I283-H283)*24),0),0)))</f>
        <v>0</v>
      </c>
      <c r="P283" s="14" t="n">
        <f aca="false">IF(NOT(U283),0,IF(K283="Sick Leave",W283,IF(K283="Partial Sick Leave",IF(AND(ISNUMBER(H283),ISNUMBER(I283)),MAX(0,(I283-H283)*24),0),0)))</f>
        <v>0</v>
      </c>
      <c r="Q283" s="14" t="n">
        <f aca="false">IF(NOT(U283),0,IF(K283="Vacation",IF(C283="Eve",Settings!$B$11,1),IF(K283="Partial Vacation",O283/Settings!$B$9,0)))</f>
        <v>0</v>
      </c>
      <c r="R283" s="14" t="n">
        <f aca="false">IF(NOT(U283),0,IF(K283="Sick Leave",1,IF(K283="Partial Sick Leave",P283/Settings!$B$9,0)))</f>
        <v>0</v>
      </c>
      <c r="S283" s="35" t="str">
        <f aca="false">IF(AND(OR(E283="Vacation",E283="Sick Leave",E283="Partial Vacation",E283="Partial Sick Leave"),NOT(U283)),"Leave not allowed on this day",IF(AND(E283="Manual Work",OR(NOT(ISNUMBER(F283)),NOT(ISNUMBER(G283)))),"Enter start and end",IF(AND(OR(E283="Partial Vacation",E283="Partial Sick Leave"),OR(NOT(ISNUMBER(H283)),NOT(ISNUMBER(I283)))),"Enter leave from and to",IF(AND(ISNUMBER(F283),ISNUMBER(G283),G283&lt;=F283),"End is before start",IF(AND(ISNUMBER(H283),ISNUMBER(I283),I283&lt;=H283),"Leave end is before start",IF(AND(ISNUMBER(F283),ISNUMBER(G283),ISNUMBER(H283),ISNUMBER(I283),F283&lt;I283,H283&lt;G283),"Work and leave hours overlap",IF(AND(E283&lt;&gt;"",WEEKDAY(A283)=7),"Saturday - administrator only","")))))))</f>
        <v/>
      </c>
      <c r="T283" s="36" t="n">
        <f aca="false">MONTH(A283)</f>
        <v>10</v>
      </c>
      <c r="U283" s="37" t="b">
        <f aca="false">OR(C283="Workday",C283="Eve")</f>
        <v>1</v>
      </c>
      <c r="V283" s="34" t="n">
        <f aca="false">IF(C283="Eve",Settings!$B$8,Settings!$B$7)</f>
        <v>0.6875</v>
      </c>
      <c r="W283" s="14" t="n">
        <f aca="false">IF(U283,(V283-Settings!$B$6)*24,0)</f>
        <v>8.5</v>
      </c>
    </row>
    <row r="284" customFormat="false" ht="15" hidden="false" customHeight="false" outlineLevel="0" collapsed="false">
      <c r="A284" s="29" t="n">
        <v>46300</v>
      </c>
      <c r="B284" s="30" t="str">
        <f aca="false">CHOOSE(WEEKDAY(A284),"Sun","Mon","Tue","Wed","Thu","Fri","Sat")</f>
        <v>Mon</v>
      </c>
      <c r="C284" s="30" t="str">
        <f aca="false">IF(IFERROR(INDEX(Holidays!$D$5:$D$60,MATCH(A284,Holidays!$A$5:$A$60,0)),"")="Holiday","Holiday",IF(WEEKDAY(A284)&gt;=6,"Weekend",IF(IFERROR(INDEX(Holidays!$D$5:$D$60,MATCH(A284,Holidays!$A$5:$A$60,0)),"")="Eve","Eve","Workday")))</f>
        <v>Workday</v>
      </c>
      <c r="D284" s="18" t="str">
        <f aca="false">IFERROR(INDEX(Holidays!$C$5:$C$60,MATCH(A284,Holidays!$A$5:$A$60,0)),"")</f>
        <v/>
      </c>
      <c r="E284" s="31"/>
      <c r="F284" s="32"/>
      <c r="G284" s="32"/>
      <c r="H284" s="32"/>
      <c r="I284" s="32"/>
      <c r="J284" s="31"/>
      <c r="K284" s="33" t="str">
        <f aca="false">IF(E284&lt;&gt;"",E284,IF(U284,"Present",IF(C284="Holiday","Holiday","Weekend")))</f>
        <v>Present</v>
      </c>
      <c r="L284" s="34" t="n">
        <f aca="false">IF(OR(K284="Present",K284="Manual Work",K284="Partial Vacation",K284="Partial Sick Leave"),IF(ISNUMBER(F284),F284,IF(AND(K284="Present",U284),Settings!$B$6,"")),"")</f>
        <v>0.333333333333333</v>
      </c>
      <c r="M284" s="34" t="n">
        <f aca="false">IF(OR(K284="Present",K284="Manual Work",K284="Partial Vacation",K284="Partial Sick Leave"),IF(ISNUMBER(G284),G284,IF(AND(K284="Present",U284),V284,"")),"")</f>
        <v>0.6875</v>
      </c>
      <c r="N284" s="14" t="n">
        <f aca="false">IF(AND(ISNUMBER(L284),ISNUMBER(M284)),MAX(0,(M284-L284)*24),0)</f>
        <v>8.5</v>
      </c>
      <c r="O284" s="14" t="n">
        <f aca="false">IF(NOT(U284),0,IF(K284="Vacation",IF(C284="Eve",Settings!$B$9*Settings!$B$11,W284),IF(K284="Partial Vacation",IF(AND(ISNUMBER(H284),ISNUMBER(I284)),MAX(0,(I284-H284)*24),0),0)))</f>
        <v>0</v>
      </c>
      <c r="P284" s="14" t="n">
        <f aca="false">IF(NOT(U284),0,IF(K284="Sick Leave",W284,IF(K284="Partial Sick Leave",IF(AND(ISNUMBER(H284),ISNUMBER(I284)),MAX(0,(I284-H284)*24),0),0)))</f>
        <v>0</v>
      </c>
      <c r="Q284" s="14" t="n">
        <f aca="false">IF(NOT(U284),0,IF(K284="Vacation",IF(C284="Eve",Settings!$B$11,1),IF(K284="Partial Vacation",O284/Settings!$B$9,0)))</f>
        <v>0</v>
      </c>
      <c r="R284" s="14" t="n">
        <f aca="false">IF(NOT(U284),0,IF(K284="Sick Leave",1,IF(K284="Partial Sick Leave",P284/Settings!$B$9,0)))</f>
        <v>0</v>
      </c>
      <c r="S284" s="35" t="str">
        <f aca="false">IF(AND(OR(E284="Vacation",E284="Sick Leave",E284="Partial Vacation",E284="Partial Sick Leave"),NOT(U284)),"Leave not allowed on this day",IF(AND(E284="Manual Work",OR(NOT(ISNUMBER(F284)),NOT(ISNUMBER(G284)))),"Enter start and end",IF(AND(OR(E284="Partial Vacation",E284="Partial Sick Leave"),OR(NOT(ISNUMBER(H284)),NOT(ISNUMBER(I284)))),"Enter leave from and to",IF(AND(ISNUMBER(F284),ISNUMBER(G284),G284&lt;=F284),"End is before start",IF(AND(ISNUMBER(H284),ISNUMBER(I284),I284&lt;=H284),"Leave end is before start",IF(AND(ISNUMBER(F284),ISNUMBER(G284),ISNUMBER(H284),ISNUMBER(I284),F284&lt;I284,H284&lt;G284),"Work and leave hours overlap",IF(AND(E284&lt;&gt;"",WEEKDAY(A284)=7),"Saturday - administrator only","")))))))</f>
        <v/>
      </c>
      <c r="T284" s="36" t="n">
        <f aca="false">MONTH(A284)</f>
        <v>10</v>
      </c>
      <c r="U284" s="37" t="b">
        <f aca="false">OR(C284="Workday",C284="Eve")</f>
        <v>1</v>
      </c>
      <c r="V284" s="34" t="n">
        <f aca="false">IF(C284="Eve",Settings!$B$8,Settings!$B$7)</f>
        <v>0.6875</v>
      </c>
      <c r="W284" s="14" t="n">
        <f aca="false">IF(U284,(V284-Settings!$B$6)*24,0)</f>
        <v>8.5</v>
      </c>
    </row>
    <row r="285" customFormat="false" ht="15" hidden="false" customHeight="false" outlineLevel="0" collapsed="false">
      <c r="A285" s="29" t="n">
        <v>46301</v>
      </c>
      <c r="B285" s="30" t="str">
        <f aca="false">CHOOSE(WEEKDAY(A285),"Sun","Mon","Tue","Wed","Thu","Fri","Sat")</f>
        <v>Tue</v>
      </c>
      <c r="C285" s="30" t="str">
        <f aca="false">IF(IFERROR(INDEX(Holidays!$D$5:$D$60,MATCH(A285,Holidays!$A$5:$A$60,0)),"")="Holiday","Holiday",IF(WEEKDAY(A285)&gt;=6,"Weekend",IF(IFERROR(INDEX(Holidays!$D$5:$D$60,MATCH(A285,Holidays!$A$5:$A$60,0)),"")="Eve","Eve","Workday")))</f>
        <v>Workday</v>
      </c>
      <c r="D285" s="18" t="str">
        <f aca="false">IFERROR(INDEX(Holidays!$C$5:$C$60,MATCH(A285,Holidays!$A$5:$A$60,0)),"")</f>
        <v/>
      </c>
      <c r="E285" s="31"/>
      <c r="F285" s="32"/>
      <c r="G285" s="32"/>
      <c r="H285" s="32"/>
      <c r="I285" s="32"/>
      <c r="J285" s="31"/>
      <c r="K285" s="33" t="str">
        <f aca="false">IF(E285&lt;&gt;"",E285,IF(U285,"Present",IF(C285="Holiday","Holiday","Weekend")))</f>
        <v>Present</v>
      </c>
      <c r="L285" s="34" t="n">
        <f aca="false">IF(OR(K285="Present",K285="Manual Work",K285="Partial Vacation",K285="Partial Sick Leave"),IF(ISNUMBER(F285),F285,IF(AND(K285="Present",U285),Settings!$B$6,"")),"")</f>
        <v>0.333333333333333</v>
      </c>
      <c r="M285" s="34" t="n">
        <f aca="false">IF(OR(K285="Present",K285="Manual Work",K285="Partial Vacation",K285="Partial Sick Leave"),IF(ISNUMBER(G285),G285,IF(AND(K285="Present",U285),V285,"")),"")</f>
        <v>0.6875</v>
      </c>
      <c r="N285" s="14" t="n">
        <f aca="false">IF(AND(ISNUMBER(L285),ISNUMBER(M285)),MAX(0,(M285-L285)*24),0)</f>
        <v>8.5</v>
      </c>
      <c r="O285" s="14" t="n">
        <f aca="false">IF(NOT(U285),0,IF(K285="Vacation",IF(C285="Eve",Settings!$B$9*Settings!$B$11,W285),IF(K285="Partial Vacation",IF(AND(ISNUMBER(H285),ISNUMBER(I285)),MAX(0,(I285-H285)*24),0),0)))</f>
        <v>0</v>
      </c>
      <c r="P285" s="14" t="n">
        <f aca="false">IF(NOT(U285),0,IF(K285="Sick Leave",W285,IF(K285="Partial Sick Leave",IF(AND(ISNUMBER(H285),ISNUMBER(I285)),MAX(0,(I285-H285)*24),0),0)))</f>
        <v>0</v>
      </c>
      <c r="Q285" s="14" t="n">
        <f aca="false">IF(NOT(U285),0,IF(K285="Vacation",IF(C285="Eve",Settings!$B$11,1),IF(K285="Partial Vacation",O285/Settings!$B$9,0)))</f>
        <v>0</v>
      </c>
      <c r="R285" s="14" t="n">
        <f aca="false">IF(NOT(U285),0,IF(K285="Sick Leave",1,IF(K285="Partial Sick Leave",P285/Settings!$B$9,0)))</f>
        <v>0</v>
      </c>
      <c r="S285" s="35" t="str">
        <f aca="false">IF(AND(OR(E285="Vacation",E285="Sick Leave",E285="Partial Vacation",E285="Partial Sick Leave"),NOT(U285)),"Leave not allowed on this day",IF(AND(E285="Manual Work",OR(NOT(ISNUMBER(F285)),NOT(ISNUMBER(G285)))),"Enter start and end",IF(AND(OR(E285="Partial Vacation",E285="Partial Sick Leave"),OR(NOT(ISNUMBER(H285)),NOT(ISNUMBER(I285)))),"Enter leave from and to",IF(AND(ISNUMBER(F285),ISNUMBER(G285),G285&lt;=F285),"End is before start",IF(AND(ISNUMBER(H285),ISNUMBER(I285),I285&lt;=H285),"Leave end is before start",IF(AND(ISNUMBER(F285),ISNUMBER(G285),ISNUMBER(H285),ISNUMBER(I285),F285&lt;I285,H285&lt;G285),"Work and leave hours overlap",IF(AND(E285&lt;&gt;"",WEEKDAY(A285)=7),"Saturday - administrator only","")))))))</f>
        <v/>
      </c>
      <c r="T285" s="36" t="n">
        <f aca="false">MONTH(A285)</f>
        <v>10</v>
      </c>
      <c r="U285" s="37" t="b">
        <f aca="false">OR(C285="Workday",C285="Eve")</f>
        <v>1</v>
      </c>
      <c r="V285" s="34" t="n">
        <f aca="false">IF(C285="Eve",Settings!$B$8,Settings!$B$7)</f>
        <v>0.6875</v>
      </c>
      <c r="W285" s="14" t="n">
        <f aca="false">IF(U285,(V285-Settings!$B$6)*24,0)</f>
        <v>8.5</v>
      </c>
    </row>
    <row r="286" customFormat="false" ht="15" hidden="false" customHeight="false" outlineLevel="0" collapsed="false">
      <c r="A286" s="29" t="n">
        <v>46302</v>
      </c>
      <c r="B286" s="30" t="str">
        <f aca="false">CHOOSE(WEEKDAY(A286),"Sun","Mon","Tue","Wed","Thu","Fri","Sat")</f>
        <v>Wed</v>
      </c>
      <c r="C286" s="30" t="str">
        <f aca="false">IF(IFERROR(INDEX(Holidays!$D$5:$D$60,MATCH(A286,Holidays!$A$5:$A$60,0)),"")="Holiday","Holiday",IF(WEEKDAY(A286)&gt;=6,"Weekend",IF(IFERROR(INDEX(Holidays!$D$5:$D$60,MATCH(A286,Holidays!$A$5:$A$60,0)),"")="Eve","Eve","Workday")))</f>
        <v>Workday</v>
      </c>
      <c r="D286" s="18" t="str">
        <f aca="false">IFERROR(INDEX(Holidays!$C$5:$C$60,MATCH(A286,Holidays!$A$5:$A$60,0)),"")</f>
        <v/>
      </c>
      <c r="E286" s="31"/>
      <c r="F286" s="32"/>
      <c r="G286" s="32"/>
      <c r="H286" s="32"/>
      <c r="I286" s="32"/>
      <c r="J286" s="31"/>
      <c r="K286" s="33" t="str">
        <f aca="false">IF(E286&lt;&gt;"",E286,IF(U286,"Present",IF(C286="Holiday","Holiday","Weekend")))</f>
        <v>Present</v>
      </c>
      <c r="L286" s="34" t="n">
        <f aca="false">IF(OR(K286="Present",K286="Manual Work",K286="Partial Vacation",K286="Partial Sick Leave"),IF(ISNUMBER(F286),F286,IF(AND(K286="Present",U286),Settings!$B$6,"")),"")</f>
        <v>0.333333333333333</v>
      </c>
      <c r="M286" s="34" t="n">
        <f aca="false">IF(OR(K286="Present",K286="Manual Work",K286="Partial Vacation",K286="Partial Sick Leave"),IF(ISNUMBER(G286),G286,IF(AND(K286="Present",U286),V286,"")),"")</f>
        <v>0.6875</v>
      </c>
      <c r="N286" s="14" t="n">
        <f aca="false">IF(AND(ISNUMBER(L286),ISNUMBER(M286)),MAX(0,(M286-L286)*24),0)</f>
        <v>8.5</v>
      </c>
      <c r="O286" s="14" t="n">
        <f aca="false">IF(NOT(U286),0,IF(K286="Vacation",IF(C286="Eve",Settings!$B$9*Settings!$B$11,W286),IF(K286="Partial Vacation",IF(AND(ISNUMBER(H286),ISNUMBER(I286)),MAX(0,(I286-H286)*24),0),0)))</f>
        <v>0</v>
      </c>
      <c r="P286" s="14" t="n">
        <f aca="false">IF(NOT(U286),0,IF(K286="Sick Leave",W286,IF(K286="Partial Sick Leave",IF(AND(ISNUMBER(H286),ISNUMBER(I286)),MAX(0,(I286-H286)*24),0),0)))</f>
        <v>0</v>
      </c>
      <c r="Q286" s="14" t="n">
        <f aca="false">IF(NOT(U286),0,IF(K286="Vacation",IF(C286="Eve",Settings!$B$11,1),IF(K286="Partial Vacation",O286/Settings!$B$9,0)))</f>
        <v>0</v>
      </c>
      <c r="R286" s="14" t="n">
        <f aca="false">IF(NOT(U286),0,IF(K286="Sick Leave",1,IF(K286="Partial Sick Leave",P286/Settings!$B$9,0)))</f>
        <v>0</v>
      </c>
      <c r="S286" s="35" t="str">
        <f aca="false">IF(AND(OR(E286="Vacation",E286="Sick Leave",E286="Partial Vacation",E286="Partial Sick Leave"),NOT(U286)),"Leave not allowed on this day",IF(AND(E286="Manual Work",OR(NOT(ISNUMBER(F286)),NOT(ISNUMBER(G286)))),"Enter start and end",IF(AND(OR(E286="Partial Vacation",E286="Partial Sick Leave"),OR(NOT(ISNUMBER(H286)),NOT(ISNUMBER(I286)))),"Enter leave from and to",IF(AND(ISNUMBER(F286),ISNUMBER(G286),G286&lt;=F286),"End is before start",IF(AND(ISNUMBER(H286),ISNUMBER(I286),I286&lt;=H286),"Leave end is before start",IF(AND(ISNUMBER(F286),ISNUMBER(G286),ISNUMBER(H286),ISNUMBER(I286),F286&lt;I286,H286&lt;G286),"Work and leave hours overlap",IF(AND(E286&lt;&gt;"",WEEKDAY(A286)=7),"Saturday - administrator only","")))))))</f>
        <v/>
      </c>
      <c r="T286" s="36" t="n">
        <f aca="false">MONTH(A286)</f>
        <v>10</v>
      </c>
      <c r="U286" s="37" t="b">
        <f aca="false">OR(C286="Workday",C286="Eve")</f>
        <v>1</v>
      </c>
      <c r="V286" s="34" t="n">
        <f aca="false">IF(C286="Eve",Settings!$B$8,Settings!$B$7)</f>
        <v>0.6875</v>
      </c>
      <c r="W286" s="14" t="n">
        <f aca="false">IF(U286,(V286-Settings!$B$6)*24,0)</f>
        <v>8.5</v>
      </c>
    </row>
    <row r="287" customFormat="false" ht="15" hidden="false" customHeight="false" outlineLevel="0" collapsed="false">
      <c r="A287" s="29" t="n">
        <v>46303</v>
      </c>
      <c r="B287" s="30" t="str">
        <f aca="false">CHOOSE(WEEKDAY(A287),"Sun","Mon","Tue","Wed","Thu","Fri","Sat")</f>
        <v>Thu</v>
      </c>
      <c r="C287" s="30" t="str">
        <f aca="false">IF(IFERROR(INDEX(Holidays!$D$5:$D$60,MATCH(A287,Holidays!$A$5:$A$60,0)),"")="Holiday","Holiday",IF(WEEKDAY(A287)&gt;=6,"Weekend",IF(IFERROR(INDEX(Holidays!$D$5:$D$60,MATCH(A287,Holidays!$A$5:$A$60,0)),"")="Eve","Eve","Workday")))</f>
        <v>Workday</v>
      </c>
      <c r="D287" s="18" t="str">
        <f aca="false">IFERROR(INDEX(Holidays!$C$5:$C$60,MATCH(A287,Holidays!$A$5:$A$60,0)),"")</f>
        <v/>
      </c>
      <c r="E287" s="31"/>
      <c r="F287" s="32"/>
      <c r="G287" s="32"/>
      <c r="H287" s="32"/>
      <c r="I287" s="32"/>
      <c r="J287" s="31"/>
      <c r="K287" s="33" t="str">
        <f aca="false">IF(E287&lt;&gt;"",E287,IF(U287,"Present",IF(C287="Holiday","Holiday","Weekend")))</f>
        <v>Present</v>
      </c>
      <c r="L287" s="34" t="n">
        <f aca="false">IF(OR(K287="Present",K287="Manual Work",K287="Partial Vacation",K287="Partial Sick Leave"),IF(ISNUMBER(F287),F287,IF(AND(K287="Present",U287),Settings!$B$6,"")),"")</f>
        <v>0.333333333333333</v>
      </c>
      <c r="M287" s="34" t="n">
        <f aca="false">IF(OR(K287="Present",K287="Manual Work",K287="Partial Vacation",K287="Partial Sick Leave"),IF(ISNUMBER(G287),G287,IF(AND(K287="Present",U287),V287,"")),"")</f>
        <v>0.6875</v>
      </c>
      <c r="N287" s="14" t="n">
        <f aca="false">IF(AND(ISNUMBER(L287),ISNUMBER(M287)),MAX(0,(M287-L287)*24),0)</f>
        <v>8.5</v>
      </c>
      <c r="O287" s="14" t="n">
        <f aca="false">IF(NOT(U287),0,IF(K287="Vacation",IF(C287="Eve",Settings!$B$9*Settings!$B$11,W287),IF(K287="Partial Vacation",IF(AND(ISNUMBER(H287),ISNUMBER(I287)),MAX(0,(I287-H287)*24),0),0)))</f>
        <v>0</v>
      </c>
      <c r="P287" s="14" t="n">
        <f aca="false">IF(NOT(U287),0,IF(K287="Sick Leave",W287,IF(K287="Partial Sick Leave",IF(AND(ISNUMBER(H287),ISNUMBER(I287)),MAX(0,(I287-H287)*24),0),0)))</f>
        <v>0</v>
      </c>
      <c r="Q287" s="14" t="n">
        <f aca="false">IF(NOT(U287),0,IF(K287="Vacation",IF(C287="Eve",Settings!$B$11,1),IF(K287="Partial Vacation",O287/Settings!$B$9,0)))</f>
        <v>0</v>
      </c>
      <c r="R287" s="14" t="n">
        <f aca="false">IF(NOT(U287),0,IF(K287="Sick Leave",1,IF(K287="Partial Sick Leave",P287/Settings!$B$9,0)))</f>
        <v>0</v>
      </c>
      <c r="S287" s="35" t="str">
        <f aca="false">IF(AND(OR(E287="Vacation",E287="Sick Leave",E287="Partial Vacation",E287="Partial Sick Leave"),NOT(U287)),"Leave not allowed on this day",IF(AND(E287="Manual Work",OR(NOT(ISNUMBER(F287)),NOT(ISNUMBER(G287)))),"Enter start and end",IF(AND(OR(E287="Partial Vacation",E287="Partial Sick Leave"),OR(NOT(ISNUMBER(H287)),NOT(ISNUMBER(I287)))),"Enter leave from and to",IF(AND(ISNUMBER(F287),ISNUMBER(G287),G287&lt;=F287),"End is before start",IF(AND(ISNUMBER(H287),ISNUMBER(I287),I287&lt;=H287),"Leave end is before start",IF(AND(ISNUMBER(F287),ISNUMBER(G287),ISNUMBER(H287),ISNUMBER(I287),F287&lt;I287,H287&lt;G287),"Work and leave hours overlap",IF(AND(E287&lt;&gt;"",WEEKDAY(A287)=7),"Saturday - administrator only","")))))))</f>
        <v/>
      </c>
      <c r="T287" s="36" t="n">
        <f aca="false">MONTH(A287)</f>
        <v>10</v>
      </c>
      <c r="U287" s="37" t="b">
        <f aca="false">OR(C287="Workday",C287="Eve")</f>
        <v>1</v>
      </c>
      <c r="V287" s="34" t="n">
        <f aca="false">IF(C287="Eve",Settings!$B$8,Settings!$B$7)</f>
        <v>0.6875</v>
      </c>
      <c r="W287" s="14" t="n">
        <f aca="false">IF(U287,(V287-Settings!$B$6)*24,0)</f>
        <v>8.5</v>
      </c>
    </row>
    <row r="288" customFormat="false" ht="15" hidden="false" customHeight="false" outlineLevel="0" collapsed="false">
      <c r="A288" s="29" t="n">
        <v>46304</v>
      </c>
      <c r="B288" s="30" t="str">
        <f aca="false">CHOOSE(WEEKDAY(A288),"Sun","Mon","Tue","Wed","Thu","Fri","Sat")</f>
        <v>Fri</v>
      </c>
      <c r="C288" s="30" t="str">
        <f aca="false">IF(IFERROR(INDEX(Holidays!$D$5:$D$60,MATCH(A288,Holidays!$A$5:$A$60,0)),"")="Holiday","Holiday",IF(WEEKDAY(A288)&gt;=6,"Weekend",IF(IFERROR(INDEX(Holidays!$D$5:$D$60,MATCH(A288,Holidays!$A$5:$A$60,0)),"")="Eve","Eve","Workday")))</f>
        <v>Weekend</v>
      </c>
      <c r="D288" s="18" t="str">
        <f aca="false">IFERROR(INDEX(Holidays!$C$5:$C$60,MATCH(A288,Holidays!$A$5:$A$60,0)),"")</f>
        <v/>
      </c>
      <c r="E288" s="31"/>
      <c r="F288" s="32"/>
      <c r="G288" s="32"/>
      <c r="H288" s="32"/>
      <c r="I288" s="32"/>
      <c r="J288" s="31"/>
      <c r="K288" s="33" t="str">
        <f aca="false">IF(E288&lt;&gt;"",E288,IF(U288,"Present",IF(C288="Holiday","Holiday","Weekend")))</f>
        <v>Weekend</v>
      </c>
      <c r="L288" s="34" t="str">
        <f aca="false">IF(OR(K288="Present",K288="Manual Work",K288="Partial Vacation",K288="Partial Sick Leave"),IF(ISNUMBER(F288),F288,IF(AND(K288="Present",U288),Settings!$B$6,"")),"")</f>
        <v/>
      </c>
      <c r="M288" s="34" t="str">
        <f aca="false">IF(OR(K288="Present",K288="Manual Work",K288="Partial Vacation",K288="Partial Sick Leave"),IF(ISNUMBER(G288),G288,IF(AND(K288="Present",U288),V288,"")),"")</f>
        <v/>
      </c>
      <c r="N288" s="14" t="n">
        <f aca="false">IF(AND(ISNUMBER(L288),ISNUMBER(M288)),MAX(0,(M288-L288)*24),0)</f>
        <v>0</v>
      </c>
      <c r="O288" s="14" t="n">
        <f aca="false">IF(NOT(U288),0,IF(K288="Vacation",IF(C288="Eve",Settings!$B$9*Settings!$B$11,W288),IF(K288="Partial Vacation",IF(AND(ISNUMBER(H288),ISNUMBER(I288)),MAX(0,(I288-H288)*24),0),0)))</f>
        <v>0</v>
      </c>
      <c r="P288" s="14" t="n">
        <f aca="false">IF(NOT(U288),0,IF(K288="Sick Leave",W288,IF(K288="Partial Sick Leave",IF(AND(ISNUMBER(H288),ISNUMBER(I288)),MAX(0,(I288-H288)*24),0),0)))</f>
        <v>0</v>
      </c>
      <c r="Q288" s="14" t="n">
        <f aca="false">IF(NOT(U288),0,IF(K288="Vacation",IF(C288="Eve",Settings!$B$11,1),IF(K288="Partial Vacation",O288/Settings!$B$9,0)))</f>
        <v>0</v>
      </c>
      <c r="R288" s="14" t="n">
        <f aca="false">IF(NOT(U288),0,IF(K288="Sick Leave",1,IF(K288="Partial Sick Leave",P288/Settings!$B$9,0)))</f>
        <v>0</v>
      </c>
      <c r="S288" s="35" t="str">
        <f aca="false">IF(AND(OR(E288="Vacation",E288="Sick Leave",E288="Partial Vacation",E288="Partial Sick Leave"),NOT(U288)),"Leave not allowed on this day",IF(AND(E288="Manual Work",OR(NOT(ISNUMBER(F288)),NOT(ISNUMBER(G288)))),"Enter start and end",IF(AND(OR(E288="Partial Vacation",E288="Partial Sick Leave"),OR(NOT(ISNUMBER(H288)),NOT(ISNUMBER(I288)))),"Enter leave from and to",IF(AND(ISNUMBER(F288),ISNUMBER(G288),G288&lt;=F288),"End is before start",IF(AND(ISNUMBER(H288),ISNUMBER(I288),I288&lt;=H288),"Leave end is before start",IF(AND(ISNUMBER(F288),ISNUMBER(G288),ISNUMBER(H288),ISNUMBER(I288),F288&lt;I288,H288&lt;G288),"Work and leave hours overlap",IF(AND(E288&lt;&gt;"",WEEKDAY(A288)=7),"Saturday - administrator only","")))))))</f>
        <v/>
      </c>
      <c r="T288" s="36" t="n">
        <f aca="false">MONTH(A288)</f>
        <v>10</v>
      </c>
      <c r="U288" s="37" t="b">
        <f aca="false">OR(C288="Workday",C288="Eve")</f>
        <v>0</v>
      </c>
      <c r="V288" s="34" t="n">
        <f aca="false">IF(C288="Eve",Settings!$B$8,Settings!$B$7)</f>
        <v>0.6875</v>
      </c>
      <c r="W288" s="14" t="n">
        <f aca="false">IF(U288,(V288-Settings!$B$6)*24,0)</f>
        <v>0</v>
      </c>
    </row>
    <row r="289" customFormat="false" ht="15" hidden="false" customHeight="false" outlineLevel="0" collapsed="false">
      <c r="A289" s="29" t="n">
        <v>46305</v>
      </c>
      <c r="B289" s="30" t="str">
        <f aca="false">CHOOSE(WEEKDAY(A289),"Sun","Mon","Tue","Wed","Thu","Fri","Sat")</f>
        <v>Sat</v>
      </c>
      <c r="C289" s="30" t="str">
        <f aca="false">IF(IFERROR(INDEX(Holidays!$D$5:$D$60,MATCH(A289,Holidays!$A$5:$A$60,0)),"")="Holiday","Holiday",IF(WEEKDAY(A289)&gt;=6,"Weekend",IF(IFERROR(INDEX(Holidays!$D$5:$D$60,MATCH(A289,Holidays!$A$5:$A$60,0)),"")="Eve","Eve","Workday")))</f>
        <v>Weekend</v>
      </c>
      <c r="D289" s="18" t="str">
        <f aca="false">IFERROR(INDEX(Holidays!$C$5:$C$60,MATCH(A289,Holidays!$A$5:$A$60,0)),"")</f>
        <v/>
      </c>
      <c r="E289" s="31"/>
      <c r="F289" s="32"/>
      <c r="G289" s="32"/>
      <c r="H289" s="32"/>
      <c r="I289" s="32"/>
      <c r="J289" s="31"/>
      <c r="K289" s="33" t="str">
        <f aca="false">IF(E289&lt;&gt;"",E289,IF(U289,"Present",IF(C289="Holiday","Holiday","Weekend")))</f>
        <v>Weekend</v>
      </c>
      <c r="L289" s="34" t="str">
        <f aca="false">IF(OR(K289="Present",K289="Manual Work",K289="Partial Vacation",K289="Partial Sick Leave"),IF(ISNUMBER(F289),F289,IF(AND(K289="Present",U289),Settings!$B$6,"")),"")</f>
        <v/>
      </c>
      <c r="M289" s="34" t="str">
        <f aca="false">IF(OR(K289="Present",K289="Manual Work",K289="Partial Vacation",K289="Partial Sick Leave"),IF(ISNUMBER(G289),G289,IF(AND(K289="Present",U289),V289,"")),"")</f>
        <v/>
      </c>
      <c r="N289" s="14" t="n">
        <f aca="false">IF(AND(ISNUMBER(L289),ISNUMBER(M289)),MAX(0,(M289-L289)*24),0)</f>
        <v>0</v>
      </c>
      <c r="O289" s="14" t="n">
        <f aca="false">IF(NOT(U289),0,IF(K289="Vacation",IF(C289="Eve",Settings!$B$9*Settings!$B$11,W289),IF(K289="Partial Vacation",IF(AND(ISNUMBER(H289),ISNUMBER(I289)),MAX(0,(I289-H289)*24),0),0)))</f>
        <v>0</v>
      </c>
      <c r="P289" s="14" t="n">
        <f aca="false">IF(NOT(U289),0,IF(K289="Sick Leave",W289,IF(K289="Partial Sick Leave",IF(AND(ISNUMBER(H289),ISNUMBER(I289)),MAX(0,(I289-H289)*24),0),0)))</f>
        <v>0</v>
      </c>
      <c r="Q289" s="14" t="n">
        <f aca="false">IF(NOT(U289),0,IF(K289="Vacation",IF(C289="Eve",Settings!$B$11,1),IF(K289="Partial Vacation",O289/Settings!$B$9,0)))</f>
        <v>0</v>
      </c>
      <c r="R289" s="14" t="n">
        <f aca="false">IF(NOT(U289),0,IF(K289="Sick Leave",1,IF(K289="Partial Sick Leave",P289/Settings!$B$9,0)))</f>
        <v>0</v>
      </c>
      <c r="S289" s="35" t="str">
        <f aca="false">IF(AND(OR(E289="Vacation",E289="Sick Leave",E289="Partial Vacation",E289="Partial Sick Leave"),NOT(U289)),"Leave not allowed on this day",IF(AND(E289="Manual Work",OR(NOT(ISNUMBER(F289)),NOT(ISNUMBER(G289)))),"Enter start and end",IF(AND(OR(E289="Partial Vacation",E289="Partial Sick Leave"),OR(NOT(ISNUMBER(H289)),NOT(ISNUMBER(I289)))),"Enter leave from and to",IF(AND(ISNUMBER(F289),ISNUMBER(G289),G289&lt;=F289),"End is before start",IF(AND(ISNUMBER(H289),ISNUMBER(I289),I289&lt;=H289),"Leave end is before start",IF(AND(ISNUMBER(F289),ISNUMBER(G289),ISNUMBER(H289),ISNUMBER(I289),F289&lt;I289,H289&lt;G289),"Work and leave hours overlap",IF(AND(E289&lt;&gt;"",WEEKDAY(A289)=7),"Saturday - administrator only","")))))))</f>
        <v/>
      </c>
      <c r="T289" s="36" t="n">
        <f aca="false">MONTH(A289)</f>
        <v>10</v>
      </c>
      <c r="U289" s="37" t="b">
        <f aca="false">OR(C289="Workday",C289="Eve")</f>
        <v>0</v>
      </c>
      <c r="V289" s="34" t="n">
        <f aca="false">IF(C289="Eve",Settings!$B$8,Settings!$B$7)</f>
        <v>0.6875</v>
      </c>
      <c r="W289" s="14" t="n">
        <f aca="false">IF(U289,(V289-Settings!$B$6)*24,0)</f>
        <v>0</v>
      </c>
    </row>
    <row r="290" customFormat="false" ht="15" hidden="false" customHeight="false" outlineLevel="0" collapsed="false">
      <c r="A290" s="29" t="n">
        <v>46306</v>
      </c>
      <c r="B290" s="30" t="str">
        <f aca="false">CHOOSE(WEEKDAY(A290),"Sun","Mon","Tue","Wed","Thu","Fri","Sat")</f>
        <v>Sun</v>
      </c>
      <c r="C290" s="30" t="str">
        <f aca="false">IF(IFERROR(INDEX(Holidays!$D$5:$D$60,MATCH(A290,Holidays!$A$5:$A$60,0)),"")="Holiday","Holiday",IF(WEEKDAY(A290)&gt;=6,"Weekend",IF(IFERROR(INDEX(Holidays!$D$5:$D$60,MATCH(A290,Holidays!$A$5:$A$60,0)),"")="Eve","Eve","Workday")))</f>
        <v>Workday</v>
      </c>
      <c r="D290" s="18" t="str">
        <f aca="false">IFERROR(INDEX(Holidays!$C$5:$C$60,MATCH(A290,Holidays!$A$5:$A$60,0)),"")</f>
        <v/>
      </c>
      <c r="E290" s="31"/>
      <c r="F290" s="32"/>
      <c r="G290" s="32"/>
      <c r="H290" s="32"/>
      <c r="I290" s="32"/>
      <c r="J290" s="31"/>
      <c r="K290" s="33" t="str">
        <f aca="false">IF(E290&lt;&gt;"",E290,IF(U290,"Present",IF(C290="Holiday","Holiday","Weekend")))</f>
        <v>Present</v>
      </c>
      <c r="L290" s="34" t="n">
        <f aca="false">IF(OR(K290="Present",K290="Manual Work",K290="Partial Vacation",K290="Partial Sick Leave"),IF(ISNUMBER(F290),F290,IF(AND(K290="Present",U290),Settings!$B$6,"")),"")</f>
        <v>0.333333333333333</v>
      </c>
      <c r="M290" s="34" t="n">
        <f aca="false">IF(OR(K290="Present",K290="Manual Work",K290="Partial Vacation",K290="Partial Sick Leave"),IF(ISNUMBER(G290),G290,IF(AND(K290="Present",U290),V290,"")),"")</f>
        <v>0.6875</v>
      </c>
      <c r="N290" s="14" t="n">
        <f aca="false">IF(AND(ISNUMBER(L290),ISNUMBER(M290)),MAX(0,(M290-L290)*24),0)</f>
        <v>8.5</v>
      </c>
      <c r="O290" s="14" t="n">
        <f aca="false">IF(NOT(U290),0,IF(K290="Vacation",IF(C290="Eve",Settings!$B$9*Settings!$B$11,W290),IF(K290="Partial Vacation",IF(AND(ISNUMBER(H290),ISNUMBER(I290)),MAX(0,(I290-H290)*24),0),0)))</f>
        <v>0</v>
      </c>
      <c r="P290" s="14" t="n">
        <f aca="false">IF(NOT(U290),0,IF(K290="Sick Leave",W290,IF(K290="Partial Sick Leave",IF(AND(ISNUMBER(H290),ISNUMBER(I290)),MAX(0,(I290-H290)*24),0),0)))</f>
        <v>0</v>
      </c>
      <c r="Q290" s="14" t="n">
        <f aca="false">IF(NOT(U290),0,IF(K290="Vacation",IF(C290="Eve",Settings!$B$11,1),IF(K290="Partial Vacation",O290/Settings!$B$9,0)))</f>
        <v>0</v>
      </c>
      <c r="R290" s="14" t="n">
        <f aca="false">IF(NOT(U290),0,IF(K290="Sick Leave",1,IF(K290="Partial Sick Leave",P290/Settings!$B$9,0)))</f>
        <v>0</v>
      </c>
      <c r="S290" s="35" t="str">
        <f aca="false">IF(AND(OR(E290="Vacation",E290="Sick Leave",E290="Partial Vacation",E290="Partial Sick Leave"),NOT(U290)),"Leave not allowed on this day",IF(AND(E290="Manual Work",OR(NOT(ISNUMBER(F290)),NOT(ISNUMBER(G290)))),"Enter start and end",IF(AND(OR(E290="Partial Vacation",E290="Partial Sick Leave"),OR(NOT(ISNUMBER(H290)),NOT(ISNUMBER(I290)))),"Enter leave from and to",IF(AND(ISNUMBER(F290),ISNUMBER(G290),G290&lt;=F290),"End is before start",IF(AND(ISNUMBER(H290),ISNUMBER(I290),I290&lt;=H290),"Leave end is before start",IF(AND(ISNUMBER(F290),ISNUMBER(G290),ISNUMBER(H290),ISNUMBER(I290),F290&lt;I290,H290&lt;G290),"Work and leave hours overlap",IF(AND(E290&lt;&gt;"",WEEKDAY(A290)=7),"Saturday - administrator only","")))))))</f>
        <v/>
      </c>
      <c r="T290" s="36" t="n">
        <f aca="false">MONTH(A290)</f>
        <v>10</v>
      </c>
      <c r="U290" s="37" t="b">
        <f aca="false">OR(C290="Workday",C290="Eve")</f>
        <v>1</v>
      </c>
      <c r="V290" s="34" t="n">
        <f aca="false">IF(C290="Eve",Settings!$B$8,Settings!$B$7)</f>
        <v>0.6875</v>
      </c>
      <c r="W290" s="14" t="n">
        <f aca="false">IF(U290,(V290-Settings!$B$6)*24,0)</f>
        <v>8.5</v>
      </c>
    </row>
    <row r="291" customFormat="false" ht="15" hidden="false" customHeight="false" outlineLevel="0" collapsed="false">
      <c r="A291" s="29" t="n">
        <v>46307</v>
      </c>
      <c r="B291" s="30" t="str">
        <f aca="false">CHOOSE(WEEKDAY(A291),"Sun","Mon","Tue","Wed","Thu","Fri","Sat")</f>
        <v>Mon</v>
      </c>
      <c r="C291" s="30" t="str">
        <f aca="false">IF(IFERROR(INDEX(Holidays!$D$5:$D$60,MATCH(A291,Holidays!$A$5:$A$60,0)),"")="Holiday","Holiday",IF(WEEKDAY(A291)&gt;=6,"Weekend",IF(IFERROR(INDEX(Holidays!$D$5:$D$60,MATCH(A291,Holidays!$A$5:$A$60,0)),"")="Eve","Eve","Workday")))</f>
        <v>Workday</v>
      </c>
      <c r="D291" s="18" t="str">
        <f aca="false">IFERROR(INDEX(Holidays!$C$5:$C$60,MATCH(A291,Holidays!$A$5:$A$60,0)),"")</f>
        <v/>
      </c>
      <c r="E291" s="31"/>
      <c r="F291" s="32"/>
      <c r="G291" s="32"/>
      <c r="H291" s="32"/>
      <c r="I291" s="32"/>
      <c r="J291" s="31"/>
      <c r="K291" s="33" t="str">
        <f aca="false">IF(E291&lt;&gt;"",E291,IF(U291,"Present",IF(C291="Holiday","Holiday","Weekend")))</f>
        <v>Present</v>
      </c>
      <c r="L291" s="34" t="n">
        <f aca="false">IF(OR(K291="Present",K291="Manual Work",K291="Partial Vacation",K291="Partial Sick Leave"),IF(ISNUMBER(F291),F291,IF(AND(K291="Present",U291),Settings!$B$6,"")),"")</f>
        <v>0.333333333333333</v>
      </c>
      <c r="M291" s="34" t="n">
        <f aca="false">IF(OR(K291="Present",K291="Manual Work",K291="Partial Vacation",K291="Partial Sick Leave"),IF(ISNUMBER(G291),G291,IF(AND(K291="Present",U291),V291,"")),"")</f>
        <v>0.6875</v>
      </c>
      <c r="N291" s="14" t="n">
        <f aca="false">IF(AND(ISNUMBER(L291),ISNUMBER(M291)),MAX(0,(M291-L291)*24),0)</f>
        <v>8.5</v>
      </c>
      <c r="O291" s="14" t="n">
        <f aca="false">IF(NOT(U291),0,IF(K291="Vacation",IF(C291="Eve",Settings!$B$9*Settings!$B$11,W291),IF(K291="Partial Vacation",IF(AND(ISNUMBER(H291),ISNUMBER(I291)),MAX(0,(I291-H291)*24),0),0)))</f>
        <v>0</v>
      </c>
      <c r="P291" s="14" t="n">
        <f aca="false">IF(NOT(U291),0,IF(K291="Sick Leave",W291,IF(K291="Partial Sick Leave",IF(AND(ISNUMBER(H291),ISNUMBER(I291)),MAX(0,(I291-H291)*24),0),0)))</f>
        <v>0</v>
      </c>
      <c r="Q291" s="14" t="n">
        <f aca="false">IF(NOT(U291),0,IF(K291="Vacation",IF(C291="Eve",Settings!$B$11,1),IF(K291="Partial Vacation",O291/Settings!$B$9,0)))</f>
        <v>0</v>
      </c>
      <c r="R291" s="14" t="n">
        <f aca="false">IF(NOT(U291),0,IF(K291="Sick Leave",1,IF(K291="Partial Sick Leave",P291/Settings!$B$9,0)))</f>
        <v>0</v>
      </c>
      <c r="S291" s="35" t="str">
        <f aca="false">IF(AND(OR(E291="Vacation",E291="Sick Leave",E291="Partial Vacation",E291="Partial Sick Leave"),NOT(U291)),"Leave not allowed on this day",IF(AND(E291="Manual Work",OR(NOT(ISNUMBER(F291)),NOT(ISNUMBER(G291)))),"Enter start and end",IF(AND(OR(E291="Partial Vacation",E291="Partial Sick Leave"),OR(NOT(ISNUMBER(H291)),NOT(ISNUMBER(I291)))),"Enter leave from and to",IF(AND(ISNUMBER(F291),ISNUMBER(G291),G291&lt;=F291),"End is before start",IF(AND(ISNUMBER(H291),ISNUMBER(I291),I291&lt;=H291),"Leave end is before start",IF(AND(ISNUMBER(F291),ISNUMBER(G291),ISNUMBER(H291),ISNUMBER(I291),F291&lt;I291,H291&lt;G291),"Work and leave hours overlap",IF(AND(E291&lt;&gt;"",WEEKDAY(A291)=7),"Saturday - administrator only","")))))))</f>
        <v/>
      </c>
      <c r="T291" s="36" t="n">
        <f aca="false">MONTH(A291)</f>
        <v>10</v>
      </c>
      <c r="U291" s="37" t="b">
        <f aca="false">OR(C291="Workday",C291="Eve")</f>
        <v>1</v>
      </c>
      <c r="V291" s="34" t="n">
        <f aca="false">IF(C291="Eve",Settings!$B$8,Settings!$B$7)</f>
        <v>0.6875</v>
      </c>
      <c r="W291" s="14" t="n">
        <f aca="false">IF(U291,(V291-Settings!$B$6)*24,0)</f>
        <v>8.5</v>
      </c>
    </row>
    <row r="292" customFormat="false" ht="15" hidden="false" customHeight="false" outlineLevel="0" collapsed="false">
      <c r="A292" s="29" t="n">
        <v>46308</v>
      </c>
      <c r="B292" s="30" t="str">
        <f aca="false">CHOOSE(WEEKDAY(A292),"Sun","Mon","Tue","Wed","Thu","Fri","Sat")</f>
        <v>Tue</v>
      </c>
      <c r="C292" s="30" t="str">
        <f aca="false">IF(IFERROR(INDEX(Holidays!$D$5:$D$60,MATCH(A292,Holidays!$A$5:$A$60,0)),"")="Holiday","Holiday",IF(WEEKDAY(A292)&gt;=6,"Weekend",IF(IFERROR(INDEX(Holidays!$D$5:$D$60,MATCH(A292,Holidays!$A$5:$A$60,0)),"")="Eve","Eve","Workday")))</f>
        <v>Workday</v>
      </c>
      <c r="D292" s="18" t="str">
        <f aca="false">IFERROR(INDEX(Holidays!$C$5:$C$60,MATCH(A292,Holidays!$A$5:$A$60,0)),"")</f>
        <v/>
      </c>
      <c r="E292" s="31"/>
      <c r="F292" s="32"/>
      <c r="G292" s="32"/>
      <c r="H292" s="32"/>
      <c r="I292" s="32"/>
      <c r="J292" s="31"/>
      <c r="K292" s="33" t="str">
        <f aca="false">IF(E292&lt;&gt;"",E292,IF(U292,"Present",IF(C292="Holiday","Holiday","Weekend")))</f>
        <v>Present</v>
      </c>
      <c r="L292" s="34" t="n">
        <f aca="false">IF(OR(K292="Present",K292="Manual Work",K292="Partial Vacation",K292="Partial Sick Leave"),IF(ISNUMBER(F292),F292,IF(AND(K292="Present",U292),Settings!$B$6,"")),"")</f>
        <v>0.333333333333333</v>
      </c>
      <c r="M292" s="34" t="n">
        <f aca="false">IF(OR(K292="Present",K292="Manual Work",K292="Partial Vacation",K292="Partial Sick Leave"),IF(ISNUMBER(G292),G292,IF(AND(K292="Present",U292),V292,"")),"")</f>
        <v>0.6875</v>
      </c>
      <c r="N292" s="14" t="n">
        <f aca="false">IF(AND(ISNUMBER(L292),ISNUMBER(M292)),MAX(0,(M292-L292)*24),0)</f>
        <v>8.5</v>
      </c>
      <c r="O292" s="14" t="n">
        <f aca="false">IF(NOT(U292),0,IF(K292="Vacation",IF(C292="Eve",Settings!$B$9*Settings!$B$11,W292),IF(K292="Partial Vacation",IF(AND(ISNUMBER(H292),ISNUMBER(I292)),MAX(0,(I292-H292)*24),0),0)))</f>
        <v>0</v>
      </c>
      <c r="P292" s="14" t="n">
        <f aca="false">IF(NOT(U292),0,IF(K292="Sick Leave",W292,IF(K292="Partial Sick Leave",IF(AND(ISNUMBER(H292),ISNUMBER(I292)),MAX(0,(I292-H292)*24),0),0)))</f>
        <v>0</v>
      </c>
      <c r="Q292" s="14" t="n">
        <f aca="false">IF(NOT(U292),0,IF(K292="Vacation",IF(C292="Eve",Settings!$B$11,1),IF(K292="Partial Vacation",O292/Settings!$B$9,0)))</f>
        <v>0</v>
      </c>
      <c r="R292" s="14" t="n">
        <f aca="false">IF(NOT(U292),0,IF(K292="Sick Leave",1,IF(K292="Partial Sick Leave",P292/Settings!$B$9,0)))</f>
        <v>0</v>
      </c>
      <c r="S292" s="35" t="str">
        <f aca="false">IF(AND(OR(E292="Vacation",E292="Sick Leave",E292="Partial Vacation",E292="Partial Sick Leave"),NOT(U292)),"Leave not allowed on this day",IF(AND(E292="Manual Work",OR(NOT(ISNUMBER(F292)),NOT(ISNUMBER(G292)))),"Enter start and end",IF(AND(OR(E292="Partial Vacation",E292="Partial Sick Leave"),OR(NOT(ISNUMBER(H292)),NOT(ISNUMBER(I292)))),"Enter leave from and to",IF(AND(ISNUMBER(F292),ISNUMBER(G292),G292&lt;=F292),"End is before start",IF(AND(ISNUMBER(H292),ISNUMBER(I292),I292&lt;=H292),"Leave end is before start",IF(AND(ISNUMBER(F292),ISNUMBER(G292),ISNUMBER(H292),ISNUMBER(I292),F292&lt;I292,H292&lt;G292),"Work and leave hours overlap",IF(AND(E292&lt;&gt;"",WEEKDAY(A292)=7),"Saturday - administrator only","")))))))</f>
        <v/>
      </c>
      <c r="T292" s="36" t="n">
        <f aca="false">MONTH(A292)</f>
        <v>10</v>
      </c>
      <c r="U292" s="37" t="b">
        <f aca="false">OR(C292="Workday",C292="Eve")</f>
        <v>1</v>
      </c>
      <c r="V292" s="34" t="n">
        <f aca="false">IF(C292="Eve",Settings!$B$8,Settings!$B$7)</f>
        <v>0.6875</v>
      </c>
      <c r="W292" s="14" t="n">
        <f aca="false">IF(U292,(V292-Settings!$B$6)*24,0)</f>
        <v>8.5</v>
      </c>
    </row>
    <row r="293" customFormat="false" ht="15" hidden="false" customHeight="false" outlineLevel="0" collapsed="false">
      <c r="A293" s="29" t="n">
        <v>46309</v>
      </c>
      <c r="B293" s="30" t="str">
        <f aca="false">CHOOSE(WEEKDAY(A293),"Sun","Mon","Tue","Wed","Thu","Fri","Sat")</f>
        <v>Wed</v>
      </c>
      <c r="C293" s="30" t="str">
        <f aca="false">IF(IFERROR(INDEX(Holidays!$D$5:$D$60,MATCH(A293,Holidays!$A$5:$A$60,0)),"")="Holiday","Holiday",IF(WEEKDAY(A293)&gt;=6,"Weekend",IF(IFERROR(INDEX(Holidays!$D$5:$D$60,MATCH(A293,Holidays!$A$5:$A$60,0)),"")="Eve","Eve","Workday")))</f>
        <v>Workday</v>
      </c>
      <c r="D293" s="18" t="str">
        <f aca="false">IFERROR(INDEX(Holidays!$C$5:$C$60,MATCH(A293,Holidays!$A$5:$A$60,0)),"")</f>
        <v/>
      </c>
      <c r="E293" s="31"/>
      <c r="F293" s="32"/>
      <c r="G293" s="32"/>
      <c r="H293" s="32"/>
      <c r="I293" s="32"/>
      <c r="J293" s="31"/>
      <c r="K293" s="33" t="str">
        <f aca="false">IF(E293&lt;&gt;"",E293,IF(U293,"Present",IF(C293="Holiday","Holiday","Weekend")))</f>
        <v>Present</v>
      </c>
      <c r="L293" s="34" t="n">
        <f aca="false">IF(OR(K293="Present",K293="Manual Work",K293="Partial Vacation",K293="Partial Sick Leave"),IF(ISNUMBER(F293),F293,IF(AND(K293="Present",U293),Settings!$B$6,"")),"")</f>
        <v>0.333333333333333</v>
      </c>
      <c r="M293" s="34" t="n">
        <f aca="false">IF(OR(K293="Present",K293="Manual Work",K293="Partial Vacation",K293="Partial Sick Leave"),IF(ISNUMBER(G293),G293,IF(AND(K293="Present",U293),V293,"")),"")</f>
        <v>0.6875</v>
      </c>
      <c r="N293" s="14" t="n">
        <f aca="false">IF(AND(ISNUMBER(L293),ISNUMBER(M293)),MAX(0,(M293-L293)*24),0)</f>
        <v>8.5</v>
      </c>
      <c r="O293" s="14" t="n">
        <f aca="false">IF(NOT(U293),0,IF(K293="Vacation",IF(C293="Eve",Settings!$B$9*Settings!$B$11,W293),IF(K293="Partial Vacation",IF(AND(ISNUMBER(H293),ISNUMBER(I293)),MAX(0,(I293-H293)*24),0),0)))</f>
        <v>0</v>
      </c>
      <c r="P293" s="14" t="n">
        <f aca="false">IF(NOT(U293),0,IF(K293="Sick Leave",W293,IF(K293="Partial Sick Leave",IF(AND(ISNUMBER(H293),ISNUMBER(I293)),MAX(0,(I293-H293)*24),0),0)))</f>
        <v>0</v>
      </c>
      <c r="Q293" s="14" t="n">
        <f aca="false">IF(NOT(U293),0,IF(K293="Vacation",IF(C293="Eve",Settings!$B$11,1),IF(K293="Partial Vacation",O293/Settings!$B$9,0)))</f>
        <v>0</v>
      </c>
      <c r="R293" s="14" t="n">
        <f aca="false">IF(NOT(U293),0,IF(K293="Sick Leave",1,IF(K293="Partial Sick Leave",P293/Settings!$B$9,0)))</f>
        <v>0</v>
      </c>
      <c r="S293" s="35" t="str">
        <f aca="false">IF(AND(OR(E293="Vacation",E293="Sick Leave",E293="Partial Vacation",E293="Partial Sick Leave"),NOT(U293)),"Leave not allowed on this day",IF(AND(E293="Manual Work",OR(NOT(ISNUMBER(F293)),NOT(ISNUMBER(G293)))),"Enter start and end",IF(AND(OR(E293="Partial Vacation",E293="Partial Sick Leave"),OR(NOT(ISNUMBER(H293)),NOT(ISNUMBER(I293)))),"Enter leave from and to",IF(AND(ISNUMBER(F293),ISNUMBER(G293),G293&lt;=F293),"End is before start",IF(AND(ISNUMBER(H293),ISNUMBER(I293),I293&lt;=H293),"Leave end is before start",IF(AND(ISNUMBER(F293),ISNUMBER(G293),ISNUMBER(H293),ISNUMBER(I293),F293&lt;I293,H293&lt;G293),"Work and leave hours overlap",IF(AND(E293&lt;&gt;"",WEEKDAY(A293)=7),"Saturday - administrator only","")))))))</f>
        <v/>
      </c>
      <c r="T293" s="36" t="n">
        <f aca="false">MONTH(A293)</f>
        <v>10</v>
      </c>
      <c r="U293" s="37" t="b">
        <f aca="false">OR(C293="Workday",C293="Eve")</f>
        <v>1</v>
      </c>
      <c r="V293" s="34" t="n">
        <f aca="false">IF(C293="Eve",Settings!$B$8,Settings!$B$7)</f>
        <v>0.6875</v>
      </c>
      <c r="W293" s="14" t="n">
        <f aca="false">IF(U293,(V293-Settings!$B$6)*24,0)</f>
        <v>8.5</v>
      </c>
    </row>
    <row r="294" customFormat="false" ht="15" hidden="false" customHeight="false" outlineLevel="0" collapsed="false">
      <c r="A294" s="29" t="n">
        <v>46310</v>
      </c>
      <c r="B294" s="30" t="str">
        <f aca="false">CHOOSE(WEEKDAY(A294),"Sun","Mon","Tue","Wed","Thu","Fri","Sat")</f>
        <v>Thu</v>
      </c>
      <c r="C294" s="30" t="str">
        <f aca="false">IF(IFERROR(INDEX(Holidays!$D$5:$D$60,MATCH(A294,Holidays!$A$5:$A$60,0)),"")="Holiday","Holiday",IF(WEEKDAY(A294)&gt;=6,"Weekend",IF(IFERROR(INDEX(Holidays!$D$5:$D$60,MATCH(A294,Holidays!$A$5:$A$60,0)),"")="Eve","Eve","Workday")))</f>
        <v>Workday</v>
      </c>
      <c r="D294" s="18" t="str">
        <f aca="false">IFERROR(INDEX(Holidays!$C$5:$C$60,MATCH(A294,Holidays!$A$5:$A$60,0)),"")</f>
        <v/>
      </c>
      <c r="E294" s="31"/>
      <c r="F294" s="32"/>
      <c r="G294" s="32"/>
      <c r="H294" s="32"/>
      <c r="I294" s="32"/>
      <c r="J294" s="31"/>
      <c r="K294" s="33" t="str">
        <f aca="false">IF(E294&lt;&gt;"",E294,IF(U294,"Present",IF(C294="Holiday","Holiday","Weekend")))</f>
        <v>Present</v>
      </c>
      <c r="L294" s="34" t="n">
        <f aca="false">IF(OR(K294="Present",K294="Manual Work",K294="Partial Vacation",K294="Partial Sick Leave"),IF(ISNUMBER(F294),F294,IF(AND(K294="Present",U294),Settings!$B$6,"")),"")</f>
        <v>0.333333333333333</v>
      </c>
      <c r="M294" s="34" t="n">
        <f aca="false">IF(OR(K294="Present",K294="Manual Work",K294="Partial Vacation",K294="Partial Sick Leave"),IF(ISNUMBER(G294),G294,IF(AND(K294="Present",U294),V294,"")),"")</f>
        <v>0.6875</v>
      </c>
      <c r="N294" s="14" t="n">
        <f aca="false">IF(AND(ISNUMBER(L294),ISNUMBER(M294)),MAX(0,(M294-L294)*24),0)</f>
        <v>8.5</v>
      </c>
      <c r="O294" s="14" t="n">
        <f aca="false">IF(NOT(U294),0,IF(K294="Vacation",IF(C294="Eve",Settings!$B$9*Settings!$B$11,W294),IF(K294="Partial Vacation",IF(AND(ISNUMBER(H294),ISNUMBER(I294)),MAX(0,(I294-H294)*24),0),0)))</f>
        <v>0</v>
      </c>
      <c r="P294" s="14" t="n">
        <f aca="false">IF(NOT(U294),0,IF(K294="Sick Leave",W294,IF(K294="Partial Sick Leave",IF(AND(ISNUMBER(H294),ISNUMBER(I294)),MAX(0,(I294-H294)*24),0),0)))</f>
        <v>0</v>
      </c>
      <c r="Q294" s="14" t="n">
        <f aca="false">IF(NOT(U294),0,IF(K294="Vacation",IF(C294="Eve",Settings!$B$11,1),IF(K294="Partial Vacation",O294/Settings!$B$9,0)))</f>
        <v>0</v>
      </c>
      <c r="R294" s="14" t="n">
        <f aca="false">IF(NOT(U294),0,IF(K294="Sick Leave",1,IF(K294="Partial Sick Leave",P294/Settings!$B$9,0)))</f>
        <v>0</v>
      </c>
      <c r="S294" s="35" t="str">
        <f aca="false">IF(AND(OR(E294="Vacation",E294="Sick Leave",E294="Partial Vacation",E294="Partial Sick Leave"),NOT(U294)),"Leave not allowed on this day",IF(AND(E294="Manual Work",OR(NOT(ISNUMBER(F294)),NOT(ISNUMBER(G294)))),"Enter start and end",IF(AND(OR(E294="Partial Vacation",E294="Partial Sick Leave"),OR(NOT(ISNUMBER(H294)),NOT(ISNUMBER(I294)))),"Enter leave from and to",IF(AND(ISNUMBER(F294),ISNUMBER(G294),G294&lt;=F294),"End is before start",IF(AND(ISNUMBER(H294),ISNUMBER(I294),I294&lt;=H294),"Leave end is before start",IF(AND(ISNUMBER(F294),ISNUMBER(G294),ISNUMBER(H294),ISNUMBER(I294),F294&lt;I294,H294&lt;G294),"Work and leave hours overlap",IF(AND(E294&lt;&gt;"",WEEKDAY(A294)=7),"Saturday - administrator only","")))))))</f>
        <v/>
      </c>
      <c r="T294" s="36" t="n">
        <f aca="false">MONTH(A294)</f>
        <v>10</v>
      </c>
      <c r="U294" s="37" t="b">
        <f aca="false">OR(C294="Workday",C294="Eve")</f>
        <v>1</v>
      </c>
      <c r="V294" s="34" t="n">
        <f aca="false">IF(C294="Eve",Settings!$B$8,Settings!$B$7)</f>
        <v>0.6875</v>
      </c>
      <c r="W294" s="14" t="n">
        <f aca="false">IF(U294,(V294-Settings!$B$6)*24,0)</f>
        <v>8.5</v>
      </c>
    </row>
    <row r="295" customFormat="false" ht="15" hidden="false" customHeight="false" outlineLevel="0" collapsed="false">
      <c r="A295" s="29" t="n">
        <v>46311</v>
      </c>
      <c r="B295" s="30" t="str">
        <f aca="false">CHOOSE(WEEKDAY(A295),"Sun","Mon","Tue","Wed","Thu","Fri","Sat")</f>
        <v>Fri</v>
      </c>
      <c r="C295" s="30" t="str">
        <f aca="false">IF(IFERROR(INDEX(Holidays!$D$5:$D$60,MATCH(A295,Holidays!$A$5:$A$60,0)),"")="Holiday","Holiday",IF(WEEKDAY(A295)&gt;=6,"Weekend",IF(IFERROR(INDEX(Holidays!$D$5:$D$60,MATCH(A295,Holidays!$A$5:$A$60,0)),"")="Eve","Eve","Workday")))</f>
        <v>Weekend</v>
      </c>
      <c r="D295" s="18" t="str">
        <f aca="false">IFERROR(INDEX(Holidays!$C$5:$C$60,MATCH(A295,Holidays!$A$5:$A$60,0)),"")</f>
        <v/>
      </c>
      <c r="E295" s="31"/>
      <c r="F295" s="32"/>
      <c r="G295" s="32"/>
      <c r="H295" s="32"/>
      <c r="I295" s="32"/>
      <c r="J295" s="31"/>
      <c r="K295" s="33" t="str">
        <f aca="false">IF(E295&lt;&gt;"",E295,IF(U295,"Present",IF(C295="Holiday","Holiday","Weekend")))</f>
        <v>Weekend</v>
      </c>
      <c r="L295" s="34" t="str">
        <f aca="false">IF(OR(K295="Present",K295="Manual Work",K295="Partial Vacation",K295="Partial Sick Leave"),IF(ISNUMBER(F295),F295,IF(AND(K295="Present",U295),Settings!$B$6,"")),"")</f>
        <v/>
      </c>
      <c r="M295" s="34" t="str">
        <f aca="false">IF(OR(K295="Present",K295="Manual Work",K295="Partial Vacation",K295="Partial Sick Leave"),IF(ISNUMBER(G295),G295,IF(AND(K295="Present",U295),V295,"")),"")</f>
        <v/>
      </c>
      <c r="N295" s="14" t="n">
        <f aca="false">IF(AND(ISNUMBER(L295),ISNUMBER(M295)),MAX(0,(M295-L295)*24),0)</f>
        <v>0</v>
      </c>
      <c r="O295" s="14" t="n">
        <f aca="false">IF(NOT(U295),0,IF(K295="Vacation",IF(C295="Eve",Settings!$B$9*Settings!$B$11,W295),IF(K295="Partial Vacation",IF(AND(ISNUMBER(H295),ISNUMBER(I295)),MAX(0,(I295-H295)*24),0),0)))</f>
        <v>0</v>
      </c>
      <c r="P295" s="14" t="n">
        <f aca="false">IF(NOT(U295),0,IF(K295="Sick Leave",W295,IF(K295="Partial Sick Leave",IF(AND(ISNUMBER(H295),ISNUMBER(I295)),MAX(0,(I295-H295)*24),0),0)))</f>
        <v>0</v>
      </c>
      <c r="Q295" s="14" t="n">
        <f aca="false">IF(NOT(U295),0,IF(K295="Vacation",IF(C295="Eve",Settings!$B$11,1),IF(K295="Partial Vacation",O295/Settings!$B$9,0)))</f>
        <v>0</v>
      </c>
      <c r="R295" s="14" t="n">
        <f aca="false">IF(NOT(U295),0,IF(K295="Sick Leave",1,IF(K295="Partial Sick Leave",P295/Settings!$B$9,0)))</f>
        <v>0</v>
      </c>
      <c r="S295" s="35" t="str">
        <f aca="false">IF(AND(OR(E295="Vacation",E295="Sick Leave",E295="Partial Vacation",E295="Partial Sick Leave"),NOT(U295)),"Leave not allowed on this day",IF(AND(E295="Manual Work",OR(NOT(ISNUMBER(F295)),NOT(ISNUMBER(G295)))),"Enter start and end",IF(AND(OR(E295="Partial Vacation",E295="Partial Sick Leave"),OR(NOT(ISNUMBER(H295)),NOT(ISNUMBER(I295)))),"Enter leave from and to",IF(AND(ISNUMBER(F295),ISNUMBER(G295),G295&lt;=F295),"End is before start",IF(AND(ISNUMBER(H295),ISNUMBER(I295),I295&lt;=H295),"Leave end is before start",IF(AND(ISNUMBER(F295),ISNUMBER(G295),ISNUMBER(H295),ISNUMBER(I295),F295&lt;I295,H295&lt;G295),"Work and leave hours overlap",IF(AND(E295&lt;&gt;"",WEEKDAY(A295)=7),"Saturday - administrator only","")))))))</f>
        <v/>
      </c>
      <c r="T295" s="36" t="n">
        <f aca="false">MONTH(A295)</f>
        <v>10</v>
      </c>
      <c r="U295" s="37" t="b">
        <f aca="false">OR(C295="Workday",C295="Eve")</f>
        <v>0</v>
      </c>
      <c r="V295" s="34" t="n">
        <f aca="false">IF(C295="Eve",Settings!$B$8,Settings!$B$7)</f>
        <v>0.6875</v>
      </c>
      <c r="W295" s="14" t="n">
        <f aca="false">IF(U295,(V295-Settings!$B$6)*24,0)</f>
        <v>0</v>
      </c>
    </row>
    <row r="296" customFormat="false" ht="15" hidden="false" customHeight="false" outlineLevel="0" collapsed="false">
      <c r="A296" s="29" t="n">
        <v>46312</v>
      </c>
      <c r="B296" s="30" t="str">
        <f aca="false">CHOOSE(WEEKDAY(A296),"Sun","Mon","Tue","Wed","Thu","Fri","Sat")</f>
        <v>Sat</v>
      </c>
      <c r="C296" s="30" t="str">
        <f aca="false">IF(IFERROR(INDEX(Holidays!$D$5:$D$60,MATCH(A296,Holidays!$A$5:$A$60,0)),"")="Holiday","Holiday",IF(WEEKDAY(A296)&gt;=6,"Weekend",IF(IFERROR(INDEX(Holidays!$D$5:$D$60,MATCH(A296,Holidays!$A$5:$A$60,0)),"")="Eve","Eve","Workday")))</f>
        <v>Weekend</v>
      </c>
      <c r="D296" s="18" t="str">
        <f aca="false">IFERROR(INDEX(Holidays!$C$5:$C$60,MATCH(A296,Holidays!$A$5:$A$60,0)),"")</f>
        <v/>
      </c>
      <c r="E296" s="31"/>
      <c r="F296" s="32"/>
      <c r="G296" s="32"/>
      <c r="H296" s="32"/>
      <c r="I296" s="32"/>
      <c r="J296" s="31"/>
      <c r="K296" s="33" t="str">
        <f aca="false">IF(E296&lt;&gt;"",E296,IF(U296,"Present",IF(C296="Holiday","Holiday","Weekend")))</f>
        <v>Weekend</v>
      </c>
      <c r="L296" s="34" t="str">
        <f aca="false">IF(OR(K296="Present",K296="Manual Work",K296="Partial Vacation",K296="Partial Sick Leave"),IF(ISNUMBER(F296),F296,IF(AND(K296="Present",U296),Settings!$B$6,"")),"")</f>
        <v/>
      </c>
      <c r="M296" s="34" t="str">
        <f aca="false">IF(OR(K296="Present",K296="Manual Work",K296="Partial Vacation",K296="Partial Sick Leave"),IF(ISNUMBER(G296),G296,IF(AND(K296="Present",U296),V296,"")),"")</f>
        <v/>
      </c>
      <c r="N296" s="14" t="n">
        <f aca="false">IF(AND(ISNUMBER(L296),ISNUMBER(M296)),MAX(0,(M296-L296)*24),0)</f>
        <v>0</v>
      </c>
      <c r="O296" s="14" t="n">
        <f aca="false">IF(NOT(U296),0,IF(K296="Vacation",IF(C296="Eve",Settings!$B$9*Settings!$B$11,W296),IF(K296="Partial Vacation",IF(AND(ISNUMBER(H296),ISNUMBER(I296)),MAX(0,(I296-H296)*24),0),0)))</f>
        <v>0</v>
      </c>
      <c r="P296" s="14" t="n">
        <f aca="false">IF(NOT(U296),0,IF(K296="Sick Leave",W296,IF(K296="Partial Sick Leave",IF(AND(ISNUMBER(H296),ISNUMBER(I296)),MAX(0,(I296-H296)*24),0),0)))</f>
        <v>0</v>
      </c>
      <c r="Q296" s="14" t="n">
        <f aca="false">IF(NOT(U296),0,IF(K296="Vacation",IF(C296="Eve",Settings!$B$11,1),IF(K296="Partial Vacation",O296/Settings!$B$9,0)))</f>
        <v>0</v>
      </c>
      <c r="R296" s="14" t="n">
        <f aca="false">IF(NOT(U296),0,IF(K296="Sick Leave",1,IF(K296="Partial Sick Leave",P296/Settings!$B$9,0)))</f>
        <v>0</v>
      </c>
      <c r="S296" s="35" t="str">
        <f aca="false">IF(AND(OR(E296="Vacation",E296="Sick Leave",E296="Partial Vacation",E296="Partial Sick Leave"),NOT(U296)),"Leave not allowed on this day",IF(AND(E296="Manual Work",OR(NOT(ISNUMBER(F296)),NOT(ISNUMBER(G296)))),"Enter start and end",IF(AND(OR(E296="Partial Vacation",E296="Partial Sick Leave"),OR(NOT(ISNUMBER(H296)),NOT(ISNUMBER(I296)))),"Enter leave from and to",IF(AND(ISNUMBER(F296),ISNUMBER(G296),G296&lt;=F296),"End is before start",IF(AND(ISNUMBER(H296),ISNUMBER(I296),I296&lt;=H296),"Leave end is before start",IF(AND(ISNUMBER(F296),ISNUMBER(G296),ISNUMBER(H296),ISNUMBER(I296),F296&lt;I296,H296&lt;G296),"Work and leave hours overlap",IF(AND(E296&lt;&gt;"",WEEKDAY(A296)=7),"Saturday - administrator only","")))))))</f>
        <v/>
      </c>
      <c r="T296" s="36" t="n">
        <f aca="false">MONTH(A296)</f>
        <v>10</v>
      </c>
      <c r="U296" s="37" t="b">
        <f aca="false">OR(C296="Workday",C296="Eve")</f>
        <v>0</v>
      </c>
      <c r="V296" s="34" t="n">
        <f aca="false">IF(C296="Eve",Settings!$B$8,Settings!$B$7)</f>
        <v>0.6875</v>
      </c>
      <c r="W296" s="14" t="n">
        <f aca="false">IF(U296,(V296-Settings!$B$6)*24,0)</f>
        <v>0</v>
      </c>
    </row>
    <row r="297" customFormat="false" ht="15" hidden="false" customHeight="false" outlineLevel="0" collapsed="false">
      <c r="A297" s="29" t="n">
        <v>46313</v>
      </c>
      <c r="B297" s="30" t="str">
        <f aca="false">CHOOSE(WEEKDAY(A297),"Sun","Mon","Tue","Wed","Thu","Fri","Sat")</f>
        <v>Sun</v>
      </c>
      <c r="C297" s="30" t="str">
        <f aca="false">IF(IFERROR(INDEX(Holidays!$D$5:$D$60,MATCH(A297,Holidays!$A$5:$A$60,0)),"")="Holiday","Holiday",IF(WEEKDAY(A297)&gt;=6,"Weekend",IF(IFERROR(INDEX(Holidays!$D$5:$D$60,MATCH(A297,Holidays!$A$5:$A$60,0)),"")="Eve","Eve","Workday")))</f>
        <v>Workday</v>
      </c>
      <c r="D297" s="18" t="str">
        <f aca="false">IFERROR(INDEX(Holidays!$C$5:$C$60,MATCH(A297,Holidays!$A$5:$A$60,0)),"")</f>
        <v/>
      </c>
      <c r="E297" s="31"/>
      <c r="F297" s="32"/>
      <c r="G297" s="32"/>
      <c r="H297" s="32"/>
      <c r="I297" s="32"/>
      <c r="J297" s="31"/>
      <c r="K297" s="33" t="str">
        <f aca="false">IF(E297&lt;&gt;"",E297,IF(U297,"Present",IF(C297="Holiday","Holiday","Weekend")))</f>
        <v>Present</v>
      </c>
      <c r="L297" s="34" t="n">
        <f aca="false">IF(OR(K297="Present",K297="Manual Work",K297="Partial Vacation",K297="Partial Sick Leave"),IF(ISNUMBER(F297),F297,IF(AND(K297="Present",U297),Settings!$B$6,"")),"")</f>
        <v>0.333333333333333</v>
      </c>
      <c r="M297" s="34" t="n">
        <f aca="false">IF(OR(K297="Present",K297="Manual Work",K297="Partial Vacation",K297="Partial Sick Leave"),IF(ISNUMBER(G297),G297,IF(AND(K297="Present",U297),V297,"")),"")</f>
        <v>0.6875</v>
      </c>
      <c r="N297" s="14" t="n">
        <f aca="false">IF(AND(ISNUMBER(L297),ISNUMBER(M297)),MAX(0,(M297-L297)*24),0)</f>
        <v>8.5</v>
      </c>
      <c r="O297" s="14" t="n">
        <f aca="false">IF(NOT(U297),0,IF(K297="Vacation",IF(C297="Eve",Settings!$B$9*Settings!$B$11,W297),IF(K297="Partial Vacation",IF(AND(ISNUMBER(H297),ISNUMBER(I297)),MAX(0,(I297-H297)*24),0),0)))</f>
        <v>0</v>
      </c>
      <c r="P297" s="14" t="n">
        <f aca="false">IF(NOT(U297),0,IF(K297="Sick Leave",W297,IF(K297="Partial Sick Leave",IF(AND(ISNUMBER(H297),ISNUMBER(I297)),MAX(0,(I297-H297)*24),0),0)))</f>
        <v>0</v>
      </c>
      <c r="Q297" s="14" t="n">
        <f aca="false">IF(NOT(U297),0,IF(K297="Vacation",IF(C297="Eve",Settings!$B$11,1),IF(K297="Partial Vacation",O297/Settings!$B$9,0)))</f>
        <v>0</v>
      </c>
      <c r="R297" s="14" t="n">
        <f aca="false">IF(NOT(U297),0,IF(K297="Sick Leave",1,IF(K297="Partial Sick Leave",P297/Settings!$B$9,0)))</f>
        <v>0</v>
      </c>
      <c r="S297" s="35" t="str">
        <f aca="false">IF(AND(OR(E297="Vacation",E297="Sick Leave",E297="Partial Vacation",E297="Partial Sick Leave"),NOT(U297)),"Leave not allowed on this day",IF(AND(E297="Manual Work",OR(NOT(ISNUMBER(F297)),NOT(ISNUMBER(G297)))),"Enter start and end",IF(AND(OR(E297="Partial Vacation",E297="Partial Sick Leave"),OR(NOT(ISNUMBER(H297)),NOT(ISNUMBER(I297)))),"Enter leave from and to",IF(AND(ISNUMBER(F297),ISNUMBER(G297),G297&lt;=F297),"End is before start",IF(AND(ISNUMBER(H297),ISNUMBER(I297),I297&lt;=H297),"Leave end is before start",IF(AND(ISNUMBER(F297),ISNUMBER(G297),ISNUMBER(H297),ISNUMBER(I297),F297&lt;I297,H297&lt;G297),"Work and leave hours overlap",IF(AND(E297&lt;&gt;"",WEEKDAY(A297)=7),"Saturday - administrator only","")))))))</f>
        <v/>
      </c>
      <c r="T297" s="36" t="n">
        <f aca="false">MONTH(A297)</f>
        <v>10</v>
      </c>
      <c r="U297" s="37" t="b">
        <f aca="false">OR(C297="Workday",C297="Eve")</f>
        <v>1</v>
      </c>
      <c r="V297" s="34" t="n">
        <f aca="false">IF(C297="Eve",Settings!$B$8,Settings!$B$7)</f>
        <v>0.6875</v>
      </c>
      <c r="W297" s="14" t="n">
        <f aca="false">IF(U297,(V297-Settings!$B$6)*24,0)</f>
        <v>8.5</v>
      </c>
    </row>
    <row r="298" customFormat="false" ht="15" hidden="false" customHeight="false" outlineLevel="0" collapsed="false">
      <c r="A298" s="29" t="n">
        <v>46314</v>
      </c>
      <c r="B298" s="30" t="str">
        <f aca="false">CHOOSE(WEEKDAY(A298),"Sun","Mon","Tue","Wed","Thu","Fri","Sat")</f>
        <v>Mon</v>
      </c>
      <c r="C298" s="30" t="str">
        <f aca="false">IF(IFERROR(INDEX(Holidays!$D$5:$D$60,MATCH(A298,Holidays!$A$5:$A$60,0)),"")="Holiday","Holiday",IF(WEEKDAY(A298)&gt;=6,"Weekend",IF(IFERROR(INDEX(Holidays!$D$5:$D$60,MATCH(A298,Holidays!$A$5:$A$60,0)),"")="Eve","Eve","Workday")))</f>
        <v>Workday</v>
      </c>
      <c r="D298" s="18" t="str">
        <f aca="false">IFERROR(INDEX(Holidays!$C$5:$C$60,MATCH(A298,Holidays!$A$5:$A$60,0)),"")</f>
        <v/>
      </c>
      <c r="E298" s="31"/>
      <c r="F298" s="32"/>
      <c r="G298" s="32"/>
      <c r="H298" s="32"/>
      <c r="I298" s="32"/>
      <c r="J298" s="31"/>
      <c r="K298" s="33" t="str">
        <f aca="false">IF(E298&lt;&gt;"",E298,IF(U298,"Present",IF(C298="Holiday","Holiday","Weekend")))</f>
        <v>Present</v>
      </c>
      <c r="L298" s="34" t="n">
        <f aca="false">IF(OR(K298="Present",K298="Manual Work",K298="Partial Vacation",K298="Partial Sick Leave"),IF(ISNUMBER(F298),F298,IF(AND(K298="Present",U298),Settings!$B$6,"")),"")</f>
        <v>0.333333333333333</v>
      </c>
      <c r="M298" s="34" t="n">
        <f aca="false">IF(OR(K298="Present",K298="Manual Work",K298="Partial Vacation",K298="Partial Sick Leave"),IF(ISNUMBER(G298),G298,IF(AND(K298="Present",U298),V298,"")),"")</f>
        <v>0.6875</v>
      </c>
      <c r="N298" s="14" t="n">
        <f aca="false">IF(AND(ISNUMBER(L298),ISNUMBER(M298)),MAX(0,(M298-L298)*24),0)</f>
        <v>8.5</v>
      </c>
      <c r="O298" s="14" t="n">
        <f aca="false">IF(NOT(U298),0,IF(K298="Vacation",IF(C298="Eve",Settings!$B$9*Settings!$B$11,W298),IF(K298="Partial Vacation",IF(AND(ISNUMBER(H298),ISNUMBER(I298)),MAX(0,(I298-H298)*24),0),0)))</f>
        <v>0</v>
      </c>
      <c r="P298" s="14" t="n">
        <f aca="false">IF(NOT(U298),0,IF(K298="Sick Leave",W298,IF(K298="Partial Sick Leave",IF(AND(ISNUMBER(H298),ISNUMBER(I298)),MAX(0,(I298-H298)*24),0),0)))</f>
        <v>0</v>
      </c>
      <c r="Q298" s="14" t="n">
        <f aca="false">IF(NOT(U298),0,IF(K298="Vacation",IF(C298="Eve",Settings!$B$11,1),IF(K298="Partial Vacation",O298/Settings!$B$9,0)))</f>
        <v>0</v>
      </c>
      <c r="R298" s="14" t="n">
        <f aca="false">IF(NOT(U298),0,IF(K298="Sick Leave",1,IF(K298="Partial Sick Leave",P298/Settings!$B$9,0)))</f>
        <v>0</v>
      </c>
      <c r="S298" s="35" t="str">
        <f aca="false">IF(AND(OR(E298="Vacation",E298="Sick Leave",E298="Partial Vacation",E298="Partial Sick Leave"),NOT(U298)),"Leave not allowed on this day",IF(AND(E298="Manual Work",OR(NOT(ISNUMBER(F298)),NOT(ISNUMBER(G298)))),"Enter start and end",IF(AND(OR(E298="Partial Vacation",E298="Partial Sick Leave"),OR(NOT(ISNUMBER(H298)),NOT(ISNUMBER(I298)))),"Enter leave from and to",IF(AND(ISNUMBER(F298),ISNUMBER(G298),G298&lt;=F298),"End is before start",IF(AND(ISNUMBER(H298),ISNUMBER(I298),I298&lt;=H298),"Leave end is before start",IF(AND(ISNUMBER(F298),ISNUMBER(G298),ISNUMBER(H298),ISNUMBER(I298),F298&lt;I298,H298&lt;G298),"Work and leave hours overlap",IF(AND(E298&lt;&gt;"",WEEKDAY(A298)=7),"Saturday - administrator only","")))))))</f>
        <v/>
      </c>
      <c r="T298" s="36" t="n">
        <f aca="false">MONTH(A298)</f>
        <v>10</v>
      </c>
      <c r="U298" s="37" t="b">
        <f aca="false">OR(C298="Workday",C298="Eve")</f>
        <v>1</v>
      </c>
      <c r="V298" s="34" t="n">
        <f aca="false">IF(C298="Eve",Settings!$B$8,Settings!$B$7)</f>
        <v>0.6875</v>
      </c>
      <c r="W298" s="14" t="n">
        <f aca="false">IF(U298,(V298-Settings!$B$6)*24,0)</f>
        <v>8.5</v>
      </c>
    </row>
    <row r="299" customFormat="false" ht="15" hidden="false" customHeight="false" outlineLevel="0" collapsed="false">
      <c r="A299" s="29" t="n">
        <v>46315</v>
      </c>
      <c r="B299" s="30" t="str">
        <f aca="false">CHOOSE(WEEKDAY(A299),"Sun","Mon","Tue","Wed","Thu","Fri","Sat")</f>
        <v>Tue</v>
      </c>
      <c r="C299" s="30" t="str">
        <f aca="false">IF(IFERROR(INDEX(Holidays!$D$5:$D$60,MATCH(A299,Holidays!$A$5:$A$60,0)),"")="Holiday","Holiday",IF(WEEKDAY(A299)&gt;=6,"Weekend",IF(IFERROR(INDEX(Holidays!$D$5:$D$60,MATCH(A299,Holidays!$A$5:$A$60,0)),"")="Eve","Eve","Workday")))</f>
        <v>Workday</v>
      </c>
      <c r="D299" s="18" t="str">
        <f aca="false">IFERROR(INDEX(Holidays!$C$5:$C$60,MATCH(A299,Holidays!$A$5:$A$60,0)),"")</f>
        <v/>
      </c>
      <c r="E299" s="31"/>
      <c r="F299" s="32"/>
      <c r="G299" s="32"/>
      <c r="H299" s="32"/>
      <c r="I299" s="32"/>
      <c r="J299" s="31"/>
      <c r="K299" s="33" t="str">
        <f aca="false">IF(E299&lt;&gt;"",E299,IF(U299,"Present",IF(C299="Holiday","Holiday","Weekend")))</f>
        <v>Present</v>
      </c>
      <c r="L299" s="34" t="n">
        <f aca="false">IF(OR(K299="Present",K299="Manual Work",K299="Partial Vacation",K299="Partial Sick Leave"),IF(ISNUMBER(F299),F299,IF(AND(K299="Present",U299),Settings!$B$6,"")),"")</f>
        <v>0.333333333333333</v>
      </c>
      <c r="M299" s="34" t="n">
        <f aca="false">IF(OR(K299="Present",K299="Manual Work",K299="Partial Vacation",K299="Partial Sick Leave"),IF(ISNUMBER(G299),G299,IF(AND(K299="Present",U299),V299,"")),"")</f>
        <v>0.6875</v>
      </c>
      <c r="N299" s="14" t="n">
        <f aca="false">IF(AND(ISNUMBER(L299),ISNUMBER(M299)),MAX(0,(M299-L299)*24),0)</f>
        <v>8.5</v>
      </c>
      <c r="O299" s="14" t="n">
        <f aca="false">IF(NOT(U299),0,IF(K299="Vacation",IF(C299="Eve",Settings!$B$9*Settings!$B$11,W299),IF(K299="Partial Vacation",IF(AND(ISNUMBER(H299),ISNUMBER(I299)),MAX(0,(I299-H299)*24),0),0)))</f>
        <v>0</v>
      </c>
      <c r="P299" s="14" t="n">
        <f aca="false">IF(NOT(U299),0,IF(K299="Sick Leave",W299,IF(K299="Partial Sick Leave",IF(AND(ISNUMBER(H299),ISNUMBER(I299)),MAX(0,(I299-H299)*24),0),0)))</f>
        <v>0</v>
      </c>
      <c r="Q299" s="14" t="n">
        <f aca="false">IF(NOT(U299),0,IF(K299="Vacation",IF(C299="Eve",Settings!$B$11,1),IF(K299="Partial Vacation",O299/Settings!$B$9,0)))</f>
        <v>0</v>
      </c>
      <c r="R299" s="14" t="n">
        <f aca="false">IF(NOT(U299),0,IF(K299="Sick Leave",1,IF(K299="Partial Sick Leave",P299/Settings!$B$9,0)))</f>
        <v>0</v>
      </c>
      <c r="S299" s="35" t="str">
        <f aca="false">IF(AND(OR(E299="Vacation",E299="Sick Leave",E299="Partial Vacation",E299="Partial Sick Leave"),NOT(U299)),"Leave not allowed on this day",IF(AND(E299="Manual Work",OR(NOT(ISNUMBER(F299)),NOT(ISNUMBER(G299)))),"Enter start and end",IF(AND(OR(E299="Partial Vacation",E299="Partial Sick Leave"),OR(NOT(ISNUMBER(H299)),NOT(ISNUMBER(I299)))),"Enter leave from and to",IF(AND(ISNUMBER(F299),ISNUMBER(G299),G299&lt;=F299),"End is before start",IF(AND(ISNUMBER(H299),ISNUMBER(I299),I299&lt;=H299),"Leave end is before start",IF(AND(ISNUMBER(F299),ISNUMBER(G299),ISNUMBER(H299),ISNUMBER(I299),F299&lt;I299,H299&lt;G299),"Work and leave hours overlap",IF(AND(E299&lt;&gt;"",WEEKDAY(A299)=7),"Saturday - administrator only","")))))))</f>
        <v/>
      </c>
      <c r="T299" s="36" t="n">
        <f aca="false">MONTH(A299)</f>
        <v>10</v>
      </c>
      <c r="U299" s="37" t="b">
        <f aca="false">OR(C299="Workday",C299="Eve")</f>
        <v>1</v>
      </c>
      <c r="V299" s="34" t="n">
        <f aca="false">IF(C299="Eve",Settings!$B$8,Settings!$B$7)</f>
        <v>0.6875</v>
      </c>
      <c r="W299" s="14" t="n">
        <f aca="false">IF(U299,(V299-Settings!$B$6)*24,0)</f>
        <v>8.5</v>
      </c>
    </row>
    <row r="300" customFormat="false" ht="15" hidden="false" customHeight="false" outlineLevel="0" collapsed="false">
      <c r="A300" s="29" t="n">
        <v>46316</v>
      </c>
      <c r="B300" s="30" t="str">
        <f aca="false">CHOOSE(WEEKDAY(A300),"Sun","Mon","Tue","Wed","Thu","Fri","Sat")</f>
        <v>Wed</v>
      </c>
      <c r="C300" s="30" t="str">
        <f aca="false">IF(IFERROR(INDEX(Holidays!$D$5:$D$60,MATCH(A300,Holidays!$A$5:$A$60,0)),"")="Holiday","Holiday",IF(WEEKDAY(A300)&gt;=6,"Weekend",IF(IFERROR(INDEX(Holidays!$D$5:$D$60,MATCH(A300,Holidays!$A$5:$A$60,0)),"")="Eve","Eve","Workday")))</f>
        <v>Workday</v>
      </c>
      <c r="D300" s="18" t="str">
        <f aca="false">IFERROR(INDEX(Holidays!$C$5:$C$60,MATCH(A300,Holidays!$A$5:$A$60,0)),"")</f>
        <v/>
      </c>
      <c r="E300" s="31"/>
      <c r="F300" s="32"/>
      <c r="G300" s="32"/>
      <c r="H300" s="32"/>
      <c r="I300" s="32"/>
      <c r="J300" s="31"/>
      <c r="K300" s="33" t="str">
        <f aca="false">IF(E300&lt;&gt;"",E300,IF(U300,"Present",IF(C300="Holiday","Holiday","Weekend")))</f>
        <v>Present</v>
      </c>
      <c r="L300" s="34" t="n">
        <f aca="false">IF(OR(K300="Present",K300="Manual Work",K300="Partial Vacation",K300="Partial Sick Leave"),IF(ISNUMBER(F300),F300,IF(AND(K300="Present",U300),Settings!$B$6,"")),"")</f>
        <v>0.333333333333333</v>
      </c>
      <c r="M300" s="34" t="n">
        <f aca="false">IF(OR(K300="Present",K300="Manual Work",K300="Partial Vacation",K300="Partial Sick Leave"),IF(ISNUMBER(G300),G300,IF(AND(K300="Present",U300),V300,"")),"")</f>
        <v>0.6875</v>
      </c>
      <c r="N300" s="14" t="n">
        <f aca="false">IF(AND(ISNUMBER(L300),ISNUMBER(M300)),MAX(0,(M300-L300)*24),0)</f>
        <v>8.5</v>
      </c>
      <c r="O300" s="14" t="n">
        <f aca="false">IF(NOT(U300),0,IF(K300="Vacation",IF(C300="Eve",Settings!$B$9*Settings!$B$11,W300),IF(K300="Partial Vacation",IF(AND(ISNUMBER(H300),ISNUMBER(I300)),MAX(0,(I300-H300)*24),0),0)))</f>
        <v>0</v>
      </c>
      <c r="P300" s="14" t="n">
        <f aca="false">IF(NOT(U300),0,IF(K300="Sick Leave",W300,IF(K300="Partial Sick Leave",IF(AND(ISNUMBER(H300),ISNUMBER(I300)),MAX(0,(I300-H300)*24),0),0)))</f>
        <v>0</v>
      </c>
      <c r="Q300" s="14" t="n">
        <f aca="false">IF(NOT(U300),0,IF(K300="Vacation",IF(C300="Eve",Settings!$B$11,1),IF(K300="Partial Vacation",O300/Settings!$B$9,0)))</f>
        <v>0</v>
      </c>
      <c r="R300" s="14" t="n">
        <f aca="false">IF(NOT(U300),0,IF(K300="Sick Leave",1,IF(K300="Partial Sick Leave",P300/Settings!$B$9,0)))</f>
        <v>0</v>
      </c>
      <c r="S300" s="35" t="str">
        <f aca="false">IF(AND(OR(E300="Vacation",E300="Sick Leave",E300="Partial Vacation",E300="Partial Sick Leave"),NOT(U300)),"Leave not allowed on this day",IF(AND(E300="Manual Work",OR(NOT(ISNUMBER(F300)),NOT(ISNUMBER(G300)))),"Enter start and end",IF(AND(OR(E300="Partial Vacation",E300="Partial Sick Leave"),OR(NOT(ISNUMBER(H300)),NOT(ISNUMBER(I300)))),"Enter leave from and to",IF(AND(ISNUMBER(F300),ISNUMBER(G300),G300&lt;=F300),"End is before start",IF(AND(ISNUMBER(H300),ISNUMBER(I300),I300&lt;=H300),"Leave end is before start",IF(AND(ISNUMBER(F300),ISNUMBER(G300),ISNUMBER(H300),ISNUMBER(I300),F300&lt;I300,H300&lt;G300),"Work and leave hours overlap",IF(AND(E300&lt;&gt;"",WEEKDAY(A300)=7),"Saturday - administrator only","")))))))</f>
        <v/>
      </c>
      <c r="T300" s="36" t="n">
        <f aca="false">MONTH(A300)</f>
        <v>10</v>
      </c>
      <c r="U300" s="37" t="b">
        <f aca="false">OR(C300="Workday",C300="Eve")</f>
        <v>1</v>
      </c>
      <c r="V300" s="34" t="n">
        <f aca="false">IF(C300="Eve",Settings!$B$8,Settings!$B$7)</f>
        <v>0.6875</v>
      </c>
      <c r="W300" s="14" t="n">
        <f aca="false">IF(U300,(V300-Settings!$B$6)*24,0)</f>
        <v>8.5</v>
      </c>
    </row>
    <row r="301" customFormat="false" ht="15" hidden="false" customHeight="false" outlineLevel="0" collapsed="false">
      <c r="A301" s="29" t="n">
        <v>46317</v>
      </c>
      <c r="B301" s="30" t="str">
        <f aca="false">CHOOSE(WEEKDAY(A301),"Sun","Mon","Tue","Wed","Thu","Fri","Sat")</f>
        <v>Thu</v>
      </c>
      <c r="C301" s="30" t="str">
        <f aca="false">IF(IFERROR(INDEX(Holidays!$D$5:$D$60,MATCH(A301,Holidays!$A$5:$A$60,0)),"")="Holiday","Holiday",IF(WEEKDAY(A301)&gt;=6,"Weekend",IF(IFERROR(INDEX(Holidays!$D$5:$D$60,MATCH(A301,Holidays!$A$5:$A$60,0)),"")="Eve","Eve","Workday")))</f>
        <v>Workday</v>
      </c>
      <c r="D301" s="18" t="str">
        <f aca="false">IFERROR(INDEX(Holidays!$C$5:$C$60,MATCH(A301,Holidays!$A$5:$A$60,0)),"")</f>
        <v/>
      </c>
      <c r="E301" s="31"/>
      <c r="F301" s="32"/>
      <c r="G301" s="32"/>
      <c r="H301" s="32"/>
      <c r="I301" s="32"/>
      <c r="J301" s="31"/>
      <c r="K301" s="33" t="str">
        <f aca="false">IF(E301&lt;&gt;"",E301,IF(U301,"Present",IF(C301="Holiday","Holiday","Weekend")))</f>
        <v>Present</v>
      </c>
      <c r="L301" s="34" t="n">
        <f aca="false">IF(OR(K301="Present",K301="Manual Work",K301="Partial Vacation",K301="Partial Sick Leave"),IF(ISNUMBER(F301),F301,IF(AND(K301="Present",U301),Settings!$B$6,"")),"")</f>
        <v>0.333333333333333</v>
      </c>
      <c r="M301" s="34" t="n">
        <f aca="false">IF(OR(K301="Present",K301="Manual Work",K301="Partial Vacation",K301="Partial Sick Leave"),IF(ISNUMBER(G301),G301,IF(AND(K301="Present",U301),V301,"")),"")</f>
        <v>0.6875</v>
      </c>
      <c r="N301" s="14" t="n">
        <f aca="false">IF(AND(ISNUMBER(L301),ISNUMBER(M301)),MAX(0,(M301-L301)*24),0)</f>
        <v>8.5</v>
      </c>
      <c r="O301" s="14" t="n">
        <f aca="false">IF(NOT(U301),0,IF(K301="Vacation",IF(C301="Eve",Settings!$B$9*Settings!$B$11,W301),IF(K301="Partial Vacation",IF(AND(ISNUMBER(H301),ISNUMBER(I301)),MAX(0,(I301-H301)*24),0),0)))</f>
        <v>0</v>
      </c>
      <c r="P301" s="14" t="n">
        <f aca="false">IF(NOT(U301),0,IF(K301="Sick Leave",W301,IF(K301="Partial Sick Leave",IF(AND(ISNUMBER(H301),ISNUMBER(I301)),MAX(0,(I301-H301)*24),0),0)))</f>
        <v>0</v>
      </c>
      <c r="Q301" s="14" t="n">
        <f aca="false">IF(NOT(U301),0,IF(K301="Vacation",IF(C301="Eve",Settings!$B$11,1),IF(K301="Partial Vacation",O301/Settings!$B$9,0)))</f>
        <v>0</v>
      </c>
      <c r="R301" s="14" t="n">
        <f aca="false">IF(NOT(U301),0,IF(K301="Sick Leave",1,IF(K301="Partial Sick Leave",P301/Settings!$B$9,0)))</f>
        <v>0</v>
      </c>
      <c r="S301" s="35" t="str">
        <f aca="false">IF(AND(OR(E301="Vacation",E301="Sick Leave",E301="Partial Vacation",E301="Partial Sick Leave"),NOT(U301)),"Leave not allowed on this day",IF(AND(E301="Manual Work",OR(NOT(ISNUMBER(F301)),NOT(ISNUMBER(G301)))),"Enter start and end",IF(AND(OR(E301="Partial Vacation",E301="Partial Sick Leave"),OR(NOT(ISNUMBER(H301)),NOT(ISNUMBER(I301)))),"Enter leave from and to",IF(AND(ISNUMBER(F301),ISNUMBER(G301),G301&lt;=F301),"End is before start",IF(AND(ISNUMBER(H301),ISNUMBER(I301),I301&lt;=H301),"Leave end is before start",IF(AND(ISNUMBER(F301),ISNUMBER(G301),ISNUMBER(H301),ISNUMBER(I301),F301&lt;I301,H301&lt;G301),"Work and leave hours overlap",IF(AND(E301&lt;&gt;"",WEEKDAY(A301)=7),"Saturday - administrator only","")))))))</f>
        <v/>
      </c>
      <c r="T301" s="36" t="n">
        <f aca="false">MONTH(A301)</f>
        <v>10</v>
      </c>
      <c r="U301" s="37" t="b">
        <f aca="false">OR(C301="Workday",C301="Eve")</f>
        <v>1</v>
      </c>
      <c r="V301" s="34" t="n">
        <f aca="false">IF(C301="Eve",Settings!$B$8,Settings!$B$7)</f>
        <v>0.6875</v>
      </c>
      <c r="W301" s="14" t="n">
        <f aca="false">IF(U301,(V301-Settings!$B$6)*24,0)</f>
        <v>8.5</v>
      </c>
    </row>
    <row r="302" customFormat="false" ht="15" hidden="false" customHeight="false" outlineLevel="0" collapsed="false">
      <c r="A302" s="29" t="n">
        <v>46318</v>
      </c>
      <c r="B302" s="30" t="str">
        <f aca="false">CHOOSE(WEEKDAY(A302),"Sun","Mon","Tue","Wed","Thu","Fri","Sat")</f>
        <v>Fri</v>
      </c>
      <c r="C302" s="30" t="str">
        <f aca="false">IF(IFERROR(INDEX(Holidays!$D$5:$D$60,MATCH(A302,Holidays!$A$5:$A$60,0)),"")="Holiday","Holiday",IF(WEEKDAY(A302)&gt;=6,"Weekend",IF(IFERROR(INDEX(Holidays!$D$5:$D$60,MATCH(A302,Holidays!$A$5:$A$60,0)),"")="Eve","Eve","Workday")))</f>
        <v>Weekend</v>
      </c>
      <c r="D302" s="18" t="str">
        <f aca="false">IFERROR(INDEX(Holidays!$C$5:$C$60,MATCH(A302,Holidays!$A$5:$A$60,0)),"")</f>
        <v/>
      </c>
      <c r="E302" s="31"/>
      <c r="F302" s="32"/>
      <c r="G302" s="32"/>
      <c r="H302" s="32"/>
      <c r="I302" s="32"/>
      <c r="J302" s="31"/>
      <c r="K302" s="33" t="str">
        <f aca="false">IF(E302&lt;&gt;"",E302,IF(U302,"Present",IF(C302="Holiday","Holiday","Weekend")))</f>
        <v>Weekend</v>
      </c>
      <c r="L302" s="34" t="str">
        <f aca="false">IF(OR(K302="Present",K302="Manual Work",K302="Partial Vacation",K302="Partial Sick Leave"),IF(ISNUMBER(F302),F302,IF(AND(K302="Present",U302),Settings!$B$6,"")),"")</f>
        <v/>
      </c>
      <c r="M302" s="34" t="str">
        <f aca="false">IF(OR(K302="Present",K302="Manual Work",K302="Partial Vacation",K302="Partial Sick Leave"),IF(ISNUMBER(G302),G302,IF(AND(K302="Present",U302),V302,"")),"")</f>
        <v/>
      </c>
      <c r="N302" s="14" t="n">
        <f aca="false">IF(AND(ISNUMBER(L302),ISNUMBER(M302)),MAX(0,(M302-L302)*24),0)</f>
        <v>0</v>
      </c>
      <c r="O302" s="14" t="n">
        <f aca="false">IF(NOT(U302),0,IF(K302="Vacation",IF(C302="Eve",Settings!$B$9*Settings!$B$11,W302),IF(K302="Partial Vacation",IF(AND(ISNUMBER(H302),ISNUMBER(I302)),MAX(0,(I302-H302)*24),0),0)))</f>
        <v>0</v>
      </c>
      <c r="P302" s="14" t="n">
        <f aca="false">IF(NOT(U302),0,IF(K302="Sick Leave",W302,IF(K302="Partial Sick Leave",IF(AND(ISNUMBER(H302),ISNUMBER(I302)),MAX(0,(I302-H302)*24),0),0)))</f>
        <v>0</v>
      </c>
      <c r="Q302" s="14" t="n">
        <f aca="false">IF(NOT(U302),0,IF(K302="Vacation",IF(C302="Eve",Settings!$B$11,1),IF(K302="Partial Vacation",O302/Settings!$B$9,0)))</f>
        <v>0</v>
      </c>
      <c r="R302" s="14" t="n">
        <f aca="false">IF(NOT(U302),0,IF(K302="Sick Leave",1,IF(K302="Partial Sick Leave",P302/Settings!$B$9,0)))</f>
        <v>0</v>
      </c>
      <c r="S302" s="35" t="str">
        <f aca="false">IF(AND(OR(E302="Vacation",E302="Sick Leave",E302="Partial Vacation",E302="Partial Sick Leave"),NOT(U302)),"Leave not allowed on this day",IF(AND(E302="Manual Work",OR(NOT(ISNUMBER(F302)),NOT(ISNUMBER(G302)))),"Enter start and end",IF(AND(OR(E302="Partial Vacation",E302="Partial Sick Leave"),OR(NOT(ISNUMBER(H302)),NOT(ISNUMBER(I302)))),"Enter leave from and to",IF(AND(ISNUMBER(F302),ISNUMBER(G302),G302&lt;=F302),"End is before start",IF(AND(ISNUMBER(H302),ISNUMBER(I302),I302&lt;=H302),"Leave end is before start",IF(AND(ISNUMBER(F302),ISNUMBER(G302),ISNUMBER(H302),ISNUMBER(I302),F302&lt;I302,H302&lt;G302),"Work and leave hours overlap",IF(AND(E302&lt;&gt;"",WEEKDAY(A302)=7),"Saturday - administrator only","")))))))</f>
        <v/>
      </c>
      <c r="T302" s="36" t="n">
        <f aca="false">MONTH(A302)</f>
        <v>10</v>
      </c>
      <c r="U302" s="37" t="b">
        <f aca="false">OR(C302="Workday",C302="Eve")</f>
        <v>0</v>
      </c>
      <c r="V302" s="34" t="n">
        <f aca="false">IF(C302="Eve",Settings!$B$8,Settings!$B$7)</f>
        <v>0.6875</v>
      </c>
      <c r="W302" s="14" t="n">
        <f aca="false">IF(U302,(V302-Settings!$B$6)*24,0)</f>
        <v>0</v>
      </c>
    </row>
    <row r="303" customFormat="false" ht="15" hidden="false" customHeight="false" outlineLevel="0" collapsed="false">
      <c r="A303" s="29" t="n">
        <v>46319</v>
      </c>
      <c r="B303" s="30" t="str">
        <f aca="false">CHOOSE(WEEKDAY(A303),"Sun","Mon","Tue","Wed","Thu","Fri","Sat")</f>
        <v>Sat</v>
      </c>
      <c r="C303" s="30" t="str">
        <f aca="false">IF(IFERROR(INDEX(Holidays!$D$5:$D$60,MATCH(A303,Holidays!$A$5:$A$60,0)),"")="Holiday","Holiday",IF(WEEKDAY(A303)&gt;=6,"Weekend",IF(IFERROR(INDEX(Holidays!$D$5:$D$60,MATCH(A303,Holidays!$A$5:$A$60,0)),"")="Eve","Eve","Workday")))</f>
        <v>Weekend</v>
      </c>
      <c r="D303" s="18" t="str">
        <f aca="false">IFERROR(INDEX(Holidays!$C$5:$C$60,MATCH(A303,Holidays!$A$5:$A$60,0)),"")</f>
        <v/>
      </c>
      <c r="E303" s="31"/>
      <c r="F303" s="32"/>
      <c r="G303" s="32"/>
      <c r="H303" s="32"/>
      <c r="I303" s="32"/>
      <c r="J303" s="31"/>
      <c r="K303" s="33" t="str">
        <f aca="false">IF(E303&lt;&gt;"",E303,IF(U303,"Present",IF(C303="Holiday","Holiday","Weekend")))</f>
        <v>Weekend</v>
      </c>
      <c r="L303" s="34" t="str">
        <f aca="false">IF(OR(K303="Present",K303="Manual Work",K303="Partial Vacation",K303="Partial Sick Leave"),IF(ISNUMBER(F303),F303,IF(AND(K303="Present",U303),Settings!$B$6,"")),"")</f>
        <v/>
      </c>
      <c r="M303" s="34" t="str">
        <f aca="false">IF(OR(K303="Present",K303="Manual Work",K303="Partial Vacation",K303="Partial Sick Leave"),IF(ISNUMBER(G303),G303,IF(AND(K303="Present",U303),V303,"")),"")</f>
        <v/>
      </c>
      <c r="N303" s="14" t="n">
        <f aca="false">IF(AND(ISNUMBER(L303),ISNUMBER(M303)),MAX(0,(M303-L303)*24),0)</f>
        <v>0</v>
      </c>
      <c r="O303" s="14" t="n">
        <f aca="false">IF(NOT(U303),0,IF(K303="Vacation",IF(C303="Eve",Settings!$B$9*Settings!$B$11,W303),IF(K303="Partial Vacation",IF(AND(ISNUMBER(H303),ISNUMBER(I303)),MAX(0,(I303-H303)*24),0),0)))</f>
        <v>0</v>
      </c>
      <c r="P303" s="14" t="n">
        <f aca="false">IF(NOT(U303),0,IF(K303="Sick Leave",W303,IF(K303="Partial Sick Leave",IF(AND(ISNUMBER(H303),ISNUMBER(I303)),MAX(0,(I303-H303)*24),0),0)))</f>
        <v>0</v>
      </c>
      <c r="Q303" s="14" t="n">
        <f aca="false">IF(NOT(U303),0,IF(K303="Vacation",IF(C303="Eve",Settings!$B$11,1),IF(K303="Partial Vacation",O303/Settings!$B$9,0)))</f>
        <v>0</v>
      </c>
      <c r="R303" s="14" t="n">
        <f aca="false">IF(NOT(U303),0,IF(K303="Sick Leave",1,IF(K303="Partial Sick Leave",P303/Settings!$B$9,0)))</f>
        <v>0</v>
      </c>
      <c r="S303" s="35" t="str">
        <f aca="false">IF(AND(OR(E303="Vacation",E303="Sick Leave",E303="Partial Vacation",E303="Partial Sick Leave"),NOT(U303)),"Leave not allowed on this day",IF(AND(E303="Manual Work",OR(NOT(ISNUMBER(F303)),NOT(ISNUMBER(G303)))),"Enter start and end",IF(AND(OR(E303="Partial Vacation",E303="Partial Sick Leave"),OR(NOT(ISNUMBER(H303)),NOT(ISNUMBER(I303)))),"Enter leave from and to",IF(AND(ISNUMBER(F303),ISNUMBER(G303),G303&lt;=F303),"End is before start",IF(AND(ISNUMBER(H303),ISNUMBER(I303),I303&lt;=H303),"Leave end is before start",IF(AND(ISNUMBER(F303),ISNUMBER(G303),ISNUMBER(H303),ISNUMBER(I303),F303&lt;I303,H303&lt;G303),"Work and leave hours overlap",IF(AND(E303&lt;&gt;"",WEEKDAY(A303)=7),"Saturday - administrator only","")))))))</f>
        <v/>
      </c>
      <c r="T303" s="36" t="n">
        <f aca="false">MONTH(A303)</f>
        <v>10</v>
      </c>
      <c r="U303" s="37" t="b">
        <f aca="false">OR(C303="Workday",C303="Eve")</f>
        <v>0</v>
      </c>
      <c r="V303" s="34" t="n">
        <f aca="false">IF(C303="Eve",Settings!$B$8,Settings!$B$7)</f>
        <v>0.6875</v>
      </c>
      <c r="W303" s="14" t="n">
        <f aca="false">IF(U303,(V303-Settings!$B$6)*24,0)</f>
        <v>0</v>
      </c>
    </row>
    <row r="304" customFormat="false" ht="15" hidden="false" customHeight="false" outlineLevel="0" collapsed="false">
      <c r="A304" s="29" t="n">
        <v>46320</v>
      </c>
      <c r="B304" s="30" t="str">
        <f aca="false">CHOOSE(WEEKDAY(A304),"Sun","Mon","Tue","Wed","Thu","Fri","Sat")</f>
        <v>Sun</v>
      </c>
      <c r="C304" s="30" t="str">
        <f aca="false">IF(IFERROR(INDEX(Holidays!$D$5:$D$60,MATCH(A304,Holidays!$A$5:$A$60,0)),"")="Holiday","Holiday",IF(WEEKDAY(A304)&gt;=6,"Weekend",IF(IFERROR(INDEX(Holidays!$D$5:$D$60,MATCH(A304,Holidays!$A$5:$A$60,0)),"")="Eve","Eve","Workday")))</f>
        <v>Workday</v>
      </c>
      <c r="D304" s="18" t="str">
        <f aca="false">IFERROR(INDEX(Holidays!$C$5:$C$60,MATCH(A304,Holidays!$A$5:$A$60,0)),"")</f>
        <v/>
      </c>
      <c r="E304" s="31"/>
      <c r="F304" s="32"/>
      <c r="G304" s="32"/>
      <c r="H304" s="32"/>
      <c r="I304" s="32"/>
      <c r="J304" s="31"/>
      <c r="K304" s="33" t="str">
        <f aca="false">IF(E304&lt;&gt;"",E304,IF(U304,"Present",IF(C304="Holiday","Holiday","Weekend")))</f>
        <v>Present</v>
      </c>
      <c r="L304" s="34" t="n">
        <f aca="false">IF(OR(K304="Present",K304="Manual Work",K304="Partial Vacation",K304="Partial Sick Leave"),IF(ISNUMBER(F304),F304,IF(AND(K304="Present",U304),Settings!$B$6,"")),"")</f>
        <v>0.333333333333333</v>
      </c>
      <c r="M304" s="34" t="n">
        <f aca="false">IF(OR(K304="Present",K304="Manual Work",K304="Partial Vacation",K304="Partial Sick Leave"),IF(ISNUMBER(G304),G304,IF(AND(K304="Present",U304),V304,"")),"")</f>
        <v>0.6875</v>
      </c>
      <c r="N304" s="14" t="n">
        <f aca="false">IF(AND(ISNUMBER(L304),ISNUMBER(M304)),MAX(0,(M304-L304)*24),0)</f>
        <v>8.5</v>
      </c>
      <c r="O304" s="14" t="n">
        <f aca="false">IF(NOT(U304),0,IF(K304="Vacation",IF(C304="Eve",Settings!$B$9*Settings!$B$11,W304),IF(K304="Partial Vacation",IF(AND(ISNUMBER(H304),ISNUMBER(I304)),MAX(0,(I304-H304)*24),0),0)))</f>
        <v>0</v>
      </c>
      <c r="P304" s="14" t="n">
        <f aca="false">IF(NOT(U304),0,IF(K304="Sick Leave",W304,IF(K304="Partial Sick Leave",IF(AND(ISNUMBER(H304),ISNUMBER(I304)),MAX(0,(I304-H304)*24),0),0)))</f>
        <v>0</v>
      </c>
      <c r="Q304" s="14" t="n">
        <f aca="false">IF(NOT(U304),0,IF(K304="Vacation",IF(C304="Eve",Settings!$B$11,1),IF(K304="Partial Vacation",O304/Settings!$B$9,0)))</f>
        <v>0</v>
      </c>
      <c r="R304" s="14" t="n">
        <f aca="false">IF(NOT(U304),0,IF(K304="Sick Leave",1,IF(K304="Partial Sick Leave",P304/Settings!$B$9,0)))</f>
        <v>0</v>
      </c>
      <c r="S304" s="35" t="str">
        <f aca="false">IF(AND(OR(E304="Vacation",E304="Sick Leave",E304="Partial Vacation",E304="Partial Sick Leave"),NOT(U304)),"Leave not allowed on this day",IF(AND(E304="Manual Work",OR(NOT(ISNUMBER(F304)),NOT(ISNUMBER(G304)))),"Enter start and end",IF(AND(OR(E304="Partial Vacation",E304="Partial Sick Leave"),OR(NOT(ISNUMBER(H304)),NOT(ISNUMBER(I304)))),"Enter leave from and to",IF(AND(ISNUMBER(F304),ISNUMBER(G304),G304&lt;=F304),"End is before start",IF(AND(ISNUMBER(H304),ISNUMBER(I304),I304&lt;=H304),"Leave end is before start",IF(AND(ISNUMBER(F304),ISNUMBER(G304),ISNUMBER(H304),ISNUMBER(I304),F304&lt;I304,H304&lt;G304),"Work and leave hours overlap",IF(AND(E304&lt;&gt;"",WEEKDAY(A304)=7),"Saturday - administrator only","")))))))</f>
        <v/>
      </c>
      <c r="T304" s="36" t="n">
        <f aca="false">MONTH(A304)</f>
        <v>10</v>
      </c>
      <c r="U304" s="37" t="b">
        <f aca="false">OR(C304="Workday",C304="Eve")</f>
        <v>1</v>
      </c>
      <c r="V304" s="34" t="n">
        <f aca="false">IF(C304="Eve",Settings!$B$8,Settings!$B$7)</f>
        <v>0.6875</v>
      </c>
      <c r="W304" s="14" t="n">
        <f aca="false">IF(U304,(V304-Settings!$B$6)*24,0)</f>
        <v>8.5</v>
      </c>
    </row>
    <row r="305" customFormat="false" ht="15" hidden="false" customHeight="false" outlineLevel="0" collapsed="false">
      <c r="A305" s="29" t="n">
        <v>46321</v>
      </c>
      <c r="B305" s="30" t="str">
        <f aca="false">CHOOSE(WEEKDAY(A305),"Sun","Mon","Tue","Wed","Thu","Fri","Sat")</f>
        <v>Mon</v>
      </c>
      <c r="C305" s="30" t="str">
        <f aca="false">IF(IFERROR(INDEX(Holidays!$D$5:$D$60,MATCH(A305,Holidays!$A$5:$A$60,0)),"")="Holiday","Holiday",IF(WEEKDAY(A305)&gt;=6,"Weekend",IF(IFERROR(INDEX(Holidays!$D$5:$D$60,MATCH(A305,Holidays!$A$5:$A$60,0)),"")="Eve","Eve","Workday")))</f>
        <v>Workday</v>
      </c>
      <c r="D305" s="18" t="str">
        <f aca="false">IFERROR(INDEX(Holidays!$C$5:$C$60,MATCH(A305,Holidays!$A$5:$A$60,0)),"")</f>
        <v/>
      </c>
      <c r="E305" s="31"/>
      <c r="F305" s="32"/>
      <c r="G305" s="32"/>
      <c r="H305" s="32"/>
      <c r="I305" s="32"/>
      <c r="J305" s="31"/>
      <c r="K305" s="33" t="str">
        <f aca="false">IF(E305&lt;&gt;"",E305,IF(U305,"Present",IF(C305="Holiday","Holiday","Weekend")))</f>
        <v>Present</v>
      </c>
      <c r="L305" s="34" t="n">
        <f aca="false">IF(OR(K305="Present",K305="Manual Work",K305="Partial Vacation",K305="Partial Sick Leave"),IF(ISNUMBER(F305),F305,IF(AND(K305="Present",U305),Settings!$B$6,"")),"")</f>
        <v>0.333333333333333</v>
      </c>
      <c r="M305" s="34" t="n">
        <f aca="false">IF(OR(K305="Present",K305="Manual Work",K305="Partial Vacation",K305="Partial Sick Leave"),IF(ISNUMBER(G305),G305,IF(AND(K305="Present",U305),V305,"")),"")</f>
        <v>0.6875</v>
      </c>
      <c r="N305" s="14" t="n">
        <f aca="false">IF(AND(ISNUMBER(L305),ISNUMBER(M305)),MAX(0,(M305-L305)*24),0)</f>
        <v>8.5</v>
      </c>
      <c r="O305" s="14" t="n">
        <f aca="false">IF(NOT(U305),0,IF(K305="Vacation",IF(C305="Eve",Settings!$B$9*Settings!$B$11,W305),IF(K305="Partial Vacation",IF(AND(ISNUMBER(H305),ISNUMBER(I305)),MAX(0,(I305-H305)*24),0),0)))</f>
        <v>0</v>
      </c>
      <c r="P305" s="14" t="n">
        <f aca="false">IF(NOT(U305),0,IF(K305="Sick Leave",W305,IF(K305="Partial Sick Leave",IF(AND(ISNUMBER(H305),ISNUMBER(I305)),MAX(0,(I305-H305)*24),0),0)))</f>
        <v>0</v>
      </c>
      <c r="Q305" s="14" t="n">
        <f aca="false">IF(NOT(U305),0,IF(K305="Vacation",IF(C305="Eve",Settings!$B$11,1),IF(K305="Partial Vacation",O305/Settings!$B$9,0)))</f>
        <v>0</v>
      </c>
      <c r="R305" s="14" t="n">
        <f aca="false">IF(NOT(U305),0,IF(K305="Sick Leave",1,IF(K305="Partial Sick Leave",P305/Settings!$B$9,0)))</f>
        <v>0</v>
      </c>
      <c r="S305" s="35" t="str">
        <f aca="false">IF(AND(OR(E305="Vacation",E305="Sick Leave",E305="Partial Vacation",E305="Partial Sick Leave"),NOT(U305)),"Leave not allowed on this day",IF(AND(E305="Manual Work",OR(NOT(ISNUMBER(F305)),NOT(ISNUMBER(G305)))),"Enter start and end",IF(AND(OR(E305="Partial Vacation",E305="Partial Sick Leave"),OR(NOT(ISNUMBER(H305)),NOT(ISNUMBER(I305)))),"Enter leave from and to",IF(AND(ISNUMBER(F305),ISNUMBER(G305),G305&lt;=F305),"End is before start",IF(AND(ISNUMBER(H305),ISNUMBER(I305),I305&lt;=H305),"Leave end is before start",IF(AND(ISNUMBER(F305),ISNUMBER(G305),ISNUMBER(H305),ISNUMBER(I305),F305&lt;I305,H305&lt;G305),"Work and leave hours overlap",IF(AND(E305&lt;&gt;"",WEEKDAY(A305)=7),"Saturday - administrator only","")))))))</f>
        <v/>
      </c>
      <c r="T305" s="36" t="n">
        <f aca="false">MONTH(A305)</f>
        <v>10</v>
      </c>
      <c r="U305" s="37" t="b">
        <f aca="false">OR(C305="Workday",C305="Eve")</f>
        <v>1</v>
      </c>
      <c r="V305" s="34" t="n">
        <f aca="false">IF(C305="Eve",Settings!$B$8,Settings!$B$7)</f>
        <v>0.6875</v>
      </c>
      <c r="W305" s="14" t="n">
        <f aca="false">IF(U305,(V305-Settings!$B$6)*24,0)</f>
        <v>8.5</v>
      </c>
    </row>
    <row r="306" customFormat="false" ht="15" hidden="false" customHeight="false" outlineLevel="0" collapsed="false">
      <c r="A306" s="29" t="n">
        <v>46322</v>
      </c>
      <c r="B306" s="30" t="str">
        <f aca="false">CHOOSE(WEEKDAY(A306),"Sun","Mon","Tue","Wed","Thu","Fri","Sat")</f>
        <v>Tue</v>
      </c>
      <c r="C306" s="30" t="str">
        <f aca="false">IF(IFERROR(INDEX(Holidays!$D$5:$D$60,MATCH(A306,Holidays!$A$5:$A$60,0)),"")="Holiday","Holiday",IF(WEEKDAY(A306)&gt;=6,"Weekend",IF(IFERROR(INDEX(Holidays!$D$5:$D$60,MATCH(A306,Holidays!$A$5:$A$60,0)),"")="Eve","Eve","Workday")))</f>
        <v>Workday</v>
      </c>
      <c r="D306" s="18" t="str">
        <f aca="false">IFERROR(INDEX(Holidays!$C$5:$C$60,MATCH(A306,Holidays!$A$5:$A$60,0)),"")</f>
        <v/>
      </c>
      <c r="E306" s="31"/>
      <c r="F306" s="32"/>
      <c r="G306" s="32"/>
      <c r="H306" s="32"/>
      <c r="I306" s="32"/>
      <c r="J306" s="31"/>
      <c r="K306" s="33" t="str">
        <f aca="false">IF(E306&lt;&gt;"",E306,IF(U306,"Present",IF(C306="Holiday","Holiday","Weekend")))</f>
        <v>Present</v>
      </c>
      <c r="L306" s="34" t="n">
        <f aca="false">IF(OR(K306="Present",K306="Manual Work",K306="Partial Vacation",K306="Partial Sick Leave"),IF(ISNUMBER(F306),F306,IF(AND(K306="Present",U306),Settings!$B$6,"")),"")</f>
        <v>0.333333333333333</v>
      </c>
      <c r="M306" s="34" t="n">
        <f aca="false">IF(OR(K306="Present",K306="Manual Work",K306="Partial Vacation",K306="Partial Sick Leave"),IF(ISNUMBER(G306),G306,IF(AND(K306="Present",U306),V306,"")),"")</f>
        <v>0.6875</v>
      </c>
      <c r="N306" s="14" t="n">
        <f aca="false">IF(AND(ISNUMBER(L306),ISNUMBER(M306)),MAX(0,(M306-L306)*24),0)</f>
        <v>8.5</v>
      </c>
      <c r="O306" s="14" t="n">
        <f aca="false">IF(NOT(U306),0,IF(K306="Vacation",IF(C306="Eve",Settings!$B$9*Settings!$B$11,W306),IF(K306="Partial Vacation",IF(AND(ISNUMBER(H306),ISNUMBER(I306)),MAX(0,(I306-H306)*24),0),0)))</f>
        <v>0</v>
      </c>
      <c r="P306" s="14" t="n">
        <f aca="false">IF(NOT(U306),0,IF(K306="Sick Leave",W306,IF(K306="Partial Sick Leave",IF(AND(ISNUMBER(H306),ISNUMBER(I306)),MAX(0,(I306-H306)*24),0),0)))</f>
        <v>0</v>
      </c>
      <c r="Q306" s="14" t="n">
        <f aca="false">IF(NOT(U306),0,IF(K306="Vacation",IF(C306="Eve",Settings!$B$11,1),IF(K306="Partial Vacation",O306/Settings!$B$9,0)))</f>
        <v>0</v>
      </c>
      <c r="R306" s="14" t="n">
        <f aca="false">IF(NOT(U306),0,IF(K306="Sick Leave",1,IF(K306="Partial Sick Leave",P306/Settings!$B$9,0)))</f>
        <v>0</v>
      </c>
      <c r="S306" s="35" t="str">
        <f aca="false">IF(AND(OR(E306="Vacation",E306="Sick Leave",E306="Partial Vacation",E306="Partial Sick Leave"),NOT(U306)),"Leave not allowed on this day",IF(AND(E306="Manual Work",OR(NOT(ISNUMBER(F306)),NOT(ISNUMBER(G306)))),"Enter start and end",IF(AND(OR(E306="Partial Vacation",E306="Partial Sick Leave"),OR(NOT(ISNUMBER(H306)),NOT(ISNUMBER(I306)))),"Enter leave from and to",IF(AND(ISNUMBER(F306),ISNUMBER(G306),G306&lt;=F306),"End is before start",IF(AND(ISNUMBER(H306),ISNUMBER(I306),I306&lt;=H306),"Leave end is before start",IF(AND(ISNUMBER(F306),ISNUMBER(G306),ISNUMBER(H306),ISNUMBER(I306),F306&lt;I306,H306&lt;G306),"Work and leave hours overlap",IF(AND(E306&lt;&gt;"",WEEKDAY(A306)=7),"Saturday - administrator only","")))))))</f>
        <v/>
      </c>
      <c r="T306" s="36" t="n">
        <f aca="false">MONTH(A306)</f>
        <v>10</v>
      </c>
      <c r="U306" s="37" t="b">
        <f aca="false">OR(C306="Workday",C306="Eve")</f>
        <v>1</v>
      </c>
      <c r="V306" s="34" t="n">
        <f aca="false">IF(C306="Eve",Settings!$B$8,Settings!$B$7)</f>
        <v>0.6875</v>
      </c>
      <c r="W306" s="14" t="n">
        <f aca="false">IF(U306,(V306-Settings!$B$6)*24,0)</f>
        <v>8.5</v>
      </c>
    </row>
    <row r="307" customFormat="false" ht="15" hidden="false" customHeight="false" outlineLevel="0" collapsed="false">
      <c r="A307" s="29" t="n">
        <v>46323</v>
      </c>
      <c r="B307" s="30" t="str">
        <f aca="false">CHOOSE(WEEKDAY(A307),"Sun","Mon","Tue","Wed","Thu","Fri","Sat")</f>
        <v>Wed</v>
      </c>
      <c r="C307" s="30" t="str">
        <f aca="false">IF(IFERROR(INDEX(Holidays!$D$5:$D$60,MATCH(A307,Holidays!$A$5:$A$60,0)),"")="Holiday","Holiday",IF(WEEKDAY(A307)&gt;=6,"Weekend",IF(IFERROR(INDEX(Holidays!$D$5:$D$60,MATCH(A307,Holidays!$A$5:$A$60,0)),"")="Eve","Eve","Workday")))</f>
        <v>Workday</v>
      </c>
      <c r="D307" s="18" t="str">
        <f aca="false">IFERROR(INDEX(Holidays!$C$5:$C$60,MATCH(A307,Holidays!$A$5:$A$60,0)),"")</f>
        <v/>
      </c>
      <c r="E307" s="31"/>
      <c r="F307" s="32"/>
      <c r="G307" s="32"/>
      <c r="H307" s="32"/>
      <c r="I307" s="32"/>
      <c r="J307" s="31"/>
      <c r="K307" s="33" t="str">
        <f aca="false">IF(E307&lt;&gt;"",E307,IF(U307,"Present",IF(C307="Holiday","Holiday","Weekend")))</f>
        <v>Present</v>
      </c>
      <c r="L307" s="34" t="n">
        <f aca="false">IF(OR(K307="Present",K307="Manual Work",K307="Partial Vacation",K307="Partial Sick Leave"),IF(ISNUMBER(F307),F307,IF(AND(K307="Present",U307),Settings!$B$6,"")),"")</f>
        <v>0.333333333333333</v>
      </c>
      <c r="M307" s="34" t="n">
        <f aca="false">IF(OR(K307="Present",K307="Manual Work",K307="Partial Vacation",K307="Partial Sick Leave"),IF(ISNUMBER(G307),G307,IF(AND(K307="Present",U307),V307,"")),"")</f>
        <v>0.6875</v>
      </c>
      <c r="N307" s="14" t="n">
        <f aca="false">IF(AND(ISNUMBER(L307),ISNUMBER(M307)),MAX(0,(M307-L307)*24),0)</f>
        <v>8.5</v>
      </c>
      <c r="O307" s="14" t="n">
        <f aca="false">IF(NOT(U307),0,IF(K307="Vacation",IF(C307="Eve",Settings!$B$9*Settings!$B$11,W307),IF(K307="Partial Vacation",IF(AND(ISNUMBER(H307),ISNUMBER(I307)),MAX(0,(I307-H307)*24),0),0)))</f>
        <v>0</v>
      </c>
      <c r="P307" s="14" t="n">
        <f aca="false">IF(NOT(U307),0,IF(K307="Sick Leave",W307,IF(K307="Partial Sick Leave",IF(AND(ISNUMBER(H307),ISNUMBER(I307)),MAX(0,(I307-H307)*24),0),0)))</f>
        <v>0</v>
      </c>
      <c r="Q307" s="14" t="n">
        <f aca="false">IF(NOT(U307),0,IF(K307="Vacation",IF(C307="Eve",Settings!$B$11,1),IF(K307="Partial Vacation",O307/Settings!$B$9,0)))</f>
        <v>0</v>
      </c>
      <c r="R307" s="14" t="n">
        <f aca="false">IF(NOT(U307),0,IF(K307="Sick Leave",1,IF(K307="Partial Sick Leave",P307/Settings!$B$9,0)))</f>
        <v>0</v>
      </c>
      <c r="S307" s="35" t="str">
        <f aca="false">IF(AND(OR(E307="Vacation",E307="Sick Leave",E307="Partial Vacation",E307="Partial Sick Leave"),NOT(U307)),"Leave not allowed on this day",IF(AND(E307="Manual Work",OR(NOT(ISNUMBER(F307)),NOT(ISNUMBER(G307)))),"Enter start and end",IF(AND(OR(E307="Partial Vacation",E307="Partial Sick Leave"),OR(NOT(ISNUMBER(H307)),NOT(ISNUMBER(I307)))),"Enter leave from and to",IF(AND(ISNUMBER(F307),ISNUMBER(G307),G307&lt;=F307),"End is before start",IF(AND(ISNUMBER(H307),ISNUMBER(I307),I307&lt;=H307),"Leave end is before start",IF(AND(ISNUMBER(F307),ISNUMBER(G307),ISNUMBER(H307),ISNUMBER(I307),F307&lt;I307,H307&lt;G307),"Work and leave hours overlap",IF(AND(E307&lt;&gt;"",WEEKDAY(A307)=7),"Saturday - administrator only","")))))))</f>
        <v/>
      </c>
      <c r="T307" s="36" t="n">
        <f aca="false">MONTH(A307)</f>
        <v>10</v>
      </c>
      <c r="U307" s="37" t="b">
        <f aca="false">OR(C307="Workday",C307="Eve")</f>
        <v>1</v>
      </c>
      <c r="V307" s="34" t="n">
        <f aca="false">IF(C307="Eve",Settings!$B$8,Settings!$B$7)</f>
        <v>0.6875</v>
      </c>
      <c r="W307" s="14" t="n">
        <f aca="false">IF(U307,(V307-Settings!$B$6)*24,0)</f>
        <v>8.5</v>
      </c>
    </row>
    <row r="308" customFormat="false" ht="15" hidden="false" customHeight="false" outlineLevel="0" collapsed="false">
      <c r="A308" s="29" t="n">
        <v>46324</v>
      </c>
      <c r="B308" s="30" t="str">
        <f aca="false">CHOOSE(WEEKDAY(A308),"Sun","Mon","Tue","Wed","Thu","Fri","Sat")</f>
        <v>Thu</v>
      </c>
      <c r="C308" s="30" t="str">
        <f aca="false">IF(IFERROR(INDEX(Holidays!$D$5:$D$60,MATCH(A308,Holidays!$A$5:$A$60,0)),"")="Holiday","Holiday",IF(WEEKDAY(A308)&gt;=6,"Weekend",IF(IFERROR(INDEX(Holidays!$D$5:$D$60,MATCH(A308,Holidays!$A$5:$A$60,0)),"")="Eve","Eve","Workday")))</f>
        <v>Workday</v>
      </c>
      <c r="D308" s="18" t="str">
        <f aca="false">IFERROR(INDEX(Holidays!$C$5:$C$60,MATCH(A308,Holidays!$A$5:$A$60,0)),"")</f>
        <v/>
      </c>
      <c r="E308" s="31"/>
      <c r="F308" s="32"/>
      <c r="G308" s="32"/>
      <c r="H308" s="32"/>
      <c r="I308" s="32"/>
      <c r="J308" s="31"/>
      <c r="K308" s="33" t="str">
        <f aca="false">IF(E308&lt;&gt;"",E308,IF(U308,"Present",IF(C308="Holiday","Holiday","Weekend")))</f>
        <v>Present</v>
      </c>
      <c r="L308" s="34" t="n">
        <f aca="false">IF(OR(K308="Present",K308="Manual Work",K308="Partial Vacation",K308="Partial Sick Leave"),IF(ISNUMBER(F308),F308,IF(AND(K308="Present",U308),Settings!$B$6,"")),"")</f>
        <v>0.333333333333333</v>
      </c>
      <c r="M308" s="34" t="n">
        <f aca="false">IF(OR(K308="Present",K308="Manual Work",K308="Partial Vacation",K308="Partial Sick Leave"),IF(ISNUMBER(G308),G308,IF(AND(K308="Present",U308),V308,"")),"")</f>
        <v>0.6875</v>
      </c>
      <c r="N308" s="14" t="n">
        <f aca="false">IF(AND(ISNUMBER(L308),ISNUMBER(M308)),MAX(0,(M308-L308)*24),0)</f>
        <v>8.5</v>
      </c>
      <c r="O308" s="14" t="n">
        <f aca="false">IF(NOT(U308),0,IF(K308="Vacation",IF(C308="Eve",Settings!$B$9*Settings!$B$11,W308),IF(K308="Partial Vacation",IF(AND(ISNUMBER(H308),ISNUMBER(I308)),MAX(0,(I308-H308)*24),0),0)))</f>
        <v>0</v>
      </c>
      <c r="P308" s="14" t="n">
        <f aca="false">IF(NOT(U308),0,IF(K308="Sick Leave",W308,IF(K308="Partial Sick Leave",IF(AND(ISNUMBER(H308),ISNUMBER(I308)),MAX(0,(I308-H308)*24),0),0)))</f>
        <v>0</v>
      </c>
      <c r="Q308" s="14" t="n">
        <f aca="false">IF(NOT(U308),0,IF(K308="Vacation",IF(C308="Eve",Settings!$B$11,1),IF(K308="Partial Vacation",O308/Settings!$B$9,0)))</f>
        <v>0</v>
      </c>
      <c r="R308" s="14" t="n">
        <f aca="false">IF(NOT(U308),0,IF(K308="Sick Leave",1,IF(K308="Partial Sick Leave",P308/Settings!$B$9,0)))</f>
        <v>0</v>
      </c>
      <c r="S308" s="35" t="str">
        <f aca="false">IF(AND(OR(E308="Vacation",E308="Sick Leave",E308="Partial Vacation",E308="Partial Sick Leave"),NOT(U308)),"Leave not allowed on this day",IF(AND(E308="Manual Work",OR(NOT(ISNUMBER(F308)),NOT(ISNUMBER(G308)))),"Enter start and end",IF(AND(OR(E308="Partial Vacation",E308="Partial Sick Leave"),OR(NOT(ISNUMBER(H308)),NOT(ISNUMBER(I308)))),"Enter leave from and to",IF(AND(ISNUMBER(F308),ISNUMBER(G308),G308&lt;=F308),"End is before start",IF(AND(ISNUMBER(H308),ISNUMBER(I308),I308&lt;=H308),"Leave end is before start",IF(AND(ISNUMBER(F308),ISNUMBER(G308),ISNUMBER(H308),ISNUMBER(I308),F308&lt;I308,H308&lt;G308),"Work and leave hours overlap",IF(AND(E308&lt;&gt;"",WEEKDAY(A308)=7),"Saturday - administrator only","")))))))</f>
        <v/>
      </c>
      <c r="T308" s="36" t="n">
        <f aca="false">MONTH(A308)</f>
        <v>10</v>
      </c>
      <c r="U308" s="37" t="b">
        <f aca="false">OR(C308="Workday",C308="Eve")</f>
        <v>1</v>
      </c>
      <c r="V308" s="34" t="n">
        <f aca="false">IF(C308="Eve",Settings!$B$8,Settings!$B$7)</f>
        <v>0.6875</v>
      </c>
      <c r="W308" s="14" t="n">
        <f aca="false">IF(U308,(V308-Settings!$B$6)*24,0)</f>
        <v>8.5</v>
      </c>
    </row>
    <row r="309" customFormat="false" ht="15" hidden="false" customHeight="false" outlineLevel="0" collapsed="false">
      <c r="A309" s="29" t="n">
        <v>46325</v>
      </c>
      <c r="B309" s="30" t="str">
        <f aca="false">CHOOSE(WEEKDAY(A309),"Sun","Mon","Tue","Wed","Thu","Fri","Sat")</f>
        <v>Fri</v>
      </c>
      <c r="C309" s="30" t="str">
        <f aca="false">IF(IFERROR(INDEX(Holidays!$D$5:$D$60,MATCH(A309,Holidays!$A$5:$A$60,0)),"")="Holiday","Holiday",IF(WEEKDAY(A309)&gt;=6,"Weekend",IF(IFERROR(INDEX(Holidays!$D$5:$D$60,MATCH(A309,Holidays!$A$5:$A$60,0)),"")="Eve","Eve","Workday")))</f>
        <v>Weekend</v>
      </c>
      <c r="D309" s="18" t="str">
        <f aca="false">IFERROR(INDEX(Holidays!$C$5:$C$60,MATCH(A309,Holidays!$A$5:$A$60,0)),"")</f>
        <v/>
      </c>
      <c r="E309" s="31"/>
      <c r="F309" s="32"/>
      <c r="G309" s="32"/>
      <c r="H309" s="32"/>
      <c r="I309" s="32"/>
      <c r="J309" s="31"/>
      <c r="K309" s="33" t="str">
        <f aca="false">IF(E309&lt;&gt;"",E309,IF(U309,"Present",IF(C309="Holiday","Holiday","Weekend")))</f>
        <v>Weekend</v>
      </c>
      <c r="L309" s="34" t="str">
        <f aca="false">IF(OR(K309="Present",K309="Manual Work",K309="Partial Vacation",K309="Partial Sick Leave"),IF(ISNUMBER(F309),F309,IF(AND(K309="Present",U309),Settings!$B$6,"")),"")</f>
        <v/>
      </c>
      <c r="M309" s="34" t="str">
        <f aca="false">IF(OR(K309="Present",K309="Manual Work",K309="Partial Vacation",K309="Partial Sick Leave"),IF(ISNUMBER(G309),G309,IF(AND(K309="Present",U309),V309,"")),"")</f>
        <v/>
      </c>
      <c r="N309" s="14" t="n">
        <f aca="false">IF(AND(ISNUMBER(L309),ISNUMBER(M309)),MAX(0,(M309-L309)*24),0)</f>
        <v>0</v>
      </c>
      <c r="O309" s="14" t="n">
        <f aca="false">IF(NOT(U309),0,IF(K309="Vacation",IF(C309="Eve",Settings!$B$9*Settings!$B$11,W309),IF(K309="Partial Vacation",IF(AND(ISNUMBER(H309),ISNUMBER(I309)),MAX(0,(I309-H309)*24),0),0)))</f>
        <v>0</v>
      </c>
      <c r="P309" s="14" t="n">
        <f aca="false">IF(NOT(U309),0,IF(K309="Sick Leave",W309,IF(K309="Partial Sick Leave",IF(AND(ISNUMBER(H309),ISNUMBER(I309)),MAX(0,(I309-H309)*24),0),0)))</f>
        <v>0</v>
      </c>
      <c r="Q309" s="14" t="n">
        <f aca="false">IF(NOT(U309),0,IF(K309="Vacation",IF(C309="Eve",Settings!$B$11,1),IF(K309="Partial Vacation",O309/Settings!$B$9,0)))</f>
        <v>0</v>
      </c>
      <c r="R309" s="14" t="n">
        <f aca="false">IF(NOT(U309),0,IF(K309="Sick Leave",1,IF(K309="Partial Sick Leave",P309/Settings!$B$9,0)))</f>
        <v>0</v>
      </c>
      <c r="S309" s="35" t="str">
        <f aca="false">IF(AND(OR(E309="Vacation",E309="Sick Leave",E309="Partial Vacation",E309="Partial Sick Leave"),NOT(U309)),"Leave not allowed on this day",IF(AND(E309="Manual Work",OR(NOT(ISNUMBER(F309)),NOT(ISNUMBER(G309)))),"Enter start and end",IF(AND(OR(E309="Partial Vacation",E309="Partial Sick Leave"),OR(NOT(ISNUMBER(H309)),NOT(ISNUMBER(I309)))),"Enter leave from and to",IF(AND(ISNUMBER(F309),ISNUMBER(G309),G309&lt;=F309),"End is before start",IF(AND(ISNUMBER(H309),ISNUMBER(I309),I309&lt;=H309),"Leave end is before start",IF(AND(ISNUMBER(F309),ISNUMBER(G309),ISNUMBER(H309),ISNUMBER(I309),F309&lt;I309,H309&lt;G309),"Work and leave hours overlap",IF(AND(E309&lt;&gt;"",WEEKDAY(A309)=7),"Saturday - administrator only","")))))))</f>
        <v/>
      </c>
      <c r="T309" s="36" t="n">
        <f aca="false">MONTH(A309)</f>
        <v>10</v>
      </c>
      <c r="U309" s="37" t="b">
        <f aca="false">OR(C309="Workday",C309="Eve")</f>
        <v>0</v>
      </c>
      <c r="V309" s="34" t="n">
        <f aca="false">IF(C309="Eve",Settings!$B$8,Settings!$B$7)</f>
        <v>0.6875</v>
      </c>
      <c r="W309" s="14" t="n">
        <f aca="false">IF(U309,(V309-Settings!$B$6)*24,0)</f>
        <v>0</v>
      </c>
    </row>
    <row r="310" customFormat="false" ht="15" hidden="false" customHeight="false" outlineLevel="0" collapsed="false">
      <c r="A310" s="29" t="n">
        <v>46326</v>
      </c>
      <c r="B310" s="30" t="str">
        <f aca="false">CHOOSE(WEEKDAY(A310),"Sun","Mon","Tue","Wed","Thu","Fri","Sat")</f>
        <v>Sat</v>
      </c>
      <c r="C310" s="30" t="str">
        <f aca="false">IF(IFERROR(INDEX(Holidays!$D$5:$D$60,MATCH(A310,Holidays!$A$5:$A$60,0)),"")="Holiday","Holiday",IF(WEEKDAY(A310)&gt;=6,"Weekend",IF(IFERROR(INDEX(Holidays!$D$5:$D$60,MATCH(A310,Holidays!$A$5:$A$60,0)),"")="Eve","Eve","Workday")))</f>
        <v>Weekend</v>
      </c>
      <c r="D310" s="18" t="str">
        <f aca="false">IFERROR(INDEX(Holidays!$C$5:$C$60,MATCH(A310,Holidays!$A$5:$A$60,0)),"")</f>
        <v/>
      </c>
      <c r="E310" s="31"/>
      <c r="F310" s="32"/>
      <c r="G310" s="32"/>
      <c r="H310" s="32"/>
      <c r="I310" s="32"/>
      <c r="J310" s="31"/>
      <c r="K310" s="33" t="str">
        <f aca="false">IF(E310&lt;&gt;"",E310,IF(U310,"Present",IF(C310="Holiday","Holiday","Weekend")))</f>
        <v>Weekend</v>
      </c>
      <c r="L310" s="34" t="str">
        <f aca="false">IF(OR(K310="Present",K310="Manual Work",K310="Partial Vacation",K310="Partial Sick Leave"),IF(ISNUMBER(F310),F310,IF(AND(K310="Present",U310),Settings!$B$6,"")),"")</f>
        <v/>
      </c>
      <c r="M310" s="34" t="str">
        <f aca="false">IF(OR(K310="Present",K310="Manual Work",K310="Partial Vacation",K310="Partial Sick Leave"),IF(ISNUMBER(G310),G310,IF(AND(K310="Present",U310),V310,"")),"")</f>
        <v/>
      </c>
      <c r="N310" s="14" t="n">
        <f aca="false">IF(AND(ISNUMBER(L310),ISNUMBER(M310)),MAX(0,(M310-L310)*24),0)</f>
        <v>0</v>
      </c>
      <c r="O310" s="14" t="n">
        <f aca="false">IF(NOT(U310),0,IF(K310="Vacation",IF(C310="Eve",Settings!$B$9*Settings!$B$11,W310),IF(K310="Partial Vacation",IF(AND(ISNUMBER(H310),ISNUMBER(I310)),MAX(0,(I310-H310)*24),0),0)))</f>
        <v>0</v>
      </c>
      <c r="P310" s="14" t="n">
        <f aca="false">IF(NOT(U310),0,IF(K310="Sick Leave",W310,IF(K310="Partial Sick Leave",IF(AND(ISNUMBER(H310),ISNUMBER(I310)),MAX(0,(I310-H310)*24),0),0)))</f>
        <v>0</v>
      </c>
      <c r="Q310" s="14" t="n">
        <f aca="false">IF(NOT(U310),0,IF(K310="Vacation",IF(C310="Eve",Settings!$B$11,1),IF(K310="Partial Vacation",O310/Settings!$B$9,0)))</f>
        <v>0</v>
      </c>
      <c r="R310" s="14" t="n">
        <f aca="false">IF(NOT(U310),0,IF(K310="Sick Leave",1,IF(K310="Partial Sick Leave",P310/Settings!$B$9,0)))</f>
        <v>0</v>
      </c>
      <c r="S310" s="35" t="str">
        <f aca="false">IF(AND(OR(E310="Vacation",E310="Sick Leave",E310="Partial Vacation",E310="Partial Sick Leave"),NOT(U310)),"Leave not allowed on this day",IF(AND(E310="Manual Work",OR(NOT(ISNUMBER(F310)),NOT(ISNUMBER(G310)))),"Enter start and end",IF(AND(OR(E310="Partial Vacation",E310="Partial Sick Leave"),OR(NOT(ISNUMBER(H310)),NOT(ISNUMBER(I310)))),"Enter leave from and to",IF(AND(ISNUMBER(F310),ISNUMBER(G310),G310&lt;=F310),"End is before start",IF(AND(ISNUMBER(H310),ISNUMBER(I310),I310&lt;=H310),"Leave end is before start",IF(AND(ISNUMBER(F310),ISNUMBER(G310),ISNUMBER(H310),ISNUMBER(I310),F310&lt;I310,H310&lt;G310),"Work and leave hours overlap",IF(AND(E310&lt;&gt;"",WEEKDAY(A310)=7),"Saturday - administrator only","")))))))</f>
        <v/>
      </c>
      <c r="T310" s="36" t="n">
        <f aca="false">MONTH(A310)</f>
        <v>10</v>
      </c>
      <c r="U310" s="37" t="b">
        <f aca="false">OR(C310="Workday",C310="Eve")</f>
        <v>0</v>
      </c>
      <c r="V310" s="34" t="n">
        <f aca="false">IF(C310="Eve",Settings!$B$8,Settings!$B$7)</f>
        <v>0.6875</v>
      </c>
      <c r="W310" s="14" t="n">
        <f aca="false">IF(U310,(V310-Settings!$B$6)*24,0)</f>
        <v>0</v>
      </c>
    </row>
    <row r="311" customFormat="false" ht="15" hidden="false" customHeight="false" outlineLevel="0" collapsed="false">
      <c r="A311" s="29" t="n">
        <v>46327</v>
      </c>
      <c r="B311" s="30" t="str">
        <f aca="false">CHOOSE(WEEKDAY(A311),"Sun","Mon","Tue","Wed","Thu","Fri","Sat")</f>
        <v>Sun</v>
      </c>
      <c r="C311" s="30" t="str">
        <f aca="false">IF(IFERROR(INDEX(Holidays!$D$5:$D$60,MATCH(A311,Holidays!$A$5:$A$60,0)),"")="Holiday","Holiday",IF(WEEKDAY(A311)&gt;=6,"Weekend",IF(IFERROR(INDEX(Holidays!$D$5:$D$60,MATCH(A311,Holidays!$A$5:$A$60,0)),"")="Eve","Eve","Workday")))</f>
        <v>Workday</v>
      </c>
      <c r="D311" s="18" t="str">
        <f aca="false">IFERROR(INDEX(Holidays!$C$5:$C$60,MATCH(A311,Holidays!$A$5:$A$60,0)),"")</f>
        <v/>
      </c>
      <c r="E311" s="31"/>
      <c r="F311" s="32"/>
      <c r="G311" s="32"/>
      <c r="H311" s="32"/>
      <c r="I311" s="32"/>
      <c r="J311" s="31"/>
      <c r="K311" s="33" t="str">
        <f aca="false">IF(E311&lt;&gt;"",E311,IF(U311,"Present",IF(C311="Holiday","Holiday","Weekend")))</f>
        <v>Present</v>
      </c>
      <c r="L311" s="34" t="n">
        <f aca="false">IF(OR(K311="Present",K311="Manual Work",K311="Partial Vacation",K311="Partial Sick Leave"),IF(ISNUMBER(F311),F311,IF(AND(K311="Present",U311),Settings!$B$6,"")),"")</f>
        <v>0.333333333333333</v>
      </c>
      <c r="M311" s="34" t="n">
        <f aca="false">IF(OR(K311="Present",K311="Manual Work",K311="Partial Vacation",K311="Partial Sick Leave"),IF(ISNUMBER(G311),G311,IF(AND(K311="Present",U311),V311,"")),"")</f>
        <v>0.6875</v>
      </c>
      <c r="N311" s="14" t="n">
        <f aca="false">IF(AND(ISNUMBER(L311),ISNUMBER(M311)),MAX(0,(M311-L311)*24),0)</f>
        <v>8.5</v>
      </c>
      <c r="O311" s="14" t="n">
        <f aca="false">IF(NOT(U311),0,IF(K311="Vacation",IF(C311="Eve",Settings!$B$9*Settings!$B$11,W311),IF(K311="Partial Vacation",IF(AND(ISNUMBER(H311),ISNUMBER(I311)),MAX(0,(I311-H311)*24),0),0)))</f>
        <v>0</v>
      </c>
      <c r="P311" s="14" t="n">
        <f aca="false">IF(NOT(U311),0,IF(K311="Sick Leave",W311,IF(K311="Partial Sick Leave",IF(AND(ISNUMBER(H311),ISNUMBER(I311)),MAX(0,(I311-H311)*24),0),0)))</f>
        <v>0</v>
      </c>
      <c r="Q311" s="14" t="n">
        <f aca="false">IF(NOT(U311),0,IF(K311="Vacation",IF(C311="Eve",Settings!$B$11,1),IF(K311="Partial Vacation",O311/Settings!$B$9,0)))</f>
        <v>0</v>
      </c>
      <c r="R311" s="14" t="n">
        <f aca="false">IF(NOT(U311),0,IF(K311="Sick Leave",1,IF(K311="Partial Sick Leave",P311/Settings!$B$9,0)))</f>
        <v>0</v>
      </c>
      <c r="S311" s="35" t="str">
        <f aca="false">IF(AND(OR(E311="Vacation",E311="Sick Leave",E311="Partial Vacation",E311="Partial Sick Leave"),NOT(U311)),"Leave not allowed on this day",IF(AND(E311="Manual Work",OR(NOT(ISNUMBER(F311)),NOT(ISNUMBER(G311)))),"Enter start and end",IF(AND(OR(E311="Partial Vacation",E311="Partial Sick Leave"),OR(NOT(ISNUMBER(H311)),NOT(ISNUMBER(I311)))),"Enter leave from and to",IF(AND(ISNUMBER(F311),ISNUMBER(G311),G311&lt;=F311),"End is before start",IF(AND(ISNUMBER(H311),ISNUMBER(I311),I311&lt;=H311),"Leave end is before start",IF(AND(ISNUMBER(F311),ISNUMBER(G311),ISNUMBER(H311),ISNUMBER(I311),F311&lt;I311,H311&lt;G311),"Work and leave hours overlap",IF(AND(E311&lt;&gt;"",WEEKDAY(A311)=7),"Saturday - administrator only","")))))))</f>
        <v/>
      </c>
      <c r="T311" s="36" t="n">
        <f aca="false">MONTH(A311)</f>
        <v>11</v>
      </c>
      <c r="U311" s="37" t="b">
        <f aca="false">OR(C311="Workday",C311="Eve")</f>
        <v>1</v>
      </c>
      <c r="V311" s="34" t="n">
        <f aca="false">IF(C311="Eve",Settings!$B$8,Settings!$B$7)</f>
        <v>0.6875</v>
      </c>
      <c r="W311" s="14" t="n">
        <f aca="false">IF(U311,(V311-Settings!$B$6)*24,0)</f>
        <v>8.5</v>
      </c>
    </row>
    <row r="312" customFormat="false" ht="15" hidden="false" customHeight="false" outlineLevel="0" collapsed="false">
      <c r="A312" s="29" t="n">
        <v>46328</v>
      </c>
      <c r="B312" s="30" t="str">
        <f aca="false">CHOOSE(WEEKDAY(A312),"Sun","Mon","Tue","Wed","Thu","Fri","Sat")</f>
        <v>Mon</v>
      </c>
      <c r="C312" s="30" t="str">
        <f aca="false">IF(IFERROR(INDEX(Holidays!$D$5:$D$60,MATCH(A312,Holidays!$A$5:$A$60,0)),"")="Holiday","Holiday",IF(WEEKDAY(A312)&gt;=6,"Weekend",IF(IFERROR(INDEX(Holidays!$D$5:$D$60,MATCH(A312,Holidays!$A$5:$A$60,0)),"")="Eve","Eve","Workday")))</f>
        <v>Workday</v>
      </c>
      <c r="D312" s="18" t="str">
        <f aca="false">IFERROR(INDEX(Holidays!$C$5:$C$60,MATCH(A312,Holidays!$A$5:$A$60,0)),"")</f>
        <v/>
      </c>
      <c r="E312" s="31"/>
      <c r="F312" s="32"/>
      <c r="G312" s="32"/>
      <c r="H312" s="32"/>
      <c r="I312" s="32"/>
      <c r="J312" s="31"/>
      <c r="K312" s="33" t="str">
        <f aca="false">IF(E312&lt;&gt;"",E312,IF(U312,"Present",IF(C312="Holiday","Holiday","Weekend")))</f>
        <v>Present</v>
      </c>
      <c r="L312" s="34" t="n">
        <f aca="false">IF(OR(K312="Present",K312="Manual Work",K312="Partial Vacation",K312="Partial Sick Leave"),IF(ISNUMBER(F312),F312,IF(AND(K312="Present",U312),Settings!$B$6,"")),"")</f>
        <v>0.333333333333333</v>
      </c>
      <c r="M312" s="34" t="n">
        <f aca="false">IF(OR(K312="Present",K312="Manual Work",K312="Partial Vacation",K312="Partial Sick Leave"),IF(ISNUMBER(G312),G312,IF(AND(K312="Present",U312),V312,"")),"")</f>
        <v>0.6875</v>
      </c>
      <c r="N312" s="14" t="n">
        <f aca="false">IF(AND(ISNUMBER(L312),ISNUMBER(M312)),MAX(0,(M312-L312)*24),0)</f>
        <v>8.5</v>
      </c>
      <c r="O312" s="14" t="n">
        <f aca="false">IF(NOT(U312),0,IF(K312="Vacation",IF(C312="Eve",Settings!$B$9*Settings!$B$11,W312),IF(K312="Partial Vacation",IF(AND(ISNUMBER(H312),ISNUMBER(I312)),MAX(0,(I312-H312)*24),0),0)))</f>
        <v>0</v>
      </c>
      <c r="P312" s="14" t="n">
        <f aca="false">IF(NOT(U312),0,IF(K312="Sick Leave",W312,IF(K312="Partial Sick Leave",IF(AND(ISNUMBER(H312),ISNUMBER(I312)),MAX(0,(I312-H312)*24),0),0)))</f>
        <v>0</v>
      </c>
      <c r="Q312" s="14" t="n">
        <f aca="false">IF(NOT(U312),0,IF(K312="Vacation",IF(C312="Eve",Settings!$B$11,1),IF(K312="Partial Vacation",O312/Settings!$B$9,0)))</f>
        <v>0</v>
      </c>
      <c r="R312" s="14" t="n">
        <f aca="false">IF(NOT(U312),0,IF(K312="Sick Leave",1,IF(K312="Partial Sick Leave",P312/Settings!$B$9,0)))</f>
        <v>0</v>
      </c>
      <c r="S312" s="35" t="str">
        <f aca="false">IF(AND(OR(E312="Vacation",E312="Sick Leave",E312="Partial Vacation",E312="Partial Sick Leave"),NOT(U312)),"Leave not allowed on this day",IF(AND(E312="Manual Work",OR(NOT(ISNUMBER(F312)),NOT(ISNUMBER(G312)))),"Enter start and end",IF(AND(OR(E312="Partial Vacation",E312="Partial Sick Leave"),OR(NOT(ISNUMBER(H312)),NOT(ISNUMBER(I312)))),"Enter leave from and to",IF(AND(ISNUMBER(F312),ISNUMBER(G312),G312&lt;=F312),"End is before start",IF(AND(ISNUMBER(H312),ISNUMBER(I312),I312&lt;=H312),"Leave end is before start",IF(AND(ISNUMBER(F312),ISNUMBER(G312),ISNUMBER(H312),ISNUMBER(I312),F312&lt;I312,H312&lt;G312),"Work and leave hours overlap",IF(AND(E312&lt;&gt;"",WEEKDAY(A312)=7),"Saturday - administrator only","")))))))</f>
        <v/>
      </c>
      <c r="T312" s="36" t="n">
        <f aca="false">MONTH(A312)</f>
        <v>11</v>
      </c>
      <c r="U312" s="37" t="b">
        <f aca="false">OR(C312="Workday",C312="Eve")</f>
        <v>1</v>
      </c>
      <c r="V312" s="34" t="n">
        <f aca="false">IF(C312="Eve",Settings!$B$8,Settings!$B$7)</f>
        <v>0.6875</v>
      </c>
      <c r="W312" s="14" t="n">
        <f aca="false">IF(U312,(V312-Settings!$B$6)*24,0)</f>
        <v>8.5</v>
      </c>
    </row>
    <row r="313" customFormat="false" ht="15" hidden="false" customHeight="false" outlineLevel="0" collapsed="false">
      <c r="A313" s="29" t="n">
        <v>46329</v>
      </c>
      <c r="B313" s="30" t="str">
        <f aca="false">CHOOSE(WEEKDAY(A313),"Sun","Mon","Tue","Wed","Thu","Fri","Sat")</f>
        <v>Tue</v>
      </c>
      <c r="C313" s="30" t="str">
        <f aca="false">IF(IFERROR(INDEX(Holidays!$D$5:$D$60,MATCH(A313,Holidays!$A$5:$A$60,0)),"")="Holiday","Holiday",IF(WEEKDAY(A313)&gt;=6,"Weekend",IF(IFERROR(INDEX(Holidays!$D$5:$D$60,MATCH(A313,Holidays!$A$5:$A$60,0)),"")="Eve","Eve","Workday")))</f>
        <v>Workday</v>
      </c>
      <c r="D313" s="18" t="str">
        <f aca="false">IFERROR(INDEX(Holidays!$C$5:$C$60,MATCH(A313,Holidays!$A$5:$A$60,0)),"")</f>
        <v/>
      </c>
      <c r="E313" s="31"/>
      <c r="F313" s="32"/>
      <c r="G313" s="32"/>
      <c r="H313" s="32"/>
      <c r="I313" s="32"/>
      <c r="J313" s="31"/>
      <c r="K313" s="33" t="str">
        <f aca="false">IF(E313&lt;&gt;"",E313,IF(U313,"Present",IF(C313="Holiday","Holiday","Weekend")))</f>
        <v>Present</v>
      </c>
      <c r="L313" s="34" t="n">
        <f aca="false">IF(OR(K313="Present",K313="Manual Work",K313="Partial Vacation",K313="Partial Sick Leave"),IF(ISNUMBER(F313),F313,IF(AND(K313="Present",U313),Settings!$B$6,"")),"")</f>
        <v>0.333333333333333</v>
      </c>
      <c r="M313" s="34" t="n">
        <f aca="false">IF(OR(K313="Present",K313="Manual Work",K313="Partial Vacation",K313="Partial Sick Leave"),IF(ISNUMBER(G313),G313,IF(AND(K313="Present",U313),V313,"")),"")</f>
        <v>0.6875</v>
      </c>
      <c r="N313" s="14" t="n">
        <f aca="false">IF(AND(ISNUMBER(L313),ISNUMBER(M313)),MAX(0,(M313-L313)*24),0)</f>
        <v>8.5</v>
      </c>
      <c r="O313" s="14" t="n">
        <f aca="false">IF(NOT(U313),0,IF(K313="Vacation",IF(C313="Eve",Settings!$B$9*Settings!$B$11,W313),IF(K313="Partial Vacation",IF(AND(ISNUMBER(H313),ISNUMBER(I313)),MAX(0,(I313-H313)*24),0),0)))</f>
        <v>0</v>
      </c>
      <c r="P313" s="14" t="n">
        <f aca="false">IF(NOT(U313),0,IF(K313="Sick Leave",W313,IF(K313="Partial Sick Leave",IF(AND(ISNUMBER(H313),ISNUMBER(I313)),MAX(0,(I313-H313)*24),0),0)))</f>
        <v>0</v>
      </c>
      <c r="Q313" s="14" t="n">
        <f aca="false">IF(NOT(U313),0,IF(K313="Vacation",IF(C313="Eve",Settings!$B$11,1),IF(K313="Partial Vacation",O313/Settings!$B$9,0)))</f>
        <v>0</v>
      </c>
      <c r="R313" s="14" t="n">
        <f aca="false">IF(NOT(U313),0,IF(K313="Sick Leave",1,IF(K313="Partial Sick Leave",P313/Settings!$B$9,0)))</f>
        <v>0</v>
      </c>
      <c r="S313" s="35" t="str">
        <f aca="false">IF(AND(OR(E313="Vacation",E313="Sick Leave",E313="Partial Vacation",E313="Partial Sick Leave"),NOT(U313)),"Leave not allowed on this day",IF(AND(E313="Manual Work",OR(NOT(ISNUMBER(F313)),NOT(ISNUMBER(G313)))),"Enter start and end",IF(AND(OR(E313="Partial Vacation",E313="Partial Sick Leave"),OR(NOT(ISNUMBER(H313)),NOT(ISNUMBER(I313)))),"Enter leave from and to",IF(AND(ISNUMBER(F313),ISNUMBER(G313),G313&lt;=F313),"End is before start",IF(AND(ISNUMBER(H313),ISNUMBER(I313),I313&lt;=H313),"Leave end is before start",IF(AND(ISNUMBER(F313),ISNUMBER(G313),ISNUMBER(H313),ISNUMBER(I313),F313&lt;I313,H313&lt;G313),"Work and leave hours overlap",IF(AND(E313&lt;&gt;"",WEEKDAY(A313)=7),"Saturday - administrator only","")))))))</f>
        <v/>
      </c>
      <c r="T313" s="36" t="n">
        <f aca="false">MONTH(A313)</f>
        <v>11</v>
      </c>
      <c r="U313" s="37" t="b">
        <f aca="false">OR(C313="Workday",C313="Eve")</f>
        <v>1</v>
      </c>
      <c r="V313" s="34" t="n">
        <f aca="false">IF(C313="Eve",Settings!$B$8,Settings!$B$7)</f>
        <v>0.6875</v>
      </c>
      <c r="W313" s="14" t="n">
        <f aca="false">IF(U313,(V313-Settings!$B$6)*24,0)</f>
        <v>8.5</v>
      </c>
    </row>
    <row r="314" customFormat="false" ht="15" hidden="false" customHeight="false" outlineLevel="0" collapsed="false">
      <c r="A314" s="29" t="n">
        <v>46330</v>
      </c>
      <c r="B314" s="30" t="str">
        <f aca="false">CHOOSE(WEEKDAY(A314),"Sun","Mon","Tue","Wed","Thu","Fri","Sat")</f>
        <v>Wed</v>
      </c>
      <c r="C314" s="30" t="str">
        <f aca="false">IF(IFERROR(INDEX(Holidays!$D$5:$D$60,MATCH(A314,Holidays!$A$5:$A$60,0)),"")="Holiday","Holiday",IF(WEEKDAY(A314)&gt;=6,"Weekend",IF(IFERROR(INDEX(Holidays!$D$5:$D$60,MATCH(A314,Holidays!$A$5:$A$60,0)),"")="Eve","Eve","Workday")))</f>
        <v>Workday</v>
      </c>
      <c r="D314" s="18" t="str">
        <f aca="false">IFERROR(INDEX(Holidays!$C$5:$C$60,MATCH(A314,Holidays!$A$5:$A$60,0)),"")</f>
        <v/>
      </c>
      <c r="E314" s="31"/>
      <c r="F314" s="32"/>
      <c r="G314" s="32"/>
      <c r="H314" s="32"/>
      <c r="I314" s="32"/>
      <c r="J314" s="31"/>
      <c r="K314" s="33" t="str">
        <f aca="false">IF(E314&lt;&gt;"",E314,IF(U314,"Present",IF(C314="Holiday","Holiday","Weekend")))</f>
        <v>Present</v>
      </c>
      <c r="L314" s="34" t="n">
        <f aca="false">IF(OR(K314="Present",K314="Manual Work",K314="Partial Vacation",K314="Partial Sick Leave"),IF(ISNUMBER(F314),F314,IF(AND(K314="Present",U314),Settings!$B$6,"")),"")</f>
        <v>0.333333333333333</v>
      </c>
      <c r="M314" s="34" t="n">
        <f aca="false">IF(OR(K314="Present",K314="Manual Work",K314="Partial Vacation",K314="Partial Sick Leave"),IF(ISNUMBER(G314),G314,IF(AND(K314="Present",U314),V314,"")),"")</f>
        <v>0.6875</v>
      </c>
      <c r="N314" s="14" t="n">
        <f aca="false">IF(AND(ISNUMBER(L314),ISNUMBER(M314)),MAX(0,(M314-L314)*24),0)</f>
        <v>8.5</v>
      </c>
      <c r="O314" s="14" t="n">
        <f aca="false">IF(NOT(U314),0,IF(K314="Vacation",IF(C314="Eve",Settings!$B$9*Settings!$B$11,W314),IF(K314="Partial Vacation",IF(AND(ISNUMBER(H314),ISNUMBER(I314)),MAX(0,(I314-H314)*24),0),0)))</f>
        <v>0</v>
      </c>
      <c r="P314" s="14" t="n">
        <f aca="false">IF(NOT(U314),0,IF(K314="Sick Leave",W314,IF(K314="Partial Sick Leave",IF(AND(ISNUMBER(H314),ISNUMBER(I314)),MAX(0,(I314-H314)*24),0),0)))</f>
        <v>0</v>
      </c>
      <c r="Q314" s="14" t="n">
        <f aca="false">IF(NOT(U314),0,IF(K314="Vacation",IF(C314="Eve",Settings!$B$11,1),IF(K314="Partial Vacation",O314/Settings!$B$9,0)))</f>
        <v>0</v>
      </c>
      <c r="R314" s="14" t="n">
        <f aca="false">IF(NOT(U314),0,IF(K314="Sick Leave",1,IF(K314="Partial Sick Leave",P314/Settings!$B$9,0)))</f>
        <v>0</v>
      </c>
      <c r="S314" s="35" t="str">
        <f aca="false">IF(AND(OR(E314="Vacation",E314="Sick Leave",E314="Partial Vacation",E314="Partial Sick Leave"),NOT(U314)),"Leave not allowed on this day",IF(AND(E314="Manual Work",OR(NOT(ISNUMBER(F314)),NOT(ISNUMBER(G314)))),"Enter start and end",IF(AND(OR(E314="Partial Vacation",E314="Partial Sick Leave"),OR(NOT(ISNUMBER(H314)),NOT(ISNUMBER(I314)))),"Enter leave from and to",IF(AND(ISNUMBER(F314),ISNUMBER(G314),G314&lt;=F314),"End is before start",IF(AND(ISNUMBER(H314),ISNUMBER(I314),I314&lt;=H314),"Leave end is before start",IF(AND(ISNUMBER(F314),ISNUMBER(G314),ISNUMBER(H314),ISNUMBER(I314),F314&lt;I314,H314&lt;G314),"Work and leave hours overlap",IF(AND(E314&lt;&gt;"",WEEKDAY(A314)=7),"Saturday - administrator only","")))))))</f>
        <v/>
      </c>
      <c r="T314" s="36" t="n">
        <f aca="false">MONTH(A314)</f>
        <v>11</v>
      </c>
      <c r="U314" s="37" t="b">
        <f aca="false">OR(C314="Workday",C314="Eve")</f>
        <v>1</v>
      </c>
      <c r="V314" s="34" t="n">
        <f aca="false">IF(C314="Eve",Settings!$B$8,Settings!$B$7)</f>
        <v>0.6875</v>
      </c>
      <c r="W314" s="14" t="n">
        <f aca="false">IF(U314,(V314-Settings!$B$6)*24,0)</f>
        <v>8.5</v>
      </c>
    </row>
    <row r="315" customFormat="false" ht="15" hidden="false" customHeight="false" outlineLevel="0" collapsed="false">
      <c r="A315" s="29" t="n">
        <v>46331</v>
      </c>
      <c r="B315" s="30" t="str">
        <f aca="false">CHOOSE(WEEKDAY(A315),"Sun","Mon","Tue","Wed","Thu","Fri","Sat")</f>
        <v>Thu</v>
      </c>
      <c r="C315" s="30" t="str">
        <f aca="false">IF(IFERROR(INDEX(Holidays!$D$5:$D$60,MATCH(A315,Holidays!$A$5:$A$60,0)),"")="Holiday","Holiday",IF(WEEKDAY(A315)&gt;=6,"Weekend",IF(IFERROR(INDEX(Holidays!$D$5:$D$60,MATCH(A315,Holidays!$A$5:$A$60,0)),"")="Eve","Eve","Workday")))</f>
        <v>Workday</v>
      </c>
      <c r="D315" s="18" t="str">
        <f aca="false">IFERROR(INDEX(Holidays!$C$5:$C$60,MATCH(A315,Holidays!$A$5:$A$60,0)),"")</f>
        <v/>
      </c>
      <c r="E315" s="31"/>
      <c r="F315" s="32"/>
      <c r="G315" s="32"/>
      <c r="H315" s="32"/>
      <c r="I315" s="32"/>
      <c r="J315" s="31"/>
      <c r="K315" s="33" t="str">
        <f aca="false">IF(E315&lt;&gt;"",E315,IF(U315,"Present",IF(C315="Holiday","Holiday","Weekend")))</f>
        <v>Present</v>
      </c>
      <c r="L315" s="34" t="n">
        <f aca="false">IF(OR(K315="Present",K315="Manual Work",K315="Partial Vacation",K315="Partial Sick Leave"),IF(ISNUMBER(F315),F315,IF(AND(K315="Present",U315),Settings!$B$6,"")),"")</f>
        <v>0.333333333333333</v>
      </c>
      <c r="M315" s="34" t="n">
        <f aca="false">IF(OR(K315="Present",K315="Manual Work",K315="Partial Vacation",K315="Partial Sick Leave"),IF(ISNUMBER(G315),G315,IF(AND(K315="Present",U315),V315,"")),"")</f>
        <v>0.6875</v>
      </c>
      <c r="N315" s="14" t="n">
        <f aca="false">IF(AND(ISNUMBER(L315),ISNUMBER(M315)),MAX(0,(M315-L315)*24),0)</f>
        <v>8.5</v>
      </c>
      <c r="O315" s="14" t="n">
        <f aca="false">IF(NOT(U315),0,IF(K315="Vacation",IF(C315="Eve",Settings!$B$9*Settings!$B$11,W315),IF(K315="Partial Vacation",IF(AND(ISNUMBER(H315),ISNUMBER(I315)),MAX(0,(I315-H315)*24),0),0)))</f>
        <v>0</v>
      </c>
      <c r="P315" s="14" t="n">
        <f aca="false">IF(NOT(U315),0,IF(K315="Sick Leave",W315,IF(K315="Partial Sick Leave",IF(AND(ISNUMBER(H315),ISNUMBER(I315)),MAX(0,(I315-H315)*24),0),0)))</f>
        <v>0</v>
      </c>
      <c r="Q315" s="14" t="n">
        <f aca="false">IF(NOT(U315),0,IF(K315="Vacation",IF(C315="Eve",Settings!$B$11,1),IF(K315="Partial Vacation",O315/Settings!$B$9,0)))</f>
        <v>0</v>
      </c>
      <c r="R315" s="14" t="n">
        <f aca="false">IF(NOT(U315),0,IF(K315="Sick Leave",1,IF(K315="Partial Sick Leave",P315/Settings!$B$9,0)))</f>
        <v>0</v>
      </c>
      <c r="S315" s="35" t="str">
        <f aca="false">IF(AND(OR(E315="Vacation",E315="Sick Leave",E315="Partial Vacation",E315="Partial Sick Leave"),NOT(U315)),"Leave not allowed on this day",IF(AND(E315="Manual Work",OR(NOT(ISNUMBER(F315)),NOT(ISNUMBER(G315)))),"Enter start and end",IF(AND(OR(E315="Partial Vacation",E315="Partial Sick Leave"),OR(NOT(ISNUMBER(H315)),NOT(ISNUMBER(I315)))),"Enter leave from and to",IF(AND(ISNUMBER(F315),ISNUMBER(G315),G315&lt;=F315),"End is before start",IF(AND(ISNUMBER(H315),ISNUMBER(I315),I315&lt;=H315),"Leave end is before start",IF(AND(ISNUMBER(F315),ISNUMBER(G315),ISNUMBER(H315),ISNUMBER(I315),F315&lt;I315,H315&lt;G315),"Work and leave hours overlap",IF(AND(E315&lt;&gt;"",WEEKDAY(A315)=7),"Saturday - administrator only","")))))))</f>
        <v/>
      </c>
      <c r="T315" s="36" t="n">
        <f aca="false">MONTH(A315)</f>
        <v>11</v>
      </c>
      <c r="U315" s="37" t="b">
        <f aca="false">OR(C315="Workday",C315="Eve")</f>
        <v>1</v>
      </c>
      <c r="V315" s="34" t="n">
        <f aca="false">IF(C315="Eve",Settings!$B$8,Settings!$B$7)</f>
        <v>0.6875</v>
      </c>
      <c r="W315" s="14" t="n">
        <f aca="false">IF(U315,(V315-Settings!$B$6)*24,0)</f>
        <v>8.5</v>
      </c>
    </row>
    <row r="316" customFormat="false" ht="15" hidden="false" customHeight="false" outlineLevel="0" collapsed="false">
      <c r="A316" s="29" t="n">
        <v>46332</v>
      </c>
      <c r="B316" s="30" t="str">
        <f aca="false">CHOOSE(WEEKDAY(A316),"Sun","Mon","Tue","Wed","Thu","Fri","Sat")</f>
        <v>Fri</v>
      </c>
      <c r="C316" s="30" t="str">
        <f aca="false">IF(IFERROR(INDEX(Holidays!$D$5:$D$60,MATCH(A316,Holidays!$A$5:$A$60,0)),"")="Holiday","Holiday",IF(WEEKDAY(A316)&gt;=6,"Weekend",IF(IFERROR(INDEX(Holidays!$D$5:$D$60,MATCH(A316,Holidays!$A$5:$A$60,0)),"")="Eve","Eve","Workday")))</f>
        <v>Weekend</v>
      </c>
      <c r="D316" s="18" t="str">
        <f aca="false">IFERROR(INDEX(Holidays!$C$5:$C$60,MATCH(A316,Holidays!$A$5:$A$60,0)),"")</f>
        <v/>
      </c>
      <c r="E316" s="31"/>
      <c r="F316" s="32"/>
      <c r="G316" s="32"/>
      <c r="H316" s="32"/>
      <c r="I316" s="32"/>
      <c r="J316" s="31"/>
      <c r="K316" s="33" t="str">
        <f aca="false">IF(E316&lt;&gt;"",E316,IF(U316,"Present",IF(C316="Holiday","Holiday","Weekend")))</f>
        <v>Weekend</v>
      </c>
      <c r="L316" s="34" t="str">
        <f aca="false">IF(OR(K316="Present",K316="Manual Work",K316="Partial Vacation",K316="Partial Sick Leave"),IF(ISNUMBER(F316),F316,IF(AND(K316="Present",U316),Settings!$B$6,"")),"")</f>
        <v/>
      </c>
      <c r="M316" s="34" t="str">
        <f aca="false">IF(OR(K316="Present",K316="Manual Work",K316="Partial Vacation",K316="Partial Sick Leave"),IF(ISNUMBER(G316),G316,IF(AND(K316="Present",U316),V316,"")),"")</f>
        <v/>
      </c>
      <c r="N316" s="14" t="n">
        <f aca="false">IF(AND(ISNUMBER(L316),ISNUMBER(M316)),MAX(0,(M316-L316)*24),0)</f>
        <v>0</v>
      </c>
      <c r="O316" s="14" t="n">
        <f aca="false">IF(NOT(U316),0,IF(K316="Vacation",IF(C316="Eve",Settings!$B$9*Settings!$B$11,W316),IF(K316="Partial Vacation",IF(AND(ISNUMBER(H316),ISNUMBER(I316)),MAX(0,(I316-H316)*24),0),0)))</f>
        <v>0</v>
      </c>
      <c r="P316" s="14" t="n">
        <f aca="false">IF(NOT(U316),0,IF(K316="Sick Leave",W316,IF(K316="Partial Sick Leave",IF(AND(ISNUMBER(H316),ISNUMBER(I316)),MAX(0,(I316-H316)*24),0),0)))</f>
        <v>0</v>
      </c>
      <c r="Q316" s="14" t="n">
        <f aca="false">IF(NOT(U316),0,IF(K316="Vacation",IF(C316="Eve",Settings!$B$11,1),IF(K316="Partial Vacation",O316/Settings!$B$9,0)))</f>
        <v>0</v>
      </c>
      <c r="R316" s="14" t="n">
        <f aca="false">IF(NOT(U316),0,IF(K316="Sick Leave",1,IF(K316="Partial Sick Leave",P316/Settings!$B$9,0)))</f>
        <v>0</v>
      </c>
      <c r="S316" s="35" t="str">
        <f aca="false">IF(AND(OR(E316="Vacation",E316="Sick Leave",E316="Partial Vacation",E316="Partial Sick Leave"),NOT(U316)),"Leave not allowed on this day",IF(AND(E316="Manual Work",OR(NOT(ISNUMBER(F316)),NOT(ISNUMBER(G316)))),"Enter start and end",IF(AND(OR(E316="Partial Vacation",E316="Partial Sick Leave"),OR(NOT(ISNUMBER(H316)),NOT(ISNUMBER(I316)))),"Enter leave from and to",IF(AND(ISNUMBER(F316),ISNUMBER(G316),G316&lt;=F316),"End is before start",IF(AND(ISNUMBER(H316),ISNUMBER(I316),I316&lt;=H316),"Leave end is before start",IF(AND(ISNUMBER(F316),ISNUMBER(G316),ISNUMBER(H316),ISNUMBER(I316),F316&lt;I316,H316&lt;G316),"Work and leave hours overlap",IF(AND(E316&lt;&gt;"",WEEKDAY(A316)=7),"Saturday - administrator only","")))))))</f>
        <v/>
      </c>
      <c r="T316" s="36" t="n">
        <f aca="false">MONTH(A316)</f>
        <v>11</v>
      </c>
      <c r="U316" s="37" t="b">
        <f aca="false">OR(C316="Workday",C316="Eve")</f>
        <v>0</v>
      </c>
      <c r="V316" s="34" t="n">
        <f aca="false">IF(C316="Eve",Settings!$B$8,Settings!$B$7)</f>
        <v>0.6875</v>
      </c>
      <c r="W316" s="14" t="n">
        <f aca="false">IF(U316,(V316-Settings!$B$6)*24,0)</f>
        <v>0</v>
      </c>
    </row>
    <row r="317" customFormat="false" ht="15" hidden="false" customHeight="false" outlineLevel="0" collapsed="false">
      <c r="A317" s="29" t="n">
        <v>46333</v>
      </c>
      <c r="B317" s="30" t="str">
        <f aca="false">CHOOSE(WEEKDAY(A317),"Sun","Mon","Tue","Wed","Thu","Fri","Sat")</f>
        <v>Sat</v>
      </c>
      <c r="C317" s="30" t="str">
        <f aca="false">IF(IFERROR(INDEX(Holidays!$D$5:$D$60,MATCH(A317,Holidays!$A$5:$A$60,0)),"")="Holiday","Holiday",IF(WEEKDAY(A317)&gt;=6,"Weekend",IF(IFERROR(INDEX(Holidays!$D$5:$D$60,MATCH(A317,Holidays!$A$5:$A$60,0)),"")="Eve","Eve","Workday")))</f>
        <v>Weekend</v>
      </c>
      <c r="D317" s="18" t="str">
        <f aca="false">IFERROR(INDEX(Holidays!$C$5:$C$60,MATCH(A317,Holidays!$A$5:$A$60,0)),"")</f>
        <v/>
      </c>
      <c r="E317" s="31"/>
      <c r="F317" s="32"/>
      <c r="G317" s="32"/>
      <c r="H317" s="32"/>
      <c r="I317" s="32"/>
      <c r="J317" s="31"/>
      <c r="K317" s="33" t="str">
        <f aca="false">IF(E317&lt;&gt;"",E317,IF(U317,"Present",IF(C317="Holiday","Holiday","Weekend")))</f>
        <v>Weekend</v>
      </c>
      <c r="L317" s="34" t="str">
        <f aca="false">IF(OR(K317="Present",K317="Manual Work",K317="Partial Vacation",K317="Partial Sick Leave"),IF(ISNUMBER(F317),F317,IF(AND(K317="Present",U317),Settings!$B$6,"")),"")</f>
        <v/>
      </c>
      <c r="M317" s="34" t="str">
        <f aca="false">IF(OR(K317="Present",K317="Manual Work",K317="Partial Vacation",K317="Partial Sick Leave"),IF(ISNUMBER(G317),G317,IF(AND(K317="Present",U317),V317,"")),"")</f>
        <v/>
      </c>
      <c r="N317" s="14" t="n">
        <f aca="false">IF(AND(ISNUMBER(L317),ISNUMBER(M317)),MAX(0,(M317-L317)*24),0)</f>
        <v>0</v>
      </c>
      <c r="O317" s="14" t="n">
        <f aca="false">IF(NOT(U317),0,IF(K317="Vacation",IF(C317="Eve",Settings!$B$9*Settings!$B$11,W317),IF(K317="Partial Vacation",IF(AND(ISNUMBER(H317),ISNUMBER(I317)),MAX(0,(I317-H317)*24),0),0)))</f>
        <v>0</v>
      </c>
      <c r="P317" s="14" t="n">
        <f aca="false">IF(NOT(U317),0,IF(K317="Sick Leave",W317,IF(K317="Partial Sick Leave",IF(AND(ISNUMBER(H317),ISNUMBER(I317)),MAX(0,(I317-H317)*24),0),0)))</f>
        <v>0</v>
      </c>
      <c r="Q317" s="14" t="n">
        <f aca="false">IF(NOT(U317),0,IF(K317="Vacation",IF(C317="Eve",Settings!$B$11,1),IF(K317="Partial Vacation",O317/Settings!$B$9,0)))</f>
        <v>0</v>
      </c>
      <c r="R317" s="14" t="n">
        <f aca="false">IF(NOT(U317),0,IF(K317="Sick Leave",1,IF(K317="Partial Sick Leave",P317/Settings!$B$9,0)))</f>
        <v>0</v>
      </c>
      <c r="S317" s="35" t="str">
        <f aca="false">IF(AND(OR(E317="Vacation",E317="Sick Leave",E317="Partial Vacation",E317="Partial Sick Leave"),NOT(U317)),"Leave not allowed on this day",IF(AND(E317="Manual Work",OR(NOT(ISNUMBER(F317)),NOT(ISNUMBER(G317)))),"Enter start and end",IF(AND(OR(E317="Partial Vacation",E317="Partial Sick Leave"),OR(NOT(ISNUMBER(H317)),NOT(ISNUMBER(I317)))),"Enter leave from and to",IF(AND(ISNUMBER(F317),ISNUMBER(G317),G317&lt;=F317),"End is before start",IF(AND(ISNUMBER(H317),ISNUMBER(I317),I317&lt;=H317),"Leave end is before start",IF(AND(ISNUMBER(F317),ISNUMBER(G317),ISNUMBER(H317),ISNUMBER(I317),F317&lt;I317,H317&lt;G317),"Work and leave hours overlap",IF(AND(E317&lt;&gt;"",WEEKDAY(A317)=7),"Saturday - administrator only","")))))))</f>
        <v/>
      </c>
      <c r="T317" s="36" t="n">
        <f aca="false">MONTH(A317)</f>
        <v>11</v>
      </c>
      <c r="U317" s="37" t="b">
        <f aca="false">OR(C317="Workday",C317="Eve")</f>
        <v>0</v>
      </c>
      <c r="V317" s="34" t="n">
        <f aca="false">IF(C317="Eve",Settings!$B$8,Settings!$B$7)</f>
        <v>0.6875</v>
      </c>
      <c r="W317" s="14" t="n">
        <f aca="false">IF(U317,(V317-Settings!$B$6)*24,0)</f>
        <v>0</v>
      </c>
    </row>
    <row r="318" customFormat="false" ht="15" hidden="false" customHeight="false" outlineLevel="0" collapsed="false">
      <c r="A318" s="29" t="n">
        <v>46334</v>
      </c>
      <c r="B318" s="30" t="str">
        <f aca="false">CHOOSE(WEEKDAY(A318),"Sun","Mon","Tue","Wed","Thu","Fri","Sat")</f>
        <v>Sun</v>
      </c>
      <c r="C318" s="30" t="str">
        <f aca="false">IF(IFERROR(INDEX(Holidays!$D$5:$D$60,MATCH(A318,Holidays!$A$5:$A$60,0)),"")="Holiday","Holiday",IF(WEEKDAY(A318)&gt;=6,"Weekend",IF(IFERROR(INDEX(Holidays!$D$5:$D$60,MATCH(A318,Holidays!$A$5:$A$60,0)),"")="Eve","Eve","Workday")))</f>
        <v>Workday</v>
      </c>
      <c r="D318" s="18" t="str">
        <f aca="false">IFERROR(INDEX(Holidays!$C$5:$C$60,MATCH(A318,Holidays!$A$5:$A$60,0)),"")</f>
        <v/>
      </c>
      <c r="E318" s="31"/>
      <c r="F318" s="32"/>
      <c r="G318" s="32"/>
      <c r="H318" s="32"/>
      <c r="I318" s="32"/>
      <c r="J318" s="31"/>
      <c r="K318" s="33" t="str">
        <f aca="false">IF(E318&lt;&gt;"",E318,IF(U318,"Present",IF(C318="Holiday","Holiday","Weekend")))</f>
        <v>Present</v>
      </c>
      <c r="L318" s="34" t="n">
        <f aca="false">IF(OR(K318="Present",K318="Manual Work",K318="Partial Vacation",K318="Partial Sick Leave"),IF(ISNUMBER(F318),F318,IF(AND(K318="Present",U318),Settings!$B$6,"")),"")</f>
        <v>0.333333333333333</v>
      </c>
      <c r="M318" s="34" t="n">
        <f aca="false">IF(OR(K318="Present",K318="Manual Work",K318="Partial Vacation",K318="Partial Sick Leave"),IF(ISNUMBER(G318),G318,IF(AND(K318="Present",U318),V318,"")),"")</f>
        <v>0.6875</v>
      </c>
      <c r="N318" s="14" t="n">
        <f aca="false">IF(AND(ISNUMBER(L318),ISNUMBER(M318)),MAX(0,(M318-L318)*24),0)</f>
        <v>8.5</v>
      </c>
      <c r="O318" s="14" t="n">
        <f aca="false">IF(NOT(U318),0,IF(K318="Vacation",IF(C318="Eve",Settings!$B$9*Settings!$B$11,W318),IF(K318="Partial Vacation",IF(AND(ISNUMBER(H318),ISNUMBER(I318)),MAX(0,(I318-H318)*24),0),0)))</f>
        <v>0</v>
      </c>
      <c r="P318" s="14" t="n">
        <f aca="false">IF(NOT(U318),0,IF(K318="Sick Leave",W318,IF(K318="Partial Sick Leave",IF(AND(ISNUMBER(H318),ISNUMBER(I318)),MAX(0,(I318-H318)*24),0),0)))</f>
        <v>0</v>
      </c>
      <c r="Q318" s="14" t="n">
        <f aca="false">IF(NOT(U318),0,IF(K318="Vacation",IF(C318="Eve",Settings!$B$11,1),IF(K318="Partial Vacation",O318/Settings!$B$9,0)))</f>
        <v>0</v>
      </c>
      <c r="R318" s="14" t="n">
        <f aca="false">IF(NOT(U318),0,IF(K318="Sick Leave",1,IF(K318="Partial Sick Leave",P318/Settings!$B$9,0)))</f>
        <v>0</v>
      </c>
      <c r="S318" s="35" t="str">
        <f aca="false">IF(AND(OR(E318="Vacation",E318="Sick Leave",E318="Partial Vacation",E318="Partial Sick Leave"),NOT(U318)),"Leave not allowed on this day",IF(AND(E318="Manual Work",OR(NOT(ISNUMBER(F318)),NOT(ISNUMBER(G318)))),"Enter start and end",IF(AND(OR(E318="Partial Vacation",E318="Partial Sick Leave"),OR(NOT(ISNUMBER(H318)),NOT(ISNUMBER(I318)))),"Enter leave from and to",IF(AND(ISNUMBER(F318),ISNUMBER(G318),G318&lt;=F318),"End is before start",IF(AND(ISNUMBER(H318),ISNUMBER(I318),I318&lt;=H318),"Leave end is before start",IF(AND(ISNUMBER(F318),ISNUMBER(G318),ISNUMBER(H318),ISNUMBER(I318),F318&lt;I318,H318&lt;G318),"Work and leave hours overlap",IF(AND(E318&lt;&gt;"",WEEKDAY(A318)=7),"Saturday - administrator only","")))))))</f>
        <v/>
      </c>
      <c r="T318" s="36" t="n">
        <f aca="false">MONTH(A318)</f>
        <v>11</v>
      </c>
      <c r="U318" s="37" t="b">
        <f aca="false">OR(C318="Workday",C318="Eve")</f>
        <v>1</v>
      </c>
      <c r="V318" s="34" t="n">
        <f aca="false">IF(C318="Eve",Settings!$B$8,Settings!$B$7)</f>
        <v>0.6875</v>
      </c>
      <c r="W318" s="14" t="n">
        <f aca="false">IF(U318,(V318-Settings!$B$6)*24,0)</f>
        <v>8.5</v>
      </c>
    </row>
    <row r="319" customFormat="false" ht="15" hidden="false" customHeight="false" outlineLevel="0" collapsed="false">
      <c r="A319" s="29" t="n">
        <v>46335</v>
      </c>
      <c r="B319" s="30" t="str">
        <f aca="false">CHOOSE(WEEKDAY(A319),"Sun","Mon","Tue","Wed","Thu","Fri","Sat")</f>
        <v>Mon</v>
      </c>
      <c r="C319" s="30" t="str">
        <f aca="false">IF(IFERROR(INDEX(Holidays!$D$5:$D$60,MATCH(A319,Holidays!$A$5:$A$60,0)),"")="Holiday","Holiday",IF(WEEKDAY(A319)&gt;=6,"Weekend",IF(IFERROR(INDEX(Holidays!$D$5:$D$60,MATCH(A319,Holidays!$A$5:$A$60,0)),"")="Eve","Eve","Workday")))</f>
        <v>Workday</v>
      </c>
      <c r="D319" s="18" t="str">
        <f aca="false">IFERROR(INDEX(Holidays!$C$5:$C$60,MATCH(A319,Holidays!$A$5:$A$60,0)),"")</f>
        <v/>
      </c>
      <c r="E319" s="31"/>
      <c r="F319" s="32"/>
      <c r="G319" s="32"/>
      <c r="H319" s="32"/>
      <c r="I319" s="32"/>
      <c r="J319" s="31"/>
      <c r="K319" s="33" t="str">
        <f aca="false">IF(E319&lt;&gt;"",E319,IF(U319,"Present",IF(C319="Holiday","Holiday","Weekend")))</f>
        <v>Present</v>
      </c>
      <c r="L319" s="34" t="n">
        <f aca="false">IF(OR(K319="Present",K319="Manual Work",K319="Partial Vacation",K319="Partial Sick Leave"),IF(ISNUMBER(F319),F319,IF(AND(K319="Present",U319),Settings!$B$6,"")),"")</f>
        <v>0.333333333333333</v>
      </c>
      <c r="M319" s="34" t="n">
        <f aca="false">IF(OR(K319="Present",K319="Manual Work",K319="Partial Vacation",K319="Partial Sick Leave"),IF(ISNUMBER(G319),G319,IF(AND(K319="Present",U319),V319,"")),"")</f>
        <v>0.6875</v>
      </c>
      <c r="N319" s="14" t="n">
        <f aca="false">IF(AND(ISNUMBER(L319),ISNUMBER(M319)),MAX(0,(M319-L319)*24),0)</f>
        <v>8.5</v>
      </c>
      <c r="O319" s="14" t="n">
        <f aca="false">IF(NOT(U319),0,IF(K319="Vacation",IF(C319="Eve",Settings!$B$9*Settings!$B$11,W319),IF(K319="Partial Vacation",IF(AND(ISNUMBER(H319),ISNUMBER(I319)),MAX(0,(I319-H319)*24),0),0)))</f>
        <v>0</v>
      </c>
      <c r="P319" s="14" t="n">
        <f aca="false">IF(NOT(U319),0,IF(K319="Sick Leave",W319,IF(K319="Partial Sick Leave",IF(AND(ISNUMBER(H319),ISNUMBER(I319)),MAX(0,(I319-H319)*24),0),0)))</f>
        <v>0</v>
      </c>
      <c r="Q319" s="14" t="n">
        <f aca="false">IF(NOT(U319),0,IF(K319="Vacation",IF(C319="Eve",Settings!$B$11,1),IF(K319="Partial Vacation",O319/Settings!$B$9,0)))</f>
        <v>0</v>
      </c>
      <c r="R319" s="14" t="n">
        <f aca="false">IF(NOT(U319),0,IF(K319="Sick Leave",1,IF(K319="Partial Sick Leave",P319/Settings!$B$9,0)))</f>
        <v>0</v>
      </c>
      <c r="S319" s="35" t="str">
        <f aca="false">IF(AND(OR(E319="Vacation",E319="Sick Leave",E319="Partial Vacation",E319="Partial Sick Leave"),NOT(U319)),"Leave not allowed on this day",IF(AND(E319="Manual Work",OR(NOT(ISNUMBER(F319)),NOT(ISNUMBER(G319)))),"Enter start and end",IF(AND(OR(E319="Partial Vacation",E319="Partial Sick Leave"),OR(NOT(ISNUMBER(H319)),NOT(ISNUMBER(I319)))),"Enter leave from and to",IF(AND(ISNUMBER(F319),ISNUMBER(G319),G319&lt;=F319),"End is before start",IF(AND(ISNUMBER(H319),ISNUMBER(I319),I319&lt;=H319),"Leave end is before start",IF(AND(ISNUMBER(F319),ISNUMBER(G319),ISNUMBER(H319),ISNUMBER(I319),F319&lt;I319,H319&lt;G319),"Work and leave hours overlap",IF(AND(E319&lt;&gt;"",WEEKDAY(A319)=7),"Saturday - administrator only","")))))))</f>
        <v/>
      </c>
      <c r="T319" s="36" t="n">
        <f aca="false">MONTH(A319)</f>
        <v>11</v>
      </c>
      <c r="U319" s="37" t="b">
        <f aca="false">OR(C319="Workday",C319="Eve")</f>
        <v>1</v>
      </c>
      <c r="V319" s="34" t="n">
        <f aca="false">IF(C319="Eve",Settings!$B$8,Settings!$B$7)</f>
        <v>0.6875</v>
      </c>
      <c r="W319" s="14" t="n">
        <f aca="false">IF(U319,(V319-Settings!$B$6)*24,0)</f>
        <v>8.5</v>
      </c>
    </row>
    <row r="320" customFormat="false" ht="15" hidden="false" customHeight="false" outlineLevel="0" collapsed="false">
      <c r="A320" s="29" t="n">
        <v>46336</v>
      </c>
      <c r="B320" s="30" t="str">
        <f aca="false">CHOOSE(WEEKDAY(A320),"Sun","Mon","Tue","Wed","Thu","Fri","Sat")</f>
        <v>Tue</v>
      </c>
      <c r="C320" s="30" t="str">
        <f aca="false">IF(IFERROR(INDEX(Holidays!$D$5:$D$60,MATCH(A320,Holidays!$A$5:$A$60,0)),"")="Holiday","Holiday",IF(WEEKDAY(A320)&gt;=6,"Weekend",IF(IFERROR(INDEX(Holidays!$D$5:$D$60,MATCH(A320,Holidays!$A$5:$A$60,0)),"")="Eve","Eve","Workday")))</f>
        <v>Workday</v>
      </c>
      <c r="D320" s="18" t="str">
        <f aca="false">IFERROR(INDEX(Holidays!$C$5:$C$60,MATCH(A320,Holidays!$A$5:$A$60,0)),"")</f>
        <v/>
      </c>
      <c r="E320" s="31"/>
      <c r="F320" s="32"/>
      <c r="G320" s="32"/>
      <c r="H320" s="32"/>
      <c r="I320" s="32"/>
      <c r="J320" s="31"/>
      <c r="K320" s="33" t="str">
        <f aca="false">IF(E320&lt;&gt;"",E320,IF(U320,"Present",IF(C320="Holiday","Holiday","Weekend")))</f>
        <v>Present</v>
      </c>
      <c r="L320" s="34" t="n">
        <f aca="false">IF(OR(K320="Present",K320="Manual Work",K320="Partial Vacation",K320="Partial Sick Leave"),IF(ISNUMBER(F320),F320,IF(AND(K320="Present",U320),Settings!$B$6,"")),"")</f>
        <v>0.333333333333333</v>
      </c>
      <c r="M320" s="34" t="n">
        <f aca="false">IF(OR(K320="Present",K320="Manual Work",K320="Partial Vacation",K320="Partial Sick Leave"),IF(ISNUMBER(G320),G320,IF(AND(K320="Present",U320),V320,"")),"")</f>
        <v>0.6875</v>
      </c>
      <c r="N320" s="14" t="n">
        <f aca="false">IF(AND(ISNUMBER(L320),ISNUMBER(M320)),MAX(0,(M320-L320)*24),0)</f>
        <v>8.5</v>
      </c>
      <c r="O320" s="14" t="n">
        <f aca="false">IF(NOT(U320),0,IF(K320="Vacation",IF(C320="Eve",Settings!$B$9*Settings!$B$11,W320),IF(K320="Partial Vacation",IF(AND(ISNUMBER(H320),ISNUMBER(I320)),MAX(0,(I320-H320)*24),0),0)))</f>
        <v>0</v>
      </c>
      <c r="P320" s="14" t="n">
        <f aca="false">IF(NOT(U320),0,IF(K320="Sick Leave",W320,IF(K320="Partial Sick Leave",IF(AND(ISNUMBER(H320),ISNUMBER(I320)),MAX(0,(I320-H320)*24),0),0)))</f>
        <v>0</v>
      </c>
      <c r="Q320" s="14" t="n">
        <f aca="false">IF(NOT(U320),0,IF(K320="Vacation",IF(C320="Eve",Settings!$B$11,1),IF(K320="Partial Vacation",O320/Settings!$B$9,0)))</f>
        <v>0</v>
      </c>
      <c r="R320" s="14" t="n">
        <f aca="false">IF(NOT(U320),0,IF(K320="Sick Leave",1,IF(K320="Partial Sick Leave",P320/Settings!$B$9,0)))</f>
        <v>0</v>
      </c>
      <c r="S320" s="35" t="str">
        <f aca="false">IF(AND(OR(E320="Vacation",E320="Sick Leave",E320="Partial Vacation",E320="Partial Sick Leave"),NOT(U320)),"Leave not allowed on this day",IF(AND(E320="Manual Work",OR(NOT(ISNUMBER(F320)),NOT(ISNUMBER(G320)))),"Enter start and end",IF(AND(OR(E320="Partial Vacation",E320="Partial Sick Leave"),OR(NOT(ISNUMBER(H320)),NOT(ISNUMBER(I320)))),"Enter leave from and to",IF(AND(ISNUMBER(F320),ISNUMBER(G320),G320&lt;=F320),"End is before start",IF(AND(ISNUMBER(H320),ISNUMBER(I320),I320&lt;=H320),"Leave end is before start",IF(AND(ISNUMBER(F320),ISNUMBER(G320),ISNUMBER(H320),ISNUMBER(I320),F320&lt;I320,H320&lt;G320),"Work and leave hours overlap",IF(AND(E320&lt;&gt;"",WEEKDAY(A320)=7),"Saturday - administrator only","")))))))</f>
        <v/>
      </c>
      <c r="T320" s="36" t="n">
        <f aca="false">MONTH(A320)</f>
        <v>11</v>
      </c>
      <c r="U320" s="37" t="b">
        <f aca="false">OR(C320="Workday",C320="Eve")</f>
        <v>1</v>
      </c>
      <c r="V320" s="34" t="n">
        <f aca="false">IF(C320="Eve",Settings!$B$8,Settings!$B$7)</f>
        <v>0.6875</v>
      </c>
      <c r="W320" s="14" t="n">
        <f aca="false">IF(U320,(V320-Settings!$B$6)*24,0)</f>
        <v>8.5</v>
      </c>
    </row>
    <row r="321" customFormat="false" ht="15" hidden="false" customHeight="false" outlineLevel="0" collapsed="false">
      <c r="A321" s="29" t="n">
        <v>46337</v>
      </c>
      <c r="B321" s="30" t="str">
        <f aca="false">CHOOSE(WEEKDAY(A321),"Sun","Mon","Tue","Wed","Thu","Fri","Sat")</f>
        <v>Wed</v>
      </c>
      <c r="C321" s="30" t="str">
        <f aca="false">IF(IFERROR(INDEX(Holidays!$D$5:$D$60,MATCH(A321,Holidays!$A$5:$A$60,0)),"")="Holiday","Holiday",IF(WEEKDAY(A321)&gt;=6,"Weekend",IF(IFERROR(INDEX(Holidays!$D$5:$D$60,MATCH(A321,Holidays!$A$5:$A$60,0)),"")="Eve","Eve","Workday")))</f>
        <v>Workday</v>
      </c>
      <c r="D321" s="18" t="str">
        <f aca="false">IFERROR(INDEX(Holidays!$C$5:$C$60,MATCH(A321,Holidays!$A$5:$A$60,0)),"")</f>
        <v/>
      </c>
      <c r="E321" s="31"/>
      <c r="F321" s="32"/>
      <c r="G321" s="32"/>
      <c r="H321" s="32"/>
      <c r="I321" s="32"/>
      <c r="J321" s="31"/>
      <c r="K321" s="33" t="str">
        <f aca="false">IF(E321&lt;&gt;"",E321,IF(U321,"Present",IF(C321="Holiday","Holiday","Weekend")))</f>
        <v>Present</v>
      </c>
      <c r="L321" s="34" t="n">
        <f aca="false">IF(OR(K321="Present",K321="Manual Work",K321="Partial Vacation",K321="Partial Sick Leave"),IF(ISNUMBER(F321),F321,IF(AND(K321="Present",U321),Settings!$B$6,"")),"")</f>
        <v>0.333333333333333</v>
      </c>
      <c r="M321" s="34" t="n">
        <f aca="false">IF(OR(K321="Present",K321="Manual Work",K321="Partial Vacation",K321="Partial Sick Leave"),IF(ISNUMBER(G321),G321,IF(AND(K321="Present",U321),V321,"")),"")</f>
        <v>0.6875</v>
      </c>
      <c r="N321" s="14" t="n">
        <f aca="false">IF(AND(ISNUMBER(L321),ISNUMBER(M321)),MAX(0,(M321-L321)*24),0)</f>
        <v>8.5</v>
      </c>
      <c r="O321" s="14" t="n">
        <f aca="false">IF(NOT(U321),0,IF(K321="Vacation",IF(C321="Eve",Settings!$B$9*Settings!$B$11,W321),IF(K321="Partial Vacation",IF(AND(ISNUMBER(H321),ISNUMBER(I321)),MAX(0,(I321-H321)*24),0),0)))</f>
        <v>0</v>
      </c>
      <c r="P321" s="14" t="n">
        <f aca="false">IF(NOT(U321),0,IF(K321="Sick Leave",W321,IF(K321="Partial Sick Leave",IF(AND(ISNUMBER(H321),ISNUMBER(I321)),MAX(0,(I321-H321)*24),0),0)))</f>
        <v>0</v>
      </c>
      <c r="Q321" s="14" t="n">
        <f aca="false">IF(NOT(U321),0,IF(K321="Vacation",IF(C321="Eve",Settings!$B$11,1),IF(K321="Partial Vacation",O321/Settings!$B$9,0)))</f>
        <v>0</v>
      </c>
      <c r="R321" s="14" t="n">
        <f aca="false">IF(NOT(U321),0,IF(K321="Sick Leave",1,IF(K321="Partial Sick Leave",P321/Settings!$B$9,0)))</f>
        <v>0</v>
      </c>
      <c r="S321" s="35" t="str">
        <f aca="false">IF(AND(OR(E321="Vacation",E321="Sick Leave",E321="Partial Vacation",E321="Partial Sick Leave"),NOT(U321)),"Leave not allowed on this day",IF(AND(E321="Manual Work",OR(NOT(ISNUMBER(F321)),NOT(ISNUMBER(G321)))),"Enter start and end",IF(AND(OR(E321="Partial Vacation",E321="Partial Sick Leave"),OR(NOT(ISNUMBER(H321)),NOT(ISNUMBER(I321)))),"Enter leave from and to",IF(AND(ISNUMBER(F321),ISNUMBER(G321),G321&lt;=F321),"End is before start",IF(AND(ISNUMBER(H321),ISNUMBER(I321),I321&lt;=H321),"Leave end is before start",IF(AND(ISNUMBER(F321),ISNUMBER(G321),ISNUMBER(H321),ISNUMBER(I321),F321&lt;I321,H321&lt;G321),"Work and leave hours overlap",IF(AND(E321&lt;&gt;"",WEEKDAY(A321)=7),"Saturday - administrator only","")))))))</f>
        <v/>
      </c>
      <c r="T321" s="36" t="n">
        <f aca="false">MONTH(A321)</f>
        <v>11</v>
      </c>
      <c r="U321" s="37" t="b">
        <f aca="false">OR(C321="Workday",C321="Eve")</f>
        <v>1</v>
      </c>
      <c r="V321" s="34" t="n">
        <f aca="false">IF(C321="Eve",Settings!$B$8,Settings!$B$7)</f>
        <v>0.6875</v>
      </c>
      <c r="W321" s="14" t="n">
        <f aca="false">IF(U321,(V321-Settings!$B$6)*24,0)</f>
        <v>8.5</v>
      </c>
    </row>
    <row r="322" customFormat="false" ht="15" hidden="false" customHeight="false" outlineLevel="0" collapsed="false">
      <c r="A322" s="29" t="n">
        <v>46338</v>
      </c>
      <c r="B322" s="30" t="str">
        <f aca="false">CHOOSE(WEEKDAY(A322),"Sun","Mon","Tue","Wed","Thu","Fri","Sat")</f>
        <v>Thu</v>
      </c>
      <c r="C322" s="30" t="str">
        <f aca="false">IF(IFERROR(INDEX(Holidays!$D$5:$D$60,MATCH(A322,Holidays!$A$5:$A$60,0)),"")="Holiday","Holiday",IF(WEEKDAY(A322)&gt;=6,"Weekend",IF(IFERROR(INDEX(Holidays!$D$5:$D$60,MATCH(A322,Holidays!$A$5:$A$60,0)),"")="Eve","Eve","Workday")))</f>
        <v>Workday</v>
      </c>
      <c r="D322" s="18" t="str">
        <f aca="false">IFERROR(INDEX(Holidays!$C$5:$C$60,MATCH(A322,Holidays!$A$5:$A$60,0)),"")</f>
        <v/>
      </c>
      <c r="E322" s="31"/>
      <c r="F322" s="32"/>
      <c r="G322" s="32"/>
      <c r="H322" s="32"/>
      <c r="I322" s="32"/>
      <c r="J322" s="31"/>
      <c r="K322" s="33" t="str">
        <f aca="false">IF(E322&lt;&gt;"",E322,IF(U322,"Present",IF(C322="Holiday","Holiday","Weekend")))</f>
        <v>Present</v>
      </c>
      <c r="L322" s="34" t="n">
        <f aca="false">IF(OR(K322="Present",K322="Manual Work",K322="Partial Vacation",K322="Partial Sick Leave"),IF(ISNUMBER(F322),F322,IF(AND(K322="Present",U322),Settings!$B$6,"")),"")</f>
        <v>0.333333333333333</v>
      </c>
      <c r="M322" s="34" t="n">
        <f aca="false">IF(OR(K322="Present",K322="Manual Work",K322="Partial Vacation",K322="Partial Sick Leave"),IF(ISNUMBER(G322),G322,IF(AND(K322="Present",U322),V322,"")),"")</f>
        <v>0.6875</v>
      </c>
      <c r="N322" s="14" t="n">
        <f aca="false">IF(AND(ISNUMBER(L322),ISNUMBER(M322)),MAX(0,(M322-L322)*24),0)</f>
        <v>8.5</v>
      </c>
      <c r="O322" s="14" t="n">
        <f aca="false">IF(NOT(U322),0,IF(K322="Vacation",IF(C322="Eve",Settings!$B$9*Settings!$B$11,W322),IF(K322="Partial Vacation",IF(AND(ISNUMBER(H322),ISNUMBER(I322)),MAX(0,(I322-H322)*24),0),0)))</f>
        <v>0</v>
      </c>
      <c r="P322" s="14" t="n">
        <f aca="false">IF(NOT(U322),0,IF(K322="Sick Leave",W322,IF(K322="Partial Sick Leave",IF(AND(ISNUMBER(H322),ISNUMBER(I322)),MAX(0,(I322-H322)*24),0),0)))</f>
        <v>0</v>
      </c>
      <c r="Q322" s="14" t="n">
        <f aca="false">IF(NOT(U322),0,IF(K322="Vacation",IF(C322="Eve",Settings!$B$11,1),IF(K322="Partial Vacation",O322/Settings!$B$9,0)))</f>
        <v>0</v>
      </c>
      <c r="R322" s="14" t="n">
        <f aca="false">IF(NOT(U322),0,IF(K322="Sick Leave",1,IF(K322="Partial Sick Leave",P322/Settings!$B$9,0)))</f>
        <v>0</v>
      </c>
      <c r="S322" s="35" t="str">
        <f aca="false">IF(AND(OR(E322="Vacation",E322="Sick Leave",E322="Partial Vacation",E322="Partial Sick Leave"),NOT(U322)),"Leave not allowed on this day",IF(AND(E322="Manual Work",OR(NOT(ISNUMBER(F322)),NOT(ISNUMBER(G322)))),"Enter start and end",IF(AND(OR(E322="Partial Vacation",E322="Partial Sick Leave"),OR(NOT(ISNUMBER(H322)),NOT(ISNUMBER(I322)))),"Enter leave from and to",IF(AND(ISNUMBER(F322),ISNUMBER(G322),G322&lt;=F322),"End is before start",IF(AND(ISNUMBER(H322),ISNUMBER(I322),I322&lt;=H322),"Leave end is before start",IF(AND(ISNUMBER(F322),ISNUMBER(G322),ISNUMBER(H322),ISNUMBER(I322),F322&lt;I322,H322&lt;G322),"Work and leave hours overlap",IF(AND(E322&lt;&gt;"",WEEKDAY(A322)=7),"Saturday - administrator only","")))))))</f>
        <v/>
      </c>
      <c r="T322" s="36" t="n">
        <f aca="false">MONTH(A322)</f>
        <v>11</v>
      </c>
      <c r="U322" s="37" t="b">
        <f aca="false">OR(C322="Workday",C322="Eve")</f>
        <v>1</v>
      </c>
      <c r="V322" s="34" t="n">
        <f aca="false">IF(C322="Eve",Settings!$B$8,Settings!$B$7)</f>
        <v>0.6875</v>
      </c>
      <c r="W322" s="14" t="n">
        <f aca="false">IF(U322,(V322-Settings!$B$6)*24,0)</f>
        <v>8.5</v>
      </c>
    </row>
    <row r="323" customFormat="false" ht="15" hidden="false" customHeight="false" outlineLevel="0" collapsed="false">
      <c r="A323" s="29" t="n">
        <v>46339</v>
      </c>
      <c r="B323" s="30" t="str">
        <f aca="false">CHOOSE(WEEKDAY(A323),"Sun","Mon","Tue","Wed","Thu","Fri","Sat")</f>
        <v>Fri</v>
      </c>
      <c r="C323" s="30" t="str">
        <f aca="false">IF(IFERROR(INDEX(Holidays!$D$5:$D$60,MATCH(A323,Holidays!$A$5:$A$60,0)),"")="Holiday","Holiday",IF(WEEKDAY(A323)&gt;=6,"Weekend",IF(IFERROR(INDEX(Holidays!$D$5:$D$60,MATCH(A323,Holidays!$A$5:$A$60,0)),"")="Eve","Eve","Workday")))</f>
        <v>Weekend</v>
      </c>
      <c r="D323" s="18" t="str">
        <f aca="false">IFERROR(INDEX(Holidays!$C$5:$C$60,MATCH(A323,Holidays!$A$5:$A$60,0)),"")</f>
        <v/>
      </c>
      <c r="E323" s="31"/>
      <c r="F323" s="32"/>
      <c r="G323" s="32"/>
      <c r="H323" s="32"/>
      <c r="I323" s="32"/>
      <c r="J323" s="31"/>
      <c r="K323" s="33" t="str">
        <f aca="false">IF(E323&lt;&gt;"",E323,IF(U323,"Present",IF(C323="Holiday","Holiday","Weekend")))</f>
        <v>Weekend</v>
      </c>
      <c r="L323" s="34" t="str">
        <f aca="false">IF(OR(K323="Present",K323="Manual Work",K323="Partial Vacation",K323="Partial Sick Leave"),IF(ISNUMBER(F323),F323,IF(AND(K323="Present",U323),Settings!$B$6,"")),"")</f>
        <v/>
      </c>
      <c r="M323" s="34" t="str">
        <f aca="false">IF(OR(K323="Present",K323="Manual Work",K323="Partial Vacation",K323="Partial Sick Leave"),IF(ISNUMBER(G323),G323,IF(AND(K323="Present",U323),V323,"")),"")</f>
        <v/>
      </c>
      <c r="N323" s="14" t="n">
        <f aca="false">IF(AND(ISNUMBER(L323),ISNUMBER(M323)),MAX(0,(M323-L323)*24),0)</f>
        <v>0</v>
      </c>
      <c r="O323" s="14" t="n">
        <f aca="false">IF(NOT(U323),0,IF(K323="Vacation",IF(C323="Eve",Settings!$B$9*Settings!$B$11,W323),IF(K323="Partial Vacation",IF(AND(ISNUMBER(H323),ISNUMBER(I323)),MAX(0,(I323-H323)*24),0),0)))</f>
        <v>0</v>
      </c>
      <c r="P323" s="14" t="n">
        <f aca="false">IF(NOT(U323),0,IF(K323="Sick Leave",W323,IF(K323="Partial Sick Leave",IF(AND(ISNUMBER(H323),ISNUMBER(I323)),MAX(0,(I323-H323)*24),0),0)))</f>
        <v>0</v>
      </c>
      <c r="Q323" s="14" t="n">
        <f aca="false">IF(NOT(U323),0,IF(K323="Vacation",IF(C323="Eve",Settings!$B$11,1),IF(K323="Partial Vacation",O323/Settings!$B$9,0)))</f>
        <v>0</v>
      </c>
      <c r="R323" s="14" t="n">
        <f aca="false">IF(NOT(U323),0,IF(K323="Sick Leave",1,IF(K323="Partial Sick Leave",P323/Settings!$B$9,0)))</f>
        <v>0</v>
      </c>
      <c r="S323" s="35" t="str">
        <f aca="false">IF(AND(OR(E323="Vacation",E323="Sick Leave",E323="Partial Vacation",E323="Partial Sick Leave"),NOT(U323)),"Leave not allowed on this day",IF(AND(E323="Manual Work",OR(NOT(ISNUMBER(F323)),NOT(ISNUMBER(G323)))),"Enter start and end",IF(AND(OR(E323="Partial Vacation",E323="Partial Sick Leave"),OR(NOT(ISNUMBER(H323)),NOT(ISNUMBER(I323)))),"Enter leave from and to",IF(AND(ISNUMBER(F323),ISNUMBER(G323),G323&lt;=F323),"End is before start",IF(AND(ISNUMBER(H323),ISNUMBER(I323),I323&lt;=H323),"Leave end is before start",IF(AND(ISNUMBER(F323),ISNUMBER(G323),ISNUMBER(H323),ISNUMBER(I323),F323&lt;I323,H323&lt;G323),"Work and leave hours overlap",IF(AND(E323&lt;&gt;"",WEEKDAY(A323)=7),"Saturday - administrator only","")))))))</f>
        <v/>
      </c>
      <c r="T323" s="36" t="n">
        <f aca="false">MONTH(A323)</f>
        <v>11</v>
      </c>
      <c r="U323" s="37" t="b">
        <f aca="false">OR(C323="Workday",C323="Eve")</f>
        <v>0</v>
      </c>
      <c r="V323" s="34" t="n">
        <f aca="false">IF(C323="Eve",Settings!$B$8,Settings!$B$7)</f>
        <v>0.6875</v>
      </c>
      <c r="W323" s="14" t="n">
        <f aca="false">IF(U323,(V323-Settings!$B$6)*24,0)</f>
        <v>0</v>
      </c>
    </row>
    <row r="324" customFormat="false" ht="15" hidden="false" customHeight="false" outlineLevel="0" collapsed="false">
      <c r="A324" s="29" t="n">
        <v>46340</v>
      </c>
      <c r="B324" s="30" t="str">
        <f aca="false">CHOOSE(WEEKDAY(A324),"Sun","Mon","Tue","Wed","Thu","Fri","Sat")</f>
        <v>Sat</v>
      </c>
      <c r="C324" s="30" t="str">
        <f aca="false">IF(IFERROR(INDEX(Holidays!$D$5:$D$60,MATCH(A324,Holidays!$A$5:$A$60,0)),"")="Holiday","Holiday",IF(WEEKDAY(A324)&gt;=6,"Weekend",IF(IFERROR(INDEX(Holidays!$D$5:$D$60,MATCH(A324,Holidays!$A$5:$A$60,0)),"")="Eve","Eve","Workday")))</f>
        <v>Weekend</v>
      </c>
      <c r="D324" s="18" t="str">
        <f aca="false">IFERROR(INDEX(Holidays!$C$5:$C$60,MATCH(A324,Holidays!$A$5:$A$60,0)),"")</f>
        <v/>
      </c>
      <c r="E324" s="31"/>
      <c r="F324" s="32"/>
      <c r="G324" s="32"/>
      <c r="H324" s="32"/>
      <c r="I324" s="32"/>
      <c r="J324" s="31"/>
      <c r="K324" s="33" t="str">
        <f aca="false">IF(E324&lt;&gt;"",E324,IF(U324,"Present",IF(C324="Holiday","Holiday","Weekend")))</f>
        <v>Weekend</v>
      </c>
      <c r="L324" s="34" t="str">
        <f aca="false">IF(OR(K324="Present",K324="Manual Work",K324="Partial Vacation",K324="Partial Sick Leave"),IF(ISNUMBER(F324),F324,IF(AND(K324="Present",U324),Settings!$B$6,"")),"")</f>
        <v/>
      </c>
      <c r="M324" s="34" t="str">
        <f aca="false">IF(OR(K324="Present",K324="Manual Work",K324="Partial Vacation",K324="Partial Sick Leave"),IF(ISNUMBER(G324),G324,IF(AND(K324="Present",U324),V324,"")),"")</f>
        <v/>
      </c>
      <c r="N324" s="14" t="n">
        <f aca="false">IF(AND(ISNUMBER(L324),ISNUMBER(M324)),MAX(0,(M324-L324)*24),0)</f>
        <v>0</v>
      </c>
      <c r="O324" s="14" t="n">
        <f aca="false">IF(NOT(U324),0,IF(K324="Vacation",IF(C324="Eve",Settings!$B$9*Settings!$B$11,W324),IF(K324="Partial Vacation",IF(AND(ISNUMBER(H324),ISNUMBER(I324)),MAX(0,(I324-H324)*24),0),0)))</f>
        <v>0</v>
      </c>
      <c r="P324" s="14" t="n">
        <f aca="false">IF(NOT(U324),0,IF(K324="Sick Leave",W324,IF(K324="Partial Sick Leave",IF(AND(ISNUMBER(H324),ISNUMBER(I324)),MAX(0,(I324-H324)*24),0),0)))</f>
        <v>0</v>
      </c>
      <c r="Q324" s="14" t="n">
        <f aca="false">IF(NOT(U324),0,IF(K324="Vacation",IF(C324="Eve",Settings!$B$11,1),IF(K324="Partial Vacation",O324/Settings!$B$9,0)))</f>
        <v>0</v>
      </c>
      <c r="R324" s="14" t="n">
        <f aca="false">IF(NOT(U324),0,IF(K324="Sick Leave",1,IF(K324="Partial Sick Leave",P324/Settings!$B$9,0)))</f>
        <v>0</v>
      </c>
      <c r="S324" s="35" t="str">
        <f aca="false">IF(AND(OR(E324="Vacation",E324="Sick Leave",E324="Partial Vacation",E324="Partial Sick Leave"),NOT(U324)),"Leave not allowed on this day",IF(AND(E324="Manual Work",OR(NOT(ISNUMBER(F324)),NOT(ISNUMBER(G324)))),"Enter start and end",IF(AND(OR(E324="Partial Vacation",E324="Partial Sick Leave"),OR(NOT(ISNUMBER(H324)),NOT(ISNUMBER(I324)))),"Enter leave from and to",IF(AND(ISNUMBER(F324),ISNUMBER(G324),G324&lt;=F324),"End is before start",IF(AND(ISNUMBER(H324),ISNUMBER(I324),I324&lt;=H324),"Leave end is before start",IF(AND(ISNUMBER(F324),ISNUMBER(G324),ISNUMBER(H324),ISNUMBER(I324),F324&lt;I324,H324&lt;G324),"Work and leave hours overlap",IF(AND(E324&lt;&gt;"",WEEKDAY(A324)=7),"Saturday - administrator only","")))))))</f>
        <v/>
      </c>
      <c r="T324" s="36" t="n">
        <f aca="false">MONTH(A324)</f>
        <v>11</v>
      </c>
      <c r="U324" s="37" t="b">
        <f aca="false">OR(C324="Workday",C324="Eve")</f>
        <v>0</v>
      </c>
      <c r="V324" s="34" t="n">
        <f aca="false">IF(C324="Eve",Settings!$B$8,Settings!$B$7)</f>
        <v>0.6875</v>
      </c>
      <c r="W324" s="14" t="n">
        <f aca="false">IF(U324,(V324-Settings!$B$6)*24,0)</f>
        <v>0</v>
      </c>
    </row>
    <row r="325" customFormat="false" ht="15" hidden="false" customHeight="false" outlineLevel="0" collapsed="false">
      <c r="A325" s="29" t="n">
        <v>46341</v>
      </c>
      <c r="B325" s="30" t="str">
        <f aca="false">CHOOSE(WEEKDAY(A325),"Sun","Mon","Tue","Wed","Thu","Fri","Sat")</f>
        <v>Sun</v>
      </c>
      <c r="C325" s="30" t="str">
        <f aca="false">IF(IFERROR(INDEX(Holidays!$D$5:$D$60,MATCH(A325,Holidays!$A$5:$A$60,0)),"")="Holiday","Holiday",IF(WEEKDAY(A325)&gt;=6,"Weekend",IF(IFERROR(INDEX(Holidays!$D$5:$D$60,MATCH(A325,Holidays!$A$5:$A$60,0)),"")="Eve","Eve","Workday")))</f>
        <v>Workday</v>
      </c>
      <c r="D325" s="18" t="str">
        <f aca="false">IFERROR(INDEX(Holidays!$C$5:$C$60,MATCH(A325,Holidays!$A$5:$A$60,0)),"")</f>
        <v/>
      </c>
      <c r="E325" s="31"/>
      <c r="F325" s="32"/>
      <c r="G325" s="32"/>
      <c r="H325" s="32"/>
      <c r="I325" s="32"/>
      <c r="J325" s="31"/>
      <c r="K325" s="33" t="str">
        <f aca="false">IF(E325&lt;&gt;"",E325,IF(U325,"Present",IF(C325="Holiday","Holiday","Weekend")))</f>
        <v>Present</v>
      </c>
      <c r="L325" s="34" t="n">
        <f aca="false">IF(OR(K325="Present",K325="Manual Work",K325="Partial Vacation",K325="Partial Sick Leave"),IF(ISNUMBER(F325),F325,IF(AND(K325="Present",U325),Settings!$B$6,"")),"")</f>
        <v>0.333333333333333</v>
      </c>
      <c r="M325" s="34" t="n">
        <f aca="false">IF(OR(K325="Present",K325="Manual Work",K325="Partial Vacation",K325="Partial Sick Leave"),IF(ISNUMBER(G325),G325,IF(AND(K325="Present",U325),V325,"")),"")</f>
        <v>0.6875</v>
      </c>
      <c r="N325" s="14" t="n">
        <f aca="false">IF(AND(ISNUMBER(L325),ISNUMBER(M325)),MAX(0,(M325-L325)*24),0)</f>
        <v>8.5</v>
      </c>
      <c r="O325" s="14" t="n">
        <f aca="false">IF(NOT(U325),0,IF(K325="Vacation",IF(C325="Eve",Settings!$B$9*Settings!$B$11,W325),IF(K325="Partial Vacation",IF(AND(ISNUMBER(H325),ISNUMBER(I325)),MAX(0,(I325-H325)*24),0),0)))</f>
        <v>0</v>
      </c>
      <c r="P325" s="14" t="n">
        <f aca="false">IF(NOT(U325),0,IF(K325="Sick Leave",W325,IF(K325="Partial Sick Leave",IF(AND(ISNUMBER(H325),ISNUMBER(I325)),MAX(0,(I325-H325)*24),0),0)))</f>
        <v>0</v>
      </c>
      <c r="Q325" s="14" t="n">
        <f aca="false">IF(NOT(U325),0,IF(K325="Vacation",IF(C325="Eve",Settings!$B$11,1),IF(K325="Partial Vacation",O325/Settings!$B$9,0)))</f>
        <v>0</v>
      </c>
      <c r="R325" s="14" t="n">
        <f aca="false">IF(NOT(U325),0,IF(K325="Sick Leave",1,IF(K325="Partial Sick Leave",P325/Settings!$B$9,0)))</f>
        <v>0</v>
      </c>
      <c r="S325" s="35" t="str">
        <f aca="false">IF(AND(OR(E325="Vacation",E325="Sick Leave",E325="Partial Vacation",E325="Partial Sick Leave"),NOT(U325)),"Leave not allowed on this day",IF(AND(E325="Manual Work",OR(NOT(ISNUMBER(F325)),NOT(ISNUMBER(G325)))),"Enter start and end",IF(AND(OR(E325="Partial Vacation",E325="Partial Sick Leave"),OR(NOT(ISNUMBER(H325)),NOT(ISNUMBER(I325)))),"Enter leave from and to",IF(AND(ISNUMBER(F325),ISNUMBER(G325),G325&lt;=F325),"End is before start",IF(AND(ISNUMBER(H325),ISNUMBER(I325),I325&lt;=H325),"Leave end is before start",IF(AND(ISNUMBER(F325),ISNUMBER(G325),ISNUMBER(H325),ISNUMBER(I325),F325&lt;I325,H325&lt;G325),"Work and leave hours overlap",IF(AND(E325&lt;&gt;"",WEEKDAY(A325)=7),"Saturday - administrator only","")))))))</f>
        <v/>
      </c>
      <c r="T325" s="36" t="n">
        <f aca="false">MONTH(A325)</f>
        <v>11</v>
      </c>
      <c r="U325" s="37" t="b">
        <f aca="false">OR(C325="Workday",C325="Eve")</f>
        <v>1</v>
      </c>
      <c r="V325" s="34" t="n">
        <f aca="false">IF(C325="Eve",Settings!$B$8,Settings!$B$7)</f>
        <v>0.6875</v>
      </c>
      <c r="W325" s="14" t="n">
        <f aca="false">IF(U325,(V325-Settings!$B$6)*24,0)</f>
        <v>8.5</v>
      </c>
    </row>
    <row r="326" customFormat="false" ht="15" hidden="false" customHeight="false" outlineLevel="0" collapsed="false">
      <c r="A326" s="29" t="n">
        <v>46342</v>
      </c>
      <c r="B326" s="30" t="str">
        <f aca="false">CHOOSE(WEEKDAY(A326),"Sun","Mon","Tue","Wed","Thu","Fri","Sat")</f>
        <v>Mon</v>
      </c>
      <c r="C326" s="30" t="str">
        <f aca="false">IF(IFERROR(INDEX(Holidays!$D$5:$D$60,MATCH(A326,Holidays!$A$5:$A$60,0)),"")="Holiday","Holiday",IF(WEEKDAY(A326)&gt;=6,"Weekend",IF(IFERROR(INDEX(Holidays!$D$5:$D$60,MATCH(A326,Holidays!$A$5:$A$60,0)),"")="Eve","Eve","Workday")))</f>
        <v>Workday</v>
      </c>
      <c r="D326" s="18" t="str">
        <f aca="false">IFERROR(INDEX(Holidays!$C$5:$C$60,MATCH(A326,Holidays!$A$5:$A$60,0)),"")</f>
        <v/>
      </c>
      <c r="E326" s="31"/>
      <c r="F326" s="32"/>
      <c r="G326" s="32"/>
      <c r="H326" s="32"/>
      <c r="I326" s="32"/>
      <c r="J326" s="31"/>
      <c r="K326" s="33" t="str">
        <f aca="false">IF(E326&lt;&gt;"",E326,IF(U326,"Present",IF(C326="Holiday","Holiday","Weekend")))</f>
        <v>Present</v>
      </c>
      <c r="L326" s="34" t="n">
        <f aca="false">IF(OR(K326="Present",K326="Manual Work",K326="Partial Vacation",K326="Partial Sick Leave"),IF(ISNUMBER(F326),F326,IF(AND(K326="Present",U326),Settings!$B$6,"")),"")</f>
        <v>0.333333333333333</v>
      </c>
      <c r="M326" s="34" t="n">
        <f aca="false">IF(OR(K326="Present",K326="Manual Work",K326="Partial Vacation",K326="Partial Sick Leave"),IF(ISNUMBER(G326),G326,IF(AND(K326="Present",U326),V326,"")),"")</f>
        <v>0.6875</v>
      </c>
      <c r="N326" s="14" t="n">
        <f aca="false">IF(AND(ISNUMBER(L326),ISNUMBER(M326)),MAX(0,(M326-L326)*24),0)</f>
        <v>8.5</v>
      </c>
      <c r="O326" s="14" t="n">
        <f aca="false">IF(NOT(U326),0,IF(K326="Vacation",IF(C326="Eve",Settings!$B$9*Settings!$B$11,W326),IF(K326="Partial Vacation",IF(AND(ISNUMBER(H326),ISNUMBER(I326)),MAX(0,(I326-H326)*24),0),0)))</f>
        <v>0</v>
      </c>
      <c r="P326" s="14" t="n">
        <f aca="false">IF(NOT(U326),0,IF(K326="Sick Leave",W326,IF(K326="Partial Sick Leave",IF(AND(ISNUMBER(H326),ISNUMBER(I326)),MAX(0,(I326-H326)*24),0),0)))</f>
        <v>0</v>
      </c>
      <c r="Q326" s="14" t="n">
        <f aca="false">IF(NOT(U326),0,IF(K326="Vacation",IF(C326="Eve",Settings!$B$11,1),IF(K326="Partial Vacation",O326/Settings!$B$9,0)))</f>
        <v>0</v>
      </c>
      <c r="R326" s="14" t="n">
        <f aca="false">IF(NOT(U326),0,IF(K326="Sick Leave",1,IF(K326="Partial Sick Leave",P326/Settings!$B$9,0)))</f>
        <v>0</v>
      </c>
      <c r="S326" s="35" t="str">
        <f aca="false">IF(AND(OR(E326="Vacation",E326="Sick Leave",E326="Partial Vacation",E326="Partial Sick Leave"),NOT(U326)),"Leave not allowed on this day",IF(AND(E326="Manual Work",OR(NOT(ISNUMBER(F326)),NOT(ISNUMBER(G326)))),"Enter start and end",IF(AND(OR(E326="Partial Vacation",E326="Partial Sick Leave"),OR(NOT(ISNUMBER(H326)),NOT(ISNUMBER(I326)))),"Enter leave from and to",IF(AND(ISNUMBER(F326),ISNUMBER(G326),G326&lt;=F326),"End is before start",IF(AND(ISNUMBER(H326),ISNUMBER(I326),I326&lt;=H326),"Leave end is before start",IF(AND(ISNUMBER(F326),ISNUMBER(G326),ISNUMBER(H326),ISNUMBER(I326),F326&lt;I326,H326&lt;G326),"Work and leave hours overlap",IF(AND(E326&lt;&gt;"",WEEKDAY(A326)=7),"Saturday - administrator only","")))))))</f>
        <v/>
      </c>
      <c r="T326" s="36" t="n">
        <f aca="false">MONTH(A326)</f>
        <v>11</v>
      </c>
      <c r="U326" s="37" t="b">
        <f aca="false">OR(C326="Workday",C326="Eve")</f>
        <v>1</v>
      </c>
      <c r="V326" s="34" t="n">
        <f aca="false">IF(C326="Eve",Settings!$B$8,Settings!$B$7)</f>
        <v>0.6875</v>
      </c>
      <c r="W326" s="14" t="n">
        <f aca="false">IF(U326,(V326-Settings!$B$6)*24,0)</f>
        <v>8.5</v>
      </c>
    </row>
    <row r="327" customFormat="false" ht="15" hidden="false" customHeight="false" outlineLevel="0" collapsed="false">
      <c r="A327" s="29" t="n">
        <v>46343</v>
      </c>
      <c r="B327" s="30" t="str">
        <f aca="false">CHOOSE(WEEKDAY(A327),"Sun","Mon","Tue","Wed","Thu","Fri","Sat")</f>
        <v>Tue</v>
      </c>
      <c r="C327" s="30" t="str">
        <f aca="false">IF(IFERROR(INDEX(Holidays!$D$5:$D$60,MATCH(A327,Holidays!$A$5:$A$60,0)),"")="Holiday","Holiday",IF(WEEKDAY(A327)&gt;=6,"Weekend",IF(IFERROR(INDEX(Holidays!$D$5:$D$60,MATCH(A327,Holidays!$A$5:$A$60,0)),"")="Eve","Eve","Workday")))</f>
        <v>Workday</v>
      </c>
      <c r="D327" s="18" t="str">
        <f aca="false">IFERROR(INDEX(Holidays!$C$5:$C$60,MATCH(A327,Holidays!$A$5:$A$60,0)),"")</f>
        <v/>
      </c>
      <c r="E327" s="31"/>
      <c r="F327" s="32"/>
      <c r="G327" s="32"/>
      <c r="H327" s="32"/>
      <c r="I327" s="32"/>
      <c r="J327" s="31"/>
      <c r="K327" s="33" t="str">
        <f aca="false">IF(E327&lt;&gt;"",E327,IF(U327,"Present",IF(C327="Holiday","Holiday","Weekend")))</f>
        <v>Present</v>
      </c>
      <c r="L327" s="34" t="n">
        <f aca="false">IF(OR(K327="Present",K327="Manual Work",K327="Partial Vacation",K327="Partial Sick Leave"),IF(ISNUMBER(F327),F327,IF(AND(K327="Present",U327),Settings!$B$6,"")),"")</f>
        <v>0.333333333333333</v>
      </c>
      <c r="M327" s="34" t="n">
        <f aca="false">IF(OR(K327="Present",K327="Manual Work",K327="Partial Vacation",K327="Partial Sick Leave"),IF(ISNUMBER(G327),G327,IF(AND(K327="Present",U327),V327,"")),"")</f>
        <v>0.6875</v>
      </c>
      <c r="N327" s="14" t="n">
        <f aca="false">IF(AND(ISNUMBER(L327),ISNUMBER(M327)),MAX(0,(M327-L327)*24),0)</f>
        <v>8.5</v>
      </c>
      <c r="O327" s="14" t="n">
        <f aca="false">IF(NOT(U327),0,IF(K327="Vacation",IF(C327="Eve",Settings!$B$9*Settings!$B$11,W327),IF(K327="Partial Vacation",IF(AND(ISNUMBER(H327),ISNUMBER(I327)),MAX(0,(I327-H327)*24),0),0)))</f>
        <v>0</v>
      </c>
      <c r="P327" s="14" t="n">
        <f aca="false">IF(NOT(U327),0,IF(K327="Sick Leave",W327,IF(K327="Partial Sick Leave",IF(AND(ISNUMBER(H327),ISNUMBER(I327)),MAX(0,(I327-H327)*24),0),0)))</f>
        <v>0</v>
      </c>
      <c r="Q327" s="14" t="n">
        <f aca="false">IF(NOT(U327),0,IF(K327="Vacation",IF(C327="Eve",Settings!$B$11,1),IF(K327="Partial Vacation",O327/Settings!$B$9,0)))</f>
        <v>0</v>
      </c>
      <c r="R327" s="14" t="n">
        <f aca="false">IF(NOT(U327),0,IF(K327="Sick Leave",1,IF(K327="Partial Sick Leave",P327/Settings!$B$9,0)))</f>
        <v>0</v>
      </c>
      <c r="S327" s="35" t="str">
        <f aca="false">IF(AND(OR(E327="Vacation",E327="Sick Leave",E327="Partial Vacation",E327="Partial Sick Leave"),NOT(U327)),"Leave not allowed on this day",IF(AND(E327="Manual Work",OR(NOT(ISNUMBER(F327)),NOT(ISNUMBER(G327)))),"Enter start and end",IF(AND(OR(E327="Partial Vacation",E327="Partial Sick Leave"),OR(NOT(ISNUMBER(H327)),NOT(ISNUMBER(I327)))),"Enter leave from and to",IF(AND(ISNUMBER(F327),ISNUMBER(G327),G327&lt;=F327),"End is before start",IF(AND(ISNUMBER(H327),ISNUMBER(I327),I327&lt;=H327),"Leave end is before start",IF(AND(ISNUMBER(F327),ISNUMBER(G327),ISNUMBER(H327),ISNUMBER(I327),F327&lt;I327,H327&lt;G327),"Work and leave hours overlap",IF(AND(E327&lt;&gt;"",WEEKDAY(A327)=7),"Saturday - administrator only","")))))))</f>
        <v/>
      </c>
      <c r="T327" s="36" t="n">
        <f aca="false">MONTH(A327)</f>
        <v>11</v>
      </c>
      <c r="U327" s="37" t="b">
        <f aca="false">OR(C327="Workday",C327="Eve")</f>
        <v>1</v>
      </c>
      <c r="V327" s="34" t="n">
        <f aca="false">IF(C327="Eve",Settings!$B$8,Settings!$B$7)</f>
        <v>0.6875</v>
      </c>
      <c r="W327" s="14" t="n">
        <f aca="false">IF(U327,(V327-Settings!$B$6)*24,0)</f>
        <v>8.5</v>
      </c>
    </row>
    <row r="328" customFormat="false" ht="15" hidden="false" customHeight="false" outlineLevel="0" collapsed="false">
      <c r="A328" s="29" t="n">
        <v>46344</v>
      </c>
      <c r="B328" s="30" t="str">
        <f aca="false">CHOOSE(WEEKDAY(A328),"Sun","Mon","Tue","Wed","Thu","Fri","Sat")</f>
        <v>Wed</v>
      </c>
      <c r="C328" s="30" t="str">
        <f aca="false">IF(IFERROR(INDEX(Holidays!$D$5:$D$60,MATCH(A328,Holidays!$A$5:$A$60,0)),"")="Holiday","Holiday",IF(WEEKDAY(A328)&gt;=6,"Weekend",IF(IFERROR(INDEX(Holidays!$D$5:$D$60,MATCH(A328,Holidays!$A$5:$A$60,0)),"")="Eve","Eve","Workday")))</f>
        <v>Workday</v>
      </c>
      <c r="D328" s="18" t="str">
        <f aca="false">IFERROR(INDEX(Holidays!$C$5:$C$60,MATCH(A328,Holidays!$A$5:$A$60,0)),"")</f>
        <v/>
      </c>
      <c r="E328" s="31"/>
      <c r="F328" s="32"/>
      <c r="G328" s="32"/>
      <c r="H328" s="32"/>
      <c r="I328" s="32"/>
      <c r="J328" s="31"/>
      <c r="K328" s="33" t="str">
        <f aca="false">IF(E328&lt;&gt;"",E328,IF(U328,"Present",IF(C328="Holiday","Holiday","Weekend")))</f>
        <v>Present</v>
      </c>
      <c r="L328" s="34" t="n">
        <f aca="false">IF(OR(K328="Present",K328="Manual Work",K328="Partial Vacation",K328="Partial Sick Leave"),IF(ISNUMBER(F328),F328,IF(AND(K328="Present",U328),Settings!$B$6,"")),"")</f>
        <v>0.333333333333333</v>
      </c>
      <c r="M328" s="34" t="n">
        <f aca="false">IF(OR(K328="Present",K328="Manual Work",K328="Partial Vacation",K328="Partial Sick Leave"),IF(ISNUMBER(G328),G328,IF(AND(K328="Present",U328),V328,"")),"")</f>
        <v>0.6875</v>
      </c>
      <c r="N328" s="14" t="n">
        <f aca="false">IF(AND(ISNUMBER(L328),ISNUMBER(M328)),MAX(0,(M328-L328)*24),0)</f>
        <v>8.5</v>
      </c>
      <c r="O328" s="14" t="n">
        <f aca="false">IF(NOT(U328),0,IF(K328="Vacation",IF(C328="Eve",Settings!$B$9*Settings!$B$11,W328),IF(K328="Partial Vacation",IF(AND(ISNUMBER(H328),ISNUMBER(I328)),MAX(0,(I328-H328)*24),0),0)))</f>
        <v>0</v>
      </c>
      <c r="P328" s="14" t="n">
        <f aca="false">IF(NOT(U328),0,IF(K328="Sick Leave",W328,IF(K328="Partial Sick Leave",IF(AND(ISNUMBER(H328),ISNUMBER(I328)),MAX(0,(I328-H328)*24),0),0)))</f>
        <v>0</v>
      </c>
      <c r="Q328" s="14" t="n">
        <f aca="false">IF(NOT(U328),0,IF(K328="Vacation",IF(C328="Eve",Settings!$B$11,1),IF(K328="Partial Vacation",O328/Settings!$B$9,0)))</f>
        <v>0</v>
      </c>
      <c r="R328" s="14" t="n">
        <f aca="false">IF(NOT(U328),0,IF(K328="Sick Leave",1,IF(K328="Partial Sick Leave",P328/Settings!$B$9,0)))</f>
        <v>0</v>
      </c>
      <c r="S328" s="35" t="str">
        <f aca="false">IF(AND(OR(E328="Vacation",E328="Sick Leave",E328="Partial Vacation",E328="Partial Sick Leave"),NOT(U328)),"Leave not allowed on this day",IF(AND(E328="Manual Work",OR(NOT(ISNUMBER(F328)),NOT(ISNUMBER(G328)))),"Enter start and end",IF(AND(OR(E328="Partial Vacation",E328="Partial Sick Leave"),OR(NOT(ISNUMBER(H328)),NOT(ISNUMBER(I328)))),"Enter leave from and to",IF(AND(ISNUMBER(F328),ISNUMBER(G328),G328&lt;=F328),"End is before start",IF(AND(ISNUMBER(H328),ISNUMBER(I328),I328&lt;=H328),"Leave end is before start",IF(AND(ISNUMBER(F328),ISNUMBER(G328),ISNUMBER(H328),ISNUMBER(I328),F328&lt;I328,H328&lt;G328),"Work and leave hours overlap",IF(AND(E328&lt;&gt;"",WEEKDAY(A328)=7),"Saturday - administrator only","")))))))</f>
        <v/>
      </c>
      <c r="T328" s="36" t="n">
        <f aca="false">MONTH(A328)</f>
        <v>11</v>
      </c>
      <c r="U328" s="37" t="b">
        <f aca="false">OR(C328="Workday",C328="Eve")</f>
        <v>1</v>
      </c>
      <c r="V328" s="34" t="n">
        <f aca="false">IF(C328="Eve",Settings!$B$8,Settings!$B$7)</f>
        <v>0.6875</v>
      </c>
      <c r="W328" s="14" t="n">
        <f aca="false">IF(U328,(V328-Settings!$B$6)*24,0)</f>
        <v>8.5</v>
      </c>
    </row>
    <row r="329" customFormat="false" ht="15" hidden="false" customHeight="false" outlineLevel="0" collapsed="false">
      <c r="A329" s="29" t="n">
        <v>46345</v>
      </c>
      <c r="B329" s="30" t="str">
        <f aca="false">CHOOSE(WEEKDAY(A329),"Sun","Mon","Tue","Wed","Thu","Fri","Sat")</f>
        <v>Thu</v>
      </c>
      <c r="C329" s="30" t="str">
        <f aca="false">IF(IFERROR(INDEX(Holidays!$D$5:$D$60,MATCH(A329,Holidays!$A$5:$A$60,0)),"")="Holiday","Holiday",IF(WEEKDAY(A329)&gt;=6,"Weekend",IF(IFERROR(INDEX(Holidays!$D$5:$D$60,MATCH(A329,Holidays!$A$5:$A$60,0)),"")="Eve","Eve","Workday")))</f>
        <v>Workday</v>
      </c>
      <c r="D329" s="18" t="str">
        <f aca="false">IFERROR(INDEX(Holidays!$C$5:$C$60,MATCH(A329,Holidays!$A$5:$A$60,0)),"")</f>
        <v/>
      </c>
      <c r="E329" s="31"/>
      <c r="F329" s="32"/>
      <c r="G329" s="32"/>
      <c r="H329" s="32"/>
      <c r="I329" s="32"/>
      <c r="J329" s="31"/>
      <c r="K329" s="33" t="str">
        <f aca="false">IF(E329&lt;&gt;"",E329,IF(U329,"Present",IF(C329="Holiday","Holiday","Weekend")))</f>
        <v>Present</v>
      </c>
      <c r="L329" s="34" t="n">
        <f aca="false">IF(OR(K329="Present",K329="Manual Work",K329="Partial Vacation",K329="Partial Sick Leave"),IF(ISNUMBER(F329),F329,IF(AND(K329="Present",U329),Settings!$B$6,"")),"")</f>
        <v>0.333333333333333</v>
      </c>
      <c r="M329" s="34" t="n">
        <f aca="false">IF(OR(K329="Present",K329="Manual Work",K329="Partial Vacation",K329="Partial Sick Leave"),IF(ISNUMBER(G329),G329,IF(AND(K329="Present",U329),V329,"")),"")</f>
        <v>0.6875</v>
      </c>
      <c r="N329" s="14" t="n">
        <f aca="false">IF(AND(ISNUMBER(L329),ISNUMBER(M329)),MAX(0,(M329-L329)*24),0)</f>
        <v>8.5</v>
      </c>
      <c r="O329" s="14" t="n">
        <f aca="false">IF(NOT(U329),0,IF(K329="Vacation",IF(C329="Eve",Settings!$B$9*Settings!$B$11,W329),IF(K329="Partial Vacation",IF(AND(ISNUMBER(H329),ISNUMBER(I329)),MAX(0,(I329-H329)*24),0),0)))</f>
        <v>0</v>
      </c>
      <c r="P329" s="14" t="n">
        <f aca="false">IF(NOT(U329),0,IF(K329="Sick Leave",W329,IF(K329="Partial Sick Leave",IF(AND(ISNUMBER(H329),ISNUMBER(I329)),MAX(0,(I329-H329)*24),0),0)))</f>
        <v>0</v>
      </c>
      <c r="Q329" s="14" t="n">
        <f aca="false">IF(NOT(U329),0,IF(K329="Vacation",IF(C329="Eve",Settings!$B$11,1),IF(K329="Partial Vacation",O329/Settings!$B$9,0)))</f>
        <v>0</v>
      </c>
      <c r="R329" s="14" t="n">
        <f aca="false">IF(NOT(U329),0,IF(K329="Sick Leave",1,IF(K329="Partial Sick Leave",P329/Settings!$B$9,0)))</f>
        <v>0</v>
      </c>
      <c r="S329" s="35" t="str">
        <f aca="false">IF(AND(OR(E329="Vacation",E329="Sick Leave",E329="Partial Vacation",E329="Partial Sick Leave"),NOT(U329)),"Leave not allowed on this day",IF(AND(E329="Manual Work",OR(NOT(ISNUMBER(F329)),NOT(ISNUMBER(G329)))),"Enter start and end",IF(AND(OR(E329="Partial Vacation",E329="Partial Sick Leave"),OR(NOT(ISNUMBER(H329)),NOT(ISNUMBER(I329)))),"Enter leave from and to",IF(AND(ISNUMBER(F329),ISNUMBER(G329),G329&lt;=F329),"End is before start",IF(AND(ISNUMBER(H329),ISNUMBER(I329),I329&lt;=H329),"Leave end is before start",IF(AND(ISNUMBER(F329),ISNUMBER(G329),ISNUMBER(H329),ISNUMBER(I329),F329&lt;I329,H329&lt;G329),"Work and leave hours overlap",IF(AND(E329&lt;&gt;"",WEEKDAY(A329)=7),"Saturday - administrator only","")))))))</f>
        <v/>
      </c>
      <c r="T329" s="36" t="n">
        <f aca="false">MONTH(A329)</f>
        <v>11</v>
      </c>
      <c r="U329" s="37" t="b">
        <f aca="false">OR(C329="Workday",C329="Eve")</f>
        <v>1</v>
      </c>
      <c r="V329" s="34" t="n">
        <f aca="false">IF(C329="Eve",Settings!$B$8,Settings!$B$7)</f>
        <v>0.6875</v>
      </c>
      <c r="W329" s="14" t="n">
        <f aca="false">IF(U329,(V329-Settings!$B$6)*24,0)</f>
        <v>8.5</v>
      </c>
    </row>
    <row r="330" customFormat="false" ht="15" hidden="false" customHeight="false" outlineLevel="0" collapsed="false">
      <c r="A330" s="29" t="n">
        <v>46346</v>
      </c>
      <c r="B330" s="30" t="str">
        <f aca="false">CHOOSE(WEEKDAY(A330),"Sun","Mon","Tue","Wed","Thu","Fri","Sat")</f>
        <v>Fri</v>
      </c>
      <c r="C330" s="30" t="str">
        <f aca="false">IF(IFERROR(INDEX(Holidays!$D$5:$D$60,MATCH(A330,Holidays!$A$5:$A$60,0)),"")="Holiday","Holiday",IF(WEEKDAY(A330)&gt;=6,"Weekend",IF(IFERROR(INDEX(Holidays!$D$5:$D$60,MATCH(A330,Holidays!$A$5:$A$60,0)),"")="Eve","Eve","Workday")))</f>
        <v>Weekend</v>
      </c>
      <c r="D330" s="18" t="str">
        <f aca="false">IFERROR(INDEX(Holidays!$C$5:$C$60,MATCH(A330,Holidays!$A$5:$A$60,0)),"")</f>
        <v/>
      </c>
      <c r="E330" s="31"/>
      <c r="F330" s="32"/>
      <c r="G330" s="32"/>
      <c r="H330" s="32"/>
      <c r="I330" s="32"/>
      <c r="J330" s="31"/>
      <c r="K330" s="33" t="str">
        <f aca="false">IF(E330&lt;&gt;"",E330,IF(U330,"Present",IF(C330="Holiday","Holiday","Weekend")))</f>
        <v>Weekend</v>
      </c>
      <c r="L330" s="34" t="str">
        <f aca="false">IF(OR(K330="Present",K330="Manual Work",K330="Partial Vacation",K330="Partial Sick Leave"),IF(ISNUMBER(F330),F330,IF(AND(K330="Present",U330),Settings!$B$6,"")),"")</f>
        <v/>
      </c>
      <c r="M330" s="34" t="str">
        <f aca="false">IF(OR(K330="Present",K330="Manual Work",K330="Partial Vacation",K330="Partial Sick Leave"),IF(ISNUMBER(G330),G330,IF(AND(K330="Present",U330),V330,"")),"")</f>
        <v/>
      </c>
      <c r="N330" s="14" t="n">
        <f aca="false">IF(AND(ISNUMBER(L330),ISNUMBER(M330)),MAX(0,(M330-L330)*24),0)</f>
        <v>0</v>
      </c>
      <c r="O330" s="14" t="n">
        <f aca="false">IF(NOT(U330),0,IF(K330="Vacation",IF(C330="Eve",Settings!$B$9*Settings!$B$11,W330),IF(K330="Partial Vacation",IF(AND(ISNUMBER(H330),ISNUMBER(I330)),MAX(0,(I330-H330)*24),0),0)))</f>
        <v>0</v>
      </c>
      <c r="P330" s="14" t="n">
        <f aca="false">IF(NOT(U330),0,IF(K330="Sick Leave",W330,IF(K330="Partial Sick Leave",IF(AND(ISNUMBER(H330),ISNUMBER(I330)),MAX(0,(I330-H330)*24),0),0)))</f>
        <v>0</v>
      </c>
      <c r="Q330" s="14" t="n">
        <f aca="false">IF(NOT(U330),0,IF(K330="Vacation",IF(C330="Eve",Settings!$B$11,1),IF(K330="Partial Vacation",O330/Settings!$B$9,0)))</f>
        <v>0</v>
      </c>
      <c r="R330" s="14" t="n">
        <f aca="false">IF(NOT(U330),0,IF(K330="Sick Leave",1,IF(K330="Partial Sick Leave",P330/Settings!$B$9,0)))</f>
        <v>0</v>
      </c>
      <c r="S330" s="35" t="str">
        <f aca="false">IF(AND(OR(E330="Vacation",E330="Sick Leave",E330="Partial Vacation",E330="Partial Sick Leave"),NOT(U330)),"Leave not allowed on this day",IF(AND(E330="Manual Work",OR(NOT(ISNUMBER(F330)),NOT(ISNUMBER(G330)))),"Enter start and end",IF(AND(OR(E330="Partial Vacation",E330="Partial Sick Leave"),OR(NOT(ISNUMBER(H330)),NOT(ISNUMBER(I330)))),"Enter leave from and to",IF(AND(ISNUMBER(F330),ISNUMBER(G330),G330&lt;=F330),"End is before start",IF(AND(ISNUMBER(H330),ISNUMBER(I330),I330&lt;=H330),"Leave end is before start",IF(AND(ISNUMBER(F330),ISNUMBER(G330),ISNUMBER(H330),ISNUMBER(I330),F330&lt;I330,H330&lt;G330),"Work and leave hours overlap",IF(AND(E330&lt;&gt;"",WEEKDAY(A330)=7),"Saturday - administrator only","")))))))</f>
        <v/>
      </c>
      <c r="T330" s="36" t="n">
        <f aca="false">MONTH(A330)</f>
        <v>11</v>
      </c>
      <c r="U330" s="37" t="b">
        <f aca="false">OR(C330="Workday",C330="Eve")</f>
        <v>0</v>
      </c>
      <c r="V330" s="34" t="n">
        <f aca="false">IF(C330="Eve",Settings!$B$8,Settings!$B$7)</f>
        <v>0.6875</v>
      </c>
      <c r="W330" s="14" t="n">
        <f aca="false">IF(U330,(V330-Settings!$B$6)*24,0)</f>
        <v>0</v>
      </c>
    </row>
    <row r="331" customFormat="false" ht="15" hidden="false" customHeight="false" outlineLevel="0" collapsed="false">
      <c r="A331" s="29" t="n">
        <v>46347</v>
      </c>
      <c r="B331" s="30" t="str">
        <f aca="false">CHOOSE(WEEKDAY(A331),"Sun","Mon","Tue","Wed","Thu","Fri","Sat")</f>
        <v>Sat</v>
      </c>
      <c r="C331" s="30" t="str">
        <f aca="false">IF(IFERROR(INDEX(Holidays!$D$5:$D$60,MATCH(A331,Holidays!$A$5:$A$60,0)),"")="Holiday","Holiday",IF(WEEKDAY(A331)&gt;=6,"Weekend",IF(IFERROR(INDEX(Holidays!$D$5:$D$60,MATCH(A331,Holidays!$A$5:$A$60,0)),"")="Eve","Eve","Workday")))</f>
        <v>Weekend</v>
      </c>
      <c r="D331" s="18" t="str">
        <f aca="false">IFERROR(INDEX(Holidays!$C$5:$C$60,MATCH(A331,Holidays!$A$5:$A$60,0)),"")</f>
        <v/>
      </c>
      <c r="E331" s="31"/>
      <c r="F331" s="32"/>
      <c r="G331" s="32"/>
      <c r="H331" s="32"/>
      <c r="I331" s="32"/>
      <c r="J331" s="31"/>
      <c r="K331" s="33" t="str">
        <f aca="false">IF(E331&lt;&gt;"",E331,IF(U331,"Present",IF(C331="Holiday","Holiday","Weekend")))</f>
        <v>Weekend</v>
      </c>
      <c r="L331" s="34" t="str">
        <f aca="false">IF(OR(K331="Present",K331="Manual Work",K331="Partial Vacation",K331="Partial Sick Leave"),IF(ISNUMBER(F331),F331,IF(AND(K331="Present",U331),Settings!$B$6,"")),"")</f>
        <v/>
      </c>
      <c r="M331" s="34" t="str">
        <f aca="false">IF(OR(K331="Present",K331="Manual Work",K331="Partial Vacation",K331="Partial Sick Leave"),IF(ISNUMBER(G331),G331,IF(AND(K331="Present",U331),V331,"")),"")</f>
        <v/>
      </c>
      <c r="N331" s="14" t="n">
        <f aca="false">IF(AND(ISNUMBER(L331),ISNUMBER(M331)),MAX(0,(M331-L331)*24),0)</f>
        <v>0</v>
      </c>
      <c r="O331" s="14" t="n">
        <f aca="false">IF(NOT(U331),0,IF(K331="Vacation",IF(C331="Eve",Settings!$B$9*Settings!$B$11,W331),IF(K331="Partial Vacation",IF(AND(ISNUMBER(H331),ISNUMBER(I331)),MAX(0,(I331-H331)*24),0),0)))</f>
        <v>0</v>
      </c>
      <c r="P331" s="14" t="n">
        <f aca="false">IF(NOT(U331),0,IF(K331="Sick Leave",W331,IF(K331="Partial Sick Leave",IF(AND(ISNUMBER(H331),ISNUMBER(I331)),MAX(0,(I331-H331)*24),0),0)))</f>
        <v>0</v>
      </c>
      <c r="Q331" s="14" t="n">
        <f aca="false">IF(NOT(U331),0,IF(K331="Vacation",IF(C331="Eve",Settings!$B$11,1),IF(K331="Partial Vacation",O331/Settings!$B$9,0)))</f>
        <v>0</v>
      </c>
      <c r="R331" s="14" t="n">
        <f aca="false">IF(NOT(U331),0,IF(K331="Sick Leave",1,IF(K331="Partial Sick Leave",P331/Settings!$B$9,0)))</f>
        <v>0</v>
      </c>
      <c r="S331" s="35" t="str">
        <f aca="false">IF(AND(OR(E331="Vacation",E331="Sick Leave",E331="Partial Vacation",E331="Partial Sick Leave"),NOT(U331)),"Leave not allowed on this day",IF(AND(E331="Manual Work",OR(NOT(ISNUMBER(F331)),NOT(ISNUMBER(G331)))),"Enter start and end",IF(AND(OR(E331="Partial Vacation",E331="Partial Sick Leave"),OR(NOT(ISNUMBER(H331)),NOT(ISNUMBER(I331)))),"Enter leave from and to",IF(AND(ISNUMBER(F331),ISNUMBER(G331),G331&lt;=F331),"End is before start",IF(AND(ISNUMBER(H331),ISNUMBER(I331),I331&lt;=H331),"Leave end is before start",IF(AND(ISNUMBER(F331),ISNUMBER(G331),ISNUMBER(H331),ISNUMBER(I331),F331&lt;I331,H331&lt;G331),"Work and leave hours overlap",IF(AND(E331&lt;&gt;"",WEEKDAY(A331)=7),"Saturday - administrator only","")))))))</f>
        <v/>
      </c>
      <c r="T331" s="36" t="n">
        <f aca="false">MONTH(A331)</f>
        <v>11</v>
      </c>
      <c r="U331" s="37" t="b">
        <f aca="false">OR(C331="Workday",C331="Eve")</f>
        <v>0</v>
      </c>
      <c r="V331" s="34" t="n">
        <f aca="false">IF(C331="Eve",Settings!$B$8,Settings!$B$7)</f>
        <v>0.6875</v>
      </c>
      <c r="W331" s="14" t="n">
        <f aca="false">IF(U331,(V331-Settings!$B$6)*24,0)</f>
        <v>0</v>
      </c>
    </row>
    <row r="332" customFormat="false" ht="15" hidden="false" customHeight="false" outlineLevel="0" collapsed="false">
      <c r="A332" s="29" t="n">
        <v>46348</v>
      </c>
      <c r="B332" s="30" t="str">
        <f aca="false">CHOOSE(WEEKDAY(A332),"Sun","Mon","Tue","Wed","Thu","Fri","Sat")</f>
        <v>Sun</v>
      </c>
      <c r="C332" s="30" t="str">
        <f aca="false">IF(IFERROR(INDEX(Holidays!$D$5:$D$60,MATCH(A332,Holidays!$A$5:$A$60,0)),"")="Holiday","Holiday",IF(WEEKDAY(A332)&gt;=6,"Weekend",IF(IFERROR(INDEX(Holidays!$D$5:$D$60,MATCH(A332,Holidays!$A$5:$A$60,0)),"")="Eve","Eve","Workday")))</f>
        <v>Workday</v>
      </c>
      <c r="D332" s="18" t="str">
        <f aca="false">IFERROR(INDEX(Holidays!$C$5:$C$60,MATCH(A332,Holidays!$A$5:$A$60,0)),"")</f>
        <v/>
      </c>
      <c r="E332" s="31"/>
      <c r="F332" s="32"/>
      <c r="G332" s="32"/>
      <c r="H332" s="32"/>
      <c r="I332" s="32"/>
      <c r="J332" s="31"/>
      <c r="K332" s="33" t="str">
        <f aca="false">IF(E332&lt;&gt;"",E332,IF(U332,"Present",IF(C332="Holiday","Holiday","Weekend")))</f>
        <v>Present</v>
      </c>
      <c r="L332" s="34" t="n">
        <f aca="false">IF(OR(K332="Present",K332="Manual Work",K332="Partial Vacation",K332="Partial Sick Leave"),IF(ISNUMBER(F332),F332,IF(AND(K332="Present",U332),Settings!$B$6,"")),"")</f>
        <v>0.333333333333333</v>
      </c>
      <c r="M332" s="34" t="n">
        <f aca="false">IF(OR(K332="Present",K332="Manual Work",K332="Partial Vacation",K332="Partial Sick Leave"),IF(ISNUMBER(G332),G332,IF(AND(K332="Present",U332),V332,"")),"")</f>
        <v>0.6875</v>
      </c>
      <c r="N332" s="14" t="n">
        <f aca="false">IF(AND(ISNUMBER(L332),ISNUMBER(M332)),MAX(0,(M332-L332)*24),0)</f>
        <v>8.5</v>
      </c>
      <c r="O332" s="14" t="n">
        <f aca="false">IF(NOT(U332),0,IF(K332="Vacation",IF(C332="Eve",Settings!$B$9*Settings!$B$11,W332),IF(K332="Partial Vacation",IF(AND(ISNUMBER(H332),ISNUMBER(I332)),MAX(0,(I332-H332)*24),0),0)))</f>
        <v>0</v>
      </c>
      <c r="P332" s="14" t="n">
        <f aca="false">IF(NOT(U332),0,IF(K332="Sick Leave",W332,IF(K332="Partial Sick Leave",IF(AND(ISNUMBER(H332),ISNUMBER(I332)),MAX(0,(I332-H332)*24),0),0)))</f>
        <v>0</v>
      </c>
      <c r="Q332" s="14" t="n">
        <f aca="false">IF(NOT(U332),0,IF(K332="Vacation",IF(C332="Eve",Settings!$B$11,1),IF(K332="Partial Vacation",O332/Settings!$B$9,0)))</f>
        <v>0</v>
      </c>
      <c r="R332" s="14" t="n">
        <f aca="false">IF(NOT(U332),0,IF(K332="Sick Leave",1,IF(K332="Partial Sick Leave",P332/Settings!$B$9,0)))</f>
        <v>0</v>
      </c>
      <c r="S332" s="35" t="str">
        <f aca="false">IF(AND(OR(E332="Vacation",E332="Sick Leave",E332="Partial Vacation",E332="Partial Sick Leave"),NOT(U332)),"Leave not allowed on this day",IF(AND(E332="Manual Work",OR(NOT(ISNUMBER(F332)),NOT(ISNUMBER(G332)))),"Enter start and end",IF(AND(OR(E332="Partial Vacation",E332="Partial Sick Leave"),OR(NOT(ISNUMBER(H332)),NOT(ISNUMBER(I332)))),"Enter leave from and to",IF(AND(ISNUMBER(F332),ISNUMBER(G332),G332&lt;=F332),"End is before start",IF(AND(ISNUMBER(H332),ISNUMBER(I332),I332&lt;=H332),"Leave end is before start",IF(AND(ISNUMBER(F332),ISNUMBER(G332),ISNUMBER(H332),ISNUMBER(I332),F332&lt;I332,H332&lt;G332),"Work and leave hours overlap",IF(AND(E332&lt;&gt;"",WEEKDAY(A332)=7),"Saturday - administrator only","")))))))</f>
        <v/>
      </c>
      <c r="T332" s="36" t="n">
        <f aca="false">MONTH(A332)</f>
        <v>11</v>
      </c>
      <c r="U332" s="37" t="b">
        <f aca="false">OR(C332="Workday",C332="Eve")</f>
        <v>1</v>
      </c>
      <c r="V332" s="34" t="n">
        <f aca="false">IF(C332="Eve",Settings!$B$8,Settings!$B$7)</f>
        <v>0.6875</v>
      </c>
      <c r="W332" s="14" t="n">
        <f aca="false">IF(U332,(V332-Settings!$B$6)*24,0)</f>
        <v>8.5</v>
      </c>
    </row>
    <row r="333" customFormat="false" ht="15" hidden="false" customHeight="false" outlineLevel="0" collapsed="false">
      <c r="A333" s="29" t="n">
        <v>46349</v>
      </c>
      <c r="B333" s="30" t="str">
        <f aca="false">CHOOSE(WEEKDAY(A333),"Sun","Mon","Tue","Wed","Thu","Fri","Sat")</f>
        <v>Mon</v>
      </c>
      <c r="C333" s="30" t="str">
        <f aca="false">IF(IFERROR(INDEX(Holidays!$D$5:$D$60,MATCH(A333,Holidays!$A$5:$A$60,0)),"")="Holiday","Holiday",IF(WEEKDAY(A333)&gt;=6,"Weekend",IF(IFERROR(INDEX(Holidays!$D$5:$D$60,MATCH(A333,Holidays!$A$5:$A$60,0)),"")="Eve","Eve","Workday")))</f>
        <v>Workday</v>
      </c>
      <c r="D333" s="18" t="str">
        <f aca="false">IFERROR(INDEX(Holidays!$C$5:$C$60,MATCH(A333,Holidays!$A$5:$A$60,0)),"")</f>
        <v/>
      </c>
      <c r="E333" s="31"/>
      <c r="F333" s="32"/>
      <c r="G333" s="32"/>
      <c r="H333" s="32"/>
      <c r="I333" s="32"/>
      <c r="J333" s="31"/>
      <c r="K333" s="33" t="str">
        <f aca="false">IF(E333&lt;&gt;"",E333,IF(U333,"Present",IF(C333="Holiday","Holiday","Weekend")))</f>
        <v>Present</v>
      </c>
      <c r="L333" s="34" t="n">
        <f aca="false">IF(OR(K333="Present",K333="Manual Work",K333="Partial Vacation",K333="Partial Sick Leave"),IF(ISNUMBER(F333),F333,IF(AND(K333="Present",U333),Settings!$B$6,"")),"")</f>
        <v>0.333333333333333</v>
      </c>
      <c r="M333" s="34" t="n">
        <f aca="false">IF(OR(K333="Present",K333="Manual Work",K333="Partial Vacation",K333="Partial Sick Leave"),IF(ISNUMBER(G333),G333,IF(AND(K333="Present",U333),V333,"")),"")</f>
        <v>0.6875</v>
      </c>
      <c r="N333" s="14" t="n">
        <f aca="false">IF(AND(ISNUMBER(L333),ISNUMBER(M333)),MAX(0,(M333-L333)*24),0)</f>
        <v>8.5</v>
      </c>
      <c r="O333" s="14" t="n">
        <f aca="false">IF(NOT(U333),0,IF(K333="Vacation",IF(C333="Eve",Settings!$B$9*Settings!$B$11,W333),IF(K333="Partial Vacation",IF(AND(ISNUMBER(H333),ISNUMBER(I333)),MAX(0,(I333-H333)*24),0),0)))</f>
        <v>0</v>
      </c>
      <c r="P333" s="14" t="n">
        <f aca="false">IF(NOT(U333),0,IF(K333="Sick Leave",W333,IF(K333="Partial Sick Leave",IF(AND(ISNUMBER(H333),ISNUMBER(I333)),MAX(0,(I333-H333)*24),0),0)))</f>
        <v>0</v>
      </c>
      <c r="Q333" s="14" t="n">
        <f aca="false">IF(NOT(U333),0,IF(K333="Vacation",IF(C333="Eve",Settings!$B$11,1),IF(K333="Partial Vacation",O333/Settings!$B$9,0)))</f>
        <v>0</v>
      </c>
      <c r="R333" s="14" t="n">
        <f aca="false">IF(NOT(U333),0,IF(K333="Sick Leave",1,IF(K333="Partial Sick Leave",P333/Settings!$B$9,0)))</f>
        <v>0</v>
      </c>
      <c r="S333" s="35" t="str">
        <f aca="false">IF(AND(OR(E333="Vacation",E333="Sick Leave",E333="Partial Vacation",E333="Partial Sick Leave"),NOT(U333)),"Leave not allowed on this day",IF(AND(E333="Manual Work",OR(NOT(ISNUMBER(F333)),NOT(ISNUMBER(G333)))),"Enter start and end",IF(AND(OR(E333="Partial Vacation",E333="Partial Sick Leave"),OR(NOT(ISNUMBER(H333)),NOT(ISNUMBER(I333)))),"Enter leave from and to",IF(AND(ISNUMBER(F333),ISNUMBER(G333),G333&lt;=F333),"End is before start",IF(AND(ISNUMBER(H333),ISNUMBER(I333),I333&lt;=H333),"Leave end is before start",IF(AND(ISNUMBER(F333),ISNUMBER(G333),ISNUMBER(H333),ISNUMBER(I333),F333&lt;I333,H333&lt;G333),"Work and leave hours overlap",IF(AND(E333&lt;&gt;"",WEEKDAY(A333)=7),"Saturday - administrator only","")))))))</f>
        <v/>
      </c>
      <c r="T333" s="36" t="n">
        <f aca="false">MONTH(A333)</f>
        <v>11</v>
      </c>
      <c r="U333" s="37" t="b">
        <f aca="false">OR(C333="Workday",C333="Eve")</f>
        <v>1</v>
      </c>
      <c r="V333" s="34" t="n">
        <f aca="false">IF(C333="Eve",Settings!$B$8,Settings!$B$7)</f>
        <v>0.6875</v>
      </c>
      <c r="W333" s="14" t="n">
        <f aca="false">IF(U333,(V333-Settings!$B$6)*24,0)</f>
        <v>8.5</v>
      </c>
    </row>
    <row r="334" customFormat="false" ht="15" hidden="false" customHeight="false" outlineLevel="0" collapsed="false">
      <c r="A334" s="29" t="n">
        <v>46350</v>
      </c>
      <c r="B334" s="30" t="str">
        <f aca="false">CHOOSE(WEEKDAY(A334),"Sun","Mon","Tue","Wed","Thu","Fri","Sat")</f>
        <v>Tue</v>
      </c>
      <c r="C334" s="30" t="str">
        <f aca="false">IF(IFERROR(INDEX(Holidays!$D$5:$D$60,MATCH(A334,Holidays!$A$5:$A$60,0)),"")="Holiday","Holiday",IF(WEEKDAY(A334)&gt;=6,"Weekend",IF(IFERROR(INDEX(Holidays!$D$5:$D$60,MATCH(A334,Holidays!$A$5:$A$60,0)),"")="Eve","Eve","Workday")))</f>
        <v>Workday</v>
      </c>
      <c r="D334" s="18" t="str">
        <f aca="false">IFERROR(INDEX(Holidays!$C$5:$C$60,MATCH(A334,Holidays!$A$5:$A$60,0)),"")</f>
        <v/>
      </c>
      <c r="E334" s="31"/>
      <c r="F334" s="32"/>
      <c r="G334" s="32"/>
      <c r="H334" s="32"/>
      <c r="I334" s="32"/>
      <c r="J334" s="31"/>
      <c r="K334" s="33" t="str">
        <f aca="false">IF(E334&lt;&gt;"",E334,IF(U334,"Present",IF(C334="Holiday","Holiday","Weekend")))</f>
        <v>Present</v>
      </c>
      <c r="L334" s="34" t="n">
        <f aca="false">IF(OR(K334="Present",K334="Manual Work",K334="Partial Vacation",K334="Partial Sick Leave"),IF(ISNUMBER(F334),F334,IF(AND(K334="Present",U334),Settings!$B$6,"")),"")</f>
        <v>0.333333333333333</v>
      </c>
      <c r="M334" s="34" t="n">
        <f aca="false">IF(OR(K334="Present",K334="Manual Work",K334="Partial Vacation",K334="Partial Sick Leave"),IF(ISNUMBER(G334),G334,IF(AND(K334="Present",U334),V334,"")),"")</f>
        <v>0.6875</v>
      </c>
      <c r="N334" s="14" t="n">
        <f aca="false">IF(AND(ISNUMBER(L334),ISNUMBER(M334)),MAX(0,(M334-L334)*24),0)</f>
        <v>8.5</v>
      </c>
      <c r="O334" s="14" t="n">
        <f aca="false">IF(NOT(U334),0,IF(K334="Vacation",IF(C334="Eve",Settings!$B$9*Settings!$B$11,W334),IF(K334="Partial Vacation",IF(AND(ISNUMBER(H334),ISNUMBER(I334)),MAX(0,(I334-H334)*24),0),0)))</f>
        <v>0</v>
      </c>
      <c r="P334" s="14" t="n">
        <f aca="false">IF(NOT(U334),0,IF(K334="Sick Leave",W334,IF(K334="Partial Sick Leave",IF(AND(ISNUMBER(H334),ISNUMBER(I334)),MAX(0,(I334-H334)*24),0),0)))</f>
        <v>0</v>
      </c>
      <c r="Q334" s="14" t="n">
        <f aca="false">IF(NOT(U334),0,IF(K334="Vacation",IF(C334="Eve",Settings!$B$11,1),IF(K334="Partial Vacation",O334/Settings!$B$9,0)))</f>
        <v>0</v>
      </c>
      <c r="R334" s="14" t="n">
        <f aca="false">IF(NOT(U334),0,IF(K334="Sick Leave",1,IF(K334="Partial Sick Leave",P334/Settings!$B$9,0)))</f>
        <v>0</v>
      </c>
      <c r="S334" s="35" t="str">
        <f aca="false">IF(AND(OR(E334="Vacation",E334="Sick Leave",E334="Partial Vacation",E334="Partial Sick Leave"),NOT(U334)),"Leave not allowed on this day",IF(AND(E334="Manual Work",OR(NOT(ISNUMBER(F334)),NOT(ISNUMBER(G334)))),"Enter start and end",IF(AND(OR(E334="Partial Vacation",E334="Partial Sick Leave"),OR(NOT(ISNUMBER(H334)),NOT(ISNUMBER(I334)))),"Enter leave from and to",IF(AND(ISNUMBER(F334),ISNUMBER(G334),G334&lt;=F334),"End is before start",IF(AND(ISNUMBER(H334),ISNUMBER(I334),I334&lt;=H334),"Leave end is before start",IF(AND(ISNUMBER(F334),ISNUMBER(G334),ISNUMBER(H334),ISNUMBER(I334),F334&lt;I334,H334&lt;G334),"Work and leave hours overlap",IF(AND(E334&lt;&gt;"",WEEKDAY(A334)=7),"Saturday - administrator only","")))))))</f>
        <v/>
      </c>
      <c r="T334" s="36" t="n">
        <f aca="false">MONTH(A334)</f>
        <v>11</v>
      </c>
      <c r="U334" s="37" t="b">
        <f aca="false">OR(C334="Workday",C334="Eve")</f>
        <v>1</v>
      </c>
      <c r="V334" s="34" t="n">
        <f aca="false">IF(C334="Eve",Settings!$B$8,Settings!$B$7)</f>
        <v>0.6875</v>
      </c>
      <c r="W334" s="14" t="n">
        <f aca="false">IF(U334,(V334-Settings!$B$6)*24,0)</f>
        <v>8.5</v>
      </c>
    </row>
    <row r="335" customFormat="false" ht="15" hidden="false" customHeight="false" outlineLevel="0" collapsed="false">
      <c r="A335" s="29" t="n">
        <v>46351</v>
      </c>
      <c r="B335" s="30" t="str">
        <f aca="false">CHOOSE(WEEKDAY(A335),"Sun","Mon","Tue","Wed","Thu","Fri","Sat")</f>
        <v>Wed</v>
      </c>
      <c r="C335" s="30" t="str">
        <f aca="false">IF(IFERROR(INDEX(Holidays!$D$5:$D$60,MATCH(A335,Holidays!$A$5:$A$60,0)),"")="Holiday","Holiday",IF(WEEKDAY(A335)&gt;=6,"Weekend",IF(IFERROR(INDEX(Holidays!$D$5:$D$60,MATCH(A335,Holidays!$A$5:$A$60,0)),"")="Eve","Eve","Workday")))</f>
        <v>Workday</v>
      </c>
      <c r="D335" s="18" t="str">
        <f aca="false">IFERROR(INDEX(Holidays!$C$5:$C$60,MATCH(A335,Holidays!$A$5:$A$60,0)),"")</f>
        <v/>
      </c>
      <c r="E335" s="31"/>
      <c r="F335" s="32"/>
      <c r="G335" s="32"/>
      <c r="H335" s="32"/>
      <c r="I335" s="32"/>
      <c r="J335" s="31"/>
      <c r="K335" s="33" t="str">
        <f aca="false">IF(E335&lt;&gt;"",E335,IF(U335,"Present",IF(C335="Holiday","Holiday","Weekend")))</f>
        <v>Present</v>
      </c>
      <c r="L335" s="34" t="n">
        <f aca="false">IF(OR(K335="Present",K335="Manual Work",K335="Partial Vacation",K335="Partial Sick Leave"),IF(ISNUMBER(F335),F335,IF(AND(K335="Present",U335),Settings!$B$6,"")),"")</f>
        <v>0.333333333333333</v>
      </c>
      <c r="M335" s="34" t="n">
        <f aca="false">IF(OR(K335="Present",K335="Manual Work",K335="Partial Vacation",K335="Partial Sick Leave"),IF(ISNUMBER(G335),G335,IF(AND(K335="Present",U335),V335,"")),"")</f>
        <v>0.6875</v>
      </c>
      <c r="N335" s="14" t="n">
        <f aca="false">IF(AND(ISNUMBER(L335),ISNUMBER(M335)),MAX(0,(M335-L335)*24),0)</f>
        <v>8.5</v>
      </c>
      <c r="O335" s="14" t="n">
        <f aca="false">IF(NOT(U335),0,IF(K335="Vacation",IF(C335="Eve",Settings!$B$9*Settings!$B$11,W335),IF(K335="Partial Vacation",IF(AND(ISNUMBER(H335),ISNUMBER(I335)),MAX(0,(I335-H335)*24),0),0)))</f>
        <v>0</v>
      </c>
      <c r="P335" s="14" t="n">
        <f aca="false">IF(NOT(U335),0,IF(K335="Sick Leave",W335,IF(K335="Partial Sick Leave",IF(AND(ISNUMBER(H335),ISNUMBER(I335)),MAX(0,(I335-H335)*24),0),0)))</f>
        <v>0</v>
      </c>
      <c r="Q335" s="14" t="n">
        <f aca="false">IF(NOT(U335),0,IF(K335="Vacation",IF(C335="Eve",Settings!$B$11,1),IF(K335="Partial Vacation",O335/Settings!$B$9,0)))</f>
        <v>0</v>
      </c>
      <c r="R335" s="14" t="n">
        <f aca="false">IF(NOT(U335),0,IF(K335="Sick Leave",1,IF(K335="Partial Sick Leave",P335/Settings!$B$9,0)))</f>
        <v>0</v>
      </c>
      <c r="S335" s="35" t="str">
        <f aca="false">IF(AND(OR(E335="Vacation",E335="Sick Leave",E335="Partial Vacation",E335="Partial Sick Leave"),NOT(U335)),"Leave not allowed on this day",IF(AND(E335="Manual Work",OR(NOT(ISNUMBER(F335)),NOT(ISNUMBER(G335)))),"Enter start and end",IF(AND(OR(E335="Partial Vacation",E335="Partial Sick Leave"),OR(NOT(ISNUMBER(H335)),NOT(ISNUMBER(I335)))),"Enter leave from and to",IF(AND(ISNUMBER(F335),ISNUMBER(G335),G335&lt;=F335),"End is before start",IF(AND(ISNUMBER(H335),ISNUMBER(I335),I335&lt;=H335),"Leave end is before start",IF(AND(ISNUMBER(F335),ISNUMBER(G335),ISNUMBER(H335),ISNUMBER(I335),F335&lt;I335,H335&lt;G335),"Work and leave hours overlap",IF(AND(E335&lt;&gt;"",WEEKDAY(A335)=7),"Saturday - administrator only","")))))))</f>
        <v/>
      </c>
      <c r="T335" s="36" t="n">
        <f aca="false">MONTH(A335)</f>
        <v>11</v>
      </c>
      <c r="U335" s="37" t="b">
        <f aca="false">OR(C335="Workday",C335="Eve")</f>
        <v>1</v>
      </c>
      <c r="V335" s="34" t="n">
        <f aca="false">IF(C335="Eve",Settings!$B$8,Settings!$B$7)</f>
        <v>0.6875</v>
      </c>
      <c r="W335" s="14" t="n">
        <f aca="false">IF(U335,(V335-Settings!$B$6)*24,0)</f>
        <v>8.5</v>
      </c>
    </row>
    <row r="336" customFormat="false" ht="15" hidden="false" customHeight="false" outlineLevel="0" collapsed="false">
      <c r="A336" s="29" t="n">
        <v>46352</v>
      </c>
      <c r="B336" s="30" t="str">
        <f aca="false">CHOOSE(WEEKDAY(A336),"Sun","Mon","Tue","Wed","Thu","Fri","Sat")</f>
        <v>Thu</v>
      </c>
      <c r="C336" s="30" t="str">
        <f aca="false">IF(IFERROR(INDEX(Holidays!$D$5:$D$60,MATCH(A336,Holidays!$A$5:$A$60,0)),"")="Holiday","Holiday",IF(WEEKDAY(A336)&gt;=6,"Weekend",IF(IFERROR(INDEX(Holidays!$D$5:$D$60,MATCH(A336,Holidays!$A$5:$A$60,0)),"")="Eve","Eve","Workday")))</f>
        <v>Workday</v>
      </c>
      <c r="D336" s="18" t="str">
        <f aca="false">IFERROR(INDEX(Holidays!$C$5:$C$60,MATCH(A336,Holidays!$A$5:$A$60,0)),"")</f>
        <v/>
      </c>
      <c r="E336" s="31"/>
      <c r="F336" s="32"/>
      <c r="G336" s="32"/>
      <c r="H336" s="32"/>
      <c r="I336" s="32"/>
      <c r="J336" s="31"/>
      <c r="K336" s="33" t="str">
        <f aca="false">IF(E336&lt;&gt;"",E336,IF(U336,"Present",IF(C336="Holiday","Holiday","Weekend")))</f>
        <v>Present</v>
      </c>
      <c r="L336" s="34" t="n">
        <f aca="false">IF(OR(K336="Present",K336="Manual Work",K336="Partial Vacation",K336="Partial Sick Leave"),IF(ISNUMBER(F336),F336,IF(AND(K336="Present",U336),Settings!$B$6,"")),"")</f>
        <v>0.333333333333333</v>
      </c>
      <c r="M336" s="34" t="n">
        <f aca="false">IF(OR(K336="Present",K336="Manual Work",K336="Partial Vacation",K336="Partial Sick Leave"),IF(ISNUMBER(G336),G336,IF(AND(K336="Present",U336),V336,"")),"")</f>
        <v>0.6875</v>
      </c>
      <c r="N336" s="14" t="n">
        <f aca="false">IF(AND(ISNUMBER(L336),ISNUMBER(M336)),MAX(0,(M336-L336)*24),0)</f>
        <v>8.5</v>
      </c>
      <c r="O336" s="14" t="n">
        <f aca="false">IF(NOT(U336),0,IF(K336="Vacation",IF(C336="Eve",Settings!$B$9*Settings!$B$11,W336),IF(K336="Partial Vacation",IF(AND(ISNUMBER(H336),ISNUMBER(I336)),MAX(0,(I336-H336)*24),0),0)))</f>
        <v>0</v>
      </c>
      <c r="P336" s="14" t="n">
        <f aca="false">IF(NOT(U336),0,IF(K336="Sick Leave",W336,IF(K336="Partial Sick Leave",IF(AND(ISNUMBER(H336),ISNUMBER(I336)),MAX(0,(I336-H336)*24),0),0)))</f>
        <v>0</v>
      </c>
      <c r="Q336" s="14" t="n">
        <f aca="false">IF(NOT(U336),0,IF(K336="Vacation",IF(C336="Eve",Settings!$B$11,1),IF(K336="Partial Vacation",O336/Settings!$B$9,0)))</f>
        <v>0</v>
      </c>
      <c r="R336" s="14" t="n">
        <f aca="false">IF(NOT(U336),0,IF(K336="Sick Leave",1,IF(K336="Partial Sick Leave",P336/Settings!$B$9,0)))</f>
        <v>0</v>
      </c>
      <c r="S336" s="35" t="str">
        <f aca="false">IF(AND(OR(E336="Vacation",E336="Sick Leave",E336="Partial Vacation",E336="Partial Sick Leave"),NOT(U336)),"Leave not allowed on this day",IF(AND(E336="Manual Work",OR(NOT(ISNUMBER(F336)),NOT(ISNUMBER(G336)))),"Enter start and end",IF(AND(OR(E336="Partial Vacation",E336="Partial Sick Leave"),OR(NOT(ISNUMBER(H336)),NOT(ISNUMBER(I336)))),"Enter leave from and to",IF(AND(ISNUMBER(F336),ISNUMBER(G336),G336&lt;=F336),"End is before start",IF(AND(ISNUMBER(H336),ISNUMBER(I336),I336&lt;=H336),"Leave end is before start",IF(AND(ISNUMBER(F336),ISNUMBER(G336),ISNUMBER(H336),ISNUMBER(I336),F336&lt;I336,H336&lt;G336),"Work and leave hours overlap",IF(AND(E336&lt;&gt;"",WEEKDAY(A336)=7),"Saturday - administrator only","")))))))</f>
        <v/>
      </c>
      <c r="T336" s="36" t="n">
        <f aca="false">MONTH(A336)</f>
        <v>11</v>
      </c>
      <c r="U336" s="37" t="b">
        <f aca="false">OR(C336="Workday",C336="Eve")</f>
        <v>1</v>
      </c>
      <c r="V336" s="34" t="n">
        <f aca="false">IF(C336="Eve",Settings!$B$8,Settings!$B$7)</f>
        <v>0.6875</v>
      </c>
      <c r="W336" s="14" t="n">
        <f aca="false">IF(U336,(V336-Settings!$B$6)*24,0)</f>
        <v>8.5</v>
      </c>
    </row>
    <row r="337" customFormat="false" ht="15" hidden="false" customHeight="false" outlineLevel="0" collapsed="false">
      <c r="A337" s="29" t="n">
        <v>46353</v>
      </c>
      <c r="B337" s="30" t="str">
        <f aca="false">CHOOSE(WEEKDAY(A337),"Sun","Mon","Tue","Wed","Thu","Fri","Sat")</f>
        <v>Fri</v>
      </c>
      <c r="C337" s="30" t="str">
        <f aca="false">IF(IFERROR(INDEX(Holidays!$D$5:$D$60,MATCH(A337,Holidays!$A$5:$A$60,0)),"")="Holiday","Holiday",IF(WEEKDAY(A337)&gt;=6,"Weekend",IF(IFERROR(INDEX(Holidays!$D$5:$D$60,MATCH(A337,Holidays!$A$5:$A$60,0)),"")="Eve","Eve","Workday")))</f>
        <v>Weekend</v>
      </c>
      <c r="D337" s="18" t="str">
        <f aca="false">IFERROR(INDEX(Holidays!$C$5:$C$60,MATCH(A337,Holidays!$A$5:$A$60,0)),"")</f>
        <v/>
      </c>
      <c r="E337" s="31"/>
      <c r="F337" s="32"/>
      <c r="G337" s="32"/>
      <c r="H337" s="32"/>
      <c r="I337" s="32"/>
      <c r="J337" s="31"/>
      <c r="K337" s="33" t="str">
        <f aca="false">IF(E337&lt;&gt;"",E337,IF(U337,"Present",IF(C337="Holiday","Holiday","Weekend")))</f>
        <v>Weekend</v>
      </c>
      <c r="L337" s="34" t="str">
        <f aca="false">IF(OR(K337="Present",K337="Manual Work",K337="Partial Vacation",K337="Partial Sick Leave"),IF(ISNUMBER(F337),F337,IF(AND(K337="Present",U337),Settings!$B$6,"")),"")</f>
        <v/>
      </c>
      <c r="M337" s="34" t="str">
        <f aca="false">IF(OR(K337="Present",K337="Manual Work",K337="Partial Vacation",K337="Partial Sick Leave"),IF(ISNUMBER(G337),G337,IF(AND(K337="Present",U337),V337,"")),"")</f>
        <v/>
      </c>
      <c r="N337" s="14" t="n">
        <f aca="false">IF(AND(ISNUMBER(L337),ISNUMBER(M337)),MAX(0,(M337-L337)*24),0)</f>
        <v>0</v>
      </c>
      <c r="O337" s="14" t="n">
        <f aca="false">IF(NOT(U337),0,IF(K337="Vacation",IF(C337="Eve",Settings!$B$9*Settings!$B$11,W337),IF(K337="Partial Vacation",IF(AND(ISNUMBER(H337),ISNUMBER(I337)),MAX(0,(I337-H337)*24),0),0)))</f>
        <v>0</v>
      </c>
      <c r="P337" s="14" t="n">
        <f aca="false">IF(NOT(U337),0,IF(K337="Sick Leave",W337,IF(K337="Partial Sick Leave",IF(AND(ISNUMBER(H337),ISNUMBER(I337)),MAX(0,(I337-H337)*24),0),0)))</f>
        <v>0</v>
      </c>
      <c r="Q337" s="14" t="n">
        <f aca="false">IF(NOT(U337),0,IF(K337="Vacation",IF(C337="Eve",Settings!$B$11,1),IF(K337="Partial Vacation",O337/Settings!$B$9,0)))</f>
        <v>0</v>
      </c>
      <c r="R337" s="14" t="n">
        <f aca="false">IF(NOT(U337),0,IF(K337="Sick Leave",1,IF(K337="Partial Sick Leave",P337/Settings!$B$9,0)))</f>
        <v>0</v>
      </c>
      <c r="S337" s="35" t="str">
        <f aca="false">IF(AND(OR(E337="Vacation",E337="Sick Leave",E337="Partial Vacation",E337="Partial Sick Leave"),NOT(U337)),"Leave not allowed on this day",IF(AND(E337="Manual Work",OR(NOT(ISNUMBER(F337)),NOT(ISNUMBER(G337)))),"Enter start and end",IF(AND(OR(E337="Partial Vacation",E337="Partial Sick Leave"),OR(NOT(ISNUMBER(H337)),NOT(ISNUMBER(I337)))),"Enter leave from and to",IF(AND(ISNUMBER(F337),ISNUMBER(G337),G337&lt;=F337),"End is before start",IF(AND(ISNUMBER(H337),ISNUMBER(I337),I337&lt;=H337),"Leave end is before start",IF(AND(ISNUMBER(F337),ISNUMBER(G337),ISNUMBER(H337),ISNUMBER(I337),F337&lt;I337,H337&lt;G337),"Work and leave hours overlap",IF(AND(E337&lt;&gt;"",WEEKDAY(A337)=7),"Saturday - administrator only","")))))))</f>
        <v/>
      </c>
      <c r="T337" s="36" t="n">
        <f aca="false">MONTH(A337)</f>
        <v>11</v>
      </c>
      <c r="U337" s="37" t="b">
        <f aca="false">OR(C337="Workday",C337="Eve")</f>
        <v>0</v>
      </c>
      <c r="V337" s="34" t="n">
        <f aca="false">IF(C337="Eve",Settings!$B$8,Settings!$B$7)</f>
        <v>0.6875</v>
      </c>
      <c r="W337" s="14" t="n">
        <f aca="false">IF(U337,(V337-Settings!$B$6)*24,0)</f>
        <v>0</v>
      </c>
    </row>
    <row r="338" customFormat="false" ht="15" hidden="false" customHeight="false" outlineLevel="0" collapsed="false">
      <c r="A338" s="29" t="n">
        <v>46354</v>
      </c>
      <c r="B338" s="30" t="str">
        <f aca="false">CHOOSE(WEEKDAY(A338),"Sun","Mon","Tue","Wed","Thu","Fri","Sat")</f>
        <v>Sat</v>
      </c>
      <c r="C338" s="30" t="str">
        <f aca="false">IF(IFERROR(INDEX(Holidays!$D$5:$D$60,MATCH(A338,Holidays!$A$5:$A$60,0)),"")="Holiday","Holiday",IF(WEEKDAY(A338)&gt;=6,"Weekend",IF(IFERROR(INDEX(Holidays!$D$5:$D$60,MATCH(A338,Holidays!$A$5:$A$60,0)),"")="Eve","Eve","Workday")))</f>
        <v>Weekend</v>
      </c>
      <c r="D338" s="18" t="str">
        <f aca="false">IFERROR(INDEX(Holidays!$C$5:$C$60,MATCH(A338,Holidays!$A$5:$A$60,0)),"")</f>
        <v/>
      </c>
      <c r="E338" s="31"/>
      <c r="F338" s="32"/>
      <c r="G338" s="32"/>
      <c r="H338" s="32"/>
      <c r="I338" s="32"/>
      <c r="J338" s="31"/>
      <c r="K338" s="33" t="str">
        <f aca="false">IF(E338&lt;&gt;"",E338,IF(U338,"Present",IF(C338="Holiday","Holiday","Weekend")))</f>
        <v>Weekend</v>
      </c>
      <c r="L338" s="34" t="str">
        <f aca="false">IF(OR(K338="Present",K338="Manual Work",K338="Partial Vacation",K338="Partial Sick Leave"),IF(ISNUMBER(F338),F338,IF(AND(K338="Present",U338),Settings!$B$6,"")),"")</f>
        <v/>
      </c>
      <c r="M338" s="34" t="str">
        <f aca="false">IF(OR(K338="Present",K338="Manual Work",K338="Partial Vacation",K338="Partial Sick Leave"),IF(ISNUMBER(G338),G338,IF(AND(K338="Present",U338),V338,"")),"")</f>
        <v/>
      </c>
      <c r="N338" s="14" t="n">
        <f aca="false">IF(AND(ISNUMBER(L338),ISNUMBER(M338)),MAX(0,(M338-L338)*24),0)</f>
        <v>0</v>
      </c>
      <c r="O338" s="14" t="n">
        <f aca="false">IF(NOT(U338),0,IF(K338="Vacation",IF(C338="Eve",Settings!$B$9*Settings!$B$11,W338),IF(K338="Partial Vacation",IF(AND(ISNUMBER(H338),ISNUMBER(I338)),MAX(0,(I338-H338)*24),0),0)))</f>
        <v>0</v>
      </c>
      <c r="P338" s="14" t="n">
        <f aca="false">IF(NOT(U338),0,IF(K338="Sick Leave",W338,IF(K338="Partial Sick Leave",IF(AND(ISNUMBER(H338),ISNUMBER(I338)),MAX(0,(I338-H338)*24),0),0)))</f>
        <v>0</v>
      </c>
      <c r="Q338" s="14" t="n">
        <f aca="false">IF(NOT(U338),0,IF(K338="Vacation",IF(C338="Eve",Settings!$B$11,1),IF(K338="Partial Vacation",O338/Settings!$B$9,0)))</f>
        <v>0</v>
      </c>
      <c r="R338" s="14" t="n">
        <f aca="false">IF(NOT(U338),0,IF(K338="Sick Leave",1,IF(K338="Partial Sick Leave",P338/Settings!$B$9,0)))</f>
        <v>0</v>
      </c>
      <c r="S338" s="35" t="str">
        <f aca="false">IF(AND(OR(E338="Vacation",E338="Sick Leave",E338="Partial Vacation",E338="Partial Sick Leave"),NOT(U338)),"Leave not allowed on this day",IF(AND(E338="Manual Work",OR(NOT(ISNUMBER(F338)),NOT(ISNUMBER(G338)))),"Enter start and end",IF(AND(OR(E338="Partial Vacation",E338="Partial Sick Leave"),OR(NOT(ISNUMBER(H338)),NOT(ISNUMBER(I338)))),"Enter leave from and to",IF(AND(ISNUMBER(F338),ISNUMBER(G338),G338&lt;=F338),"End is before start",IF(AND(ISNUMBER(H338),ISNUMBER(I338),I338&lt;=H338),"Leave end is before start",IF(AND(ISNUMBER(F338),ISNUMBER(G338),ISNUMBER(H338),ISNUMBER(I338),F338&lt;I338,H338&lt;G338),"Work and leave hours overlap",IF(AND(E338&lt;&gt;"",WEEKDAY(A338)=7),"Saturday - administrator only","")))))))</f>
        <v/>
      </c>
      <c r="T338" s="36" t="n">
        <f aca="false">MONTH(A338)</f>
        <v>11</v>
      </c>
      <c r="U338" s="37" t="b">
        <f aca="false">OR(C338="Workday",C338="Eve")</f>
        <v>0</v>
      </c>
      <c r="V338" s="34" t="n">
        <f aca="false">IF(C338="Eve",Settings!$B$8,Settings!$B$7)</f>
        <v>0.6875</v>
      </c>
      <c r="W338" s="14" t="n">
        <f aca="false">IF(U338,(V338-Settings!$B$6)*24,0)</f>
        <v>0</v>
      </c>
    </row>
    <row r="339" customFormat="false" ht="15" hidden="false" customHeight="false" outlineLevel="0" collapsed="false">
      <c r="A339" s="29" t="n">
        <v>46355</v>
      </c>
      <c r="B339" s="30" t="str">
        <f aca="false">CHOOSE(WEEKDAY(A339),"Sun","Mon","Tue","Wed","Thu","Fri","Sat")</f>
        <v>Sun</v>
      </c>
      <c r="C339" s="30" t="str">
        <f aca="false">IF(IFERROR(INDEX(Holidays!$D$5:$D$60,MATCH(A339,Holidays!$A$5:$A$60,0)),"")="Holiday","Holiday",IF(WEEKDAY(A339)&gt;=6,"Weekend",IF(IFERROR(INDEX(Holidays!$D$5:$D$60,MATCH(A339,Holidays!$A$5:$A$60,0)),"")="Eve","Eve","Workday")))</f>
        <v>Workday</v>
      </c>
      <c r="D339" s="18" t="str">
        <f aca="false">IFERROR(INDEX(Holidays!$C$5:$C$60,MATCH(A339,Holidays!$A$5:$A$60,0)),"")</f>
        <v/>
      </c>
      <c r="E339" s="31"/>
      <c r="F339" s="32"/>
      <c r="G339" s="32"/>
      <c r="H339" s="32"/>
      <c r="I339" s="32"/>
      <c r="J339" s="31"/>
      <c r="K339" s="33" t="str">
        <f aca="false">IF(E339&lt;&gt;"",E339,IF(U339,"Present",IF(C339="Holiday","Holiday","Weekend")))</f>
        <v>Present</v>
      </c>
      <c r="L339" s="34" t="n">
        <f aca="false">IF(OR(K339="Present",K339="Manual Work",K339="Partial Vacation",K339="Partial Sick Leave"),IF(ISNUMBER(F339),F339,IF(AND(K339="Present",U339),Settings!$B$6,"")),"")</f>
        <v>0.333333333333333</v>
      </c>
      <c r="M339" s="34" t="n">
        <f aca="false">IF(OR(K339="Present",K339="Manual Work",K339="Partial Vacation",K339="Partial Sick Leave"),IF(ISNUMBER(G339),G339,IF(AND(K339="Present",U339),V339,"")),"")</f>
        <v>0.6875</v>
      </c>
      <c r="N339" s="14" t="n">
        <f aca="false">IF(AND(ISNUMBER(L339),ISNUMBER(M339)),MAX(0,(M339-L339)*24),0)</f>
        <v>8.5</v>
      </c>
      <c r="O339" s="14" t="n">
        <f aca="false">IF(NOT(U339),0,IF(K339="Vacation",IF(C339="Eve",Settings!$B$9*Settings!$B$11,W339),IF(K339="Partial Vacation",IF(AND(ISNUMBER(H339),ISNUMBER(I339)),MAX(0,(I339-H339)*24),0),0)))</f>
        <v>0</v>
      </c>
      <c r="P339" s="14" t="n">
        <f aca="false">IF(NOT(U339),0,IF(K339="Sick Leave",W339,IF(K339="Partial Sick Leave",IF(AND(ISNUMBER(H339),ISNUMBER(I339)),MAX(0,(I339-H339)*24),0),0)))</f>
        <v>0</v>
      </c>
      <c r="Q339" s="14" t="n">
        <f aca="false">IF(NOT(U339),0,IF(K339="Vacation",IF(C339="Eve",Settings!$B$11,1),IF(K339="Partial Vacation",O339/Settings!$B$9,0)))</f>
        <v>0</v>
      </c>
      <c r="R339" s="14" t="n">
        <f aca="false">IF(NOT(U339),0,IF(K339="Sick Leave",1,IF(K339="Partial Sick Leave",P339/Settings!$B$9,0)))</f>
        <v>0</v>
      </c>
      <c r="S339" s="35" t="str">
        <f aca="false">IF(AND(OR(E339="Vacation",E339="Sick Leave",E339="Partial Vacation",E339="Partial Sick Leave"),NOT(U339)),"Leave not allowed on this day",IF(AND(E339="Manual Work",OR(NOT(ISNUMBER(F339)),NOT(ISNUMBER(G339)))),"Enter start and end",IF(AND(OR(E339="Partial Vacation",E339="Partial Sick Leave"),OR(NOT(ISNUMBER(H339)),NOT(ISNUMBER(I339)))),"Enter leave from and to",IF(AND(ISNUMBER(F339),ISNUMBER(G339),G339&lt;=F339),"End is before start",IF(AND(ISNUMBER(H339),ISNUMBER(I339),I339&lt;=H339),"Leave end is before start",IF(AND(ISNUMBER(F339),ISNUMBER(G339),ISNUMBER(H339),ISNUMBER(I339),F339&lt;I339,H339&lt;G339),"Work and leave hours overlap",IF(AND(E339&lt;&gt;"",WEEKDAY(A339)=7),"Saturday - administrator only","")))))))</f>
        <v/>
      </c>
      <c r="T339" s="36" t="n">
        <f aca="false">MONTH(A339)</f>
        <v>11</v>
      </c>
      <c r="U339" s="37" t="b">
        <f aca="false">OR(C339="Workday",C339="Eve")</f>
        <v>1</v>
      </c>
      <c r="V339" s="34" t="n">
        <f aca="false">IF(C339="Eve",Settings!$B$8,Settings!$B$7)</f>
        <v>0.6875</v>
      </c>
      <c r="W339" s="14" t="n">
        <f aca="false">IF(U339,(V339-Settings!$B$6)*24,0)</f>
        <v>8.5</v>
      </c>
    </row>
    <row r="340" customFormat="false" ht="15" hidden="false" customHeight="false" outlineLevel="0" collapsed="false">
      <c r="A340" s="29" t="n">
        <v>46356</v>
      </c>
      <c r="B340" s="30" t="str">
        <f aca="false">CHOOSE(WEEKDAY(A340),"Sun","Mon","Tue","Wed","Thu","Fri","Sat")</f>
        <v>Mon</v>
      </c>
      <c r="C340" s="30" t="str">
        <f aca="false">IF(IFERROR(INDEX(Holidays!$D$5:$D$60,MATCH(A340,Holidays!$A$5:$A$60,0)),"")="Holiday","Holiday",IF(WEEKDAY(A340)&gt;=6,"Weekend",IF(IFERROR(INDEX(Holidays!$D$5:$D$60,MATCH(A340,Holidays!$A$5:$A$60,0)),"")="Eve","Eve","Workday")))</f>
        <v>Workday</v>
      </c>
      <c r="D340" s="18" t="str">
        <f aca="false">IFERROR(INDEX(Holidays!$C$5:$C$60,MATCH(A340,Holidays!$A$5:$A$60,0)),"")</f>
        <v/>
      </c>
      <c r="E340" s="31"/>
      <c r="F340" s="32"/>
      <c r="G340" s="32"/>
      <c r="H340" s="32"/>
      <c r="I340" s="32"/>
      <c r="J340" s="31"/>
      <c r="K340" s="33" t="str">
        <f aca="false">IF(E340&lt;&gt;"",E340,IF(U340,"Present",IF(C340="Holiday","Holiday","Weekend")))</f>
        <v>Present</v>
      </c>
      <c r="L340" s="34" t="n">
        <f aca="false">IF(OR(K340="Present",K340="Manual Work",K340="Partial Vacation",K340="Partial Sick Leave"),IF(ISNUMBER(F340),F340,IF(AND(K340="Present",U340),Settings!$B$6,"")),"")</f>
        <v>0.333333333333333</v>
      </c>
      <c r="M340" s="34" t="n">
        <f aca="false">IF(OR(K340="Present",K340="Manual Work",K340="Partial Vacation",K340="Partial Sick Leave"),IF(ISNUMBER(G340),G340,IF(AND(K340="Present",U340),V340,"")),"")</f>
        <v>0.6875</v>
      </c>
      <c r="N340" s="14" t="n">
        <f aca="false">IF(AND(ISNUMBER(L340),ISNUMBER(M340)),MAX(0,(M340-L340)*24),0)</f>
        <v>8.5</v>
      </c>
      <c r="O340" s="14" t="n">
        <f aca="false">IF(NOT(U340),0,IF(K340="Vacation",IF(C340="Eve",Settings!$B$9*Settings!$B$11,W340),IF(K340="Partial Vacation",IF(AND(ISNUMBER(H340),ISNUMBER(I340)),MAX(0,(I340-H340)*24),0),0)))</f>
        <v>0</v>
      </c>
      <c r="P340" s="14" t="n">
        <f aca="false">IF(NOT(U340),0,IF(K340="Sick Leave",W340,IF(K340="Partial Sick Leave",IF(AND(ISNUMBER(H340),ISNUMBER(I340)),MAX(0,(I340-H340)*24),0),0)))</f>
        <v>0</v>
      </c>
      <c r="Q340" s="14" t="n">
        <f aca="false">IF(NOT(U340),0,IF(K340="Vacation",IF(C340="Eve",Settings!$B$11,1),IF(K340="Partial Vacation",O340/Settings!$B$9,0)))</f>
        <v>0</v>
      </c>
      <c r="R340" s="14" t="n">
        <f aca="false">IF(NOT(U340),0,IF(K340="Sick Leave",1,IF(K340="Partial Sick Leave",P340/Settings!$B$9,0)))</f>
        <v>0</v>
      </c>
      <c r="S340" s="35" t="str">
        <f aca="false">IF(AND(OR(E340="Vacation",E340="Sick Leave",E340="Partial Vacation",E340="Partial Sick Leave"),NOT(U340)),"Leave not allowed on this day",IF(AND(E340="Manual Work",OR(NOT(ISNUMBER(F340)),NOT(ISNUMBER(G340)))),"Enter start and end",IF(AND(OR(E340="Partial Vacation",E340="Partial Sick Leave"),OR(NOT(ISNUMBER(H340)),NOT(ISNUMBER(I340)))),"Enter leave from and to",IF(AND(ISNUMBER(F340),ISNUMBER(G340),G340&lt;=F340),"End is before start",IF(AND(ISNUMBER(H340),ISNUMBER(I340),I340&lt;=H340),"Leave end is before start",IF(AND(ISNUMBER(F340),ISNUMBER(G340),ISNUMBER(H340),ISNUMBER(I340),F340&lt;I340,H340&lt;G340),"Work and leave hours overlap",IF(AND(E340&lt;&gt;"",WEEKDAY(A340)=7),"Saturday - administrator only","")))))))</f>
        <v/>
      </c>
      <c r="T340" s="36" t="n">
        <f aca="false">MONTH(A340)</f>
        <v>11</v>
      </c>
      <c r="U340" s="37" t="b">
        <f aca="false">OR(C340="Workday",C340="Eve")</f>
        <v>1</v>
      </c>
      <c r="V340" s="34" t="n">
        <f aca="false">IF(C340="Eve",Settings!$B$8,Settings!$B$7)</f>
        <v>0.6875</v>
      </c>
      <c r="W340" s="14" t="n">
        <f aca="false">IF(U340,(V340-Settings!$B$6)*24,0)</f>
        <v>8.5</v>
      </c>
    </row>
    <row r="341" customFormat="false" ht="15" hidden="false" customHeight="false" outlineLevel="0" collapsed="false">
      <c r="A341" s="29" t="n">
        <v>46357</v>
      </c>
      <c r="B341" s="30" t="str">
        <f aca="false">CHOOSE(WEEKDAY(A341),"Sun","Mon","Tue","Wed","Thu","Fri","Sat")</f>
        <v>Tue</v>
      </c>
      <c r="C341" s="30" t="str">
        <f aca="false">IF(IFERROR(INDEX(Holidays!$D$5:$D$60,MATCH(A341,Holidays!$A$5:$A$60,0)),"")="Holiday","Holiday",IF(WEEKDAY(A341)&gt;=6,"Weekend",IF(IFERROR(INDEX(Holidays!$D$5:$D$60,MATCH(A341,Holidays!$A$5:$A$60,0)),"")="Eve","Eve","Workday")))</f>
        <v>Workday</v>
      </c>
      <c r="D341" s="18" t="str">
        <f aca="false">IFERROR(INDEX(Holidays!$C$5:$C$60,MATCH(A341,Holidays!$A$5:$A$60,0)),"")</f>
        <v/>
      </c>
      <c r="E341" s="31"/>
      <c r="F341" s="32"/>
      <c r="G341" s="32"/>
      <c r="H341" s="32"/>
      <c r="I341" s="32"/>
      <c r="J341" s="31"/>
      <c r="K341" s="33" t="str">
        <f aca="false">IF(E341&lt;&gt;"",E341,IF(U341,"Present",IF(C341="Holiday","Holiday","Weekend")))</f>
        <v>Present</v>
      </c>
      <c r="L341" s="34" t="n">
        <f aca="false">IF(OR(K341="Present",K341="Manual Work",K341="Partial Vacation",K341="Partial Sick Leave"),IF(ISNUMBER(F341),F341,IF(AND(K341="Present",U341),Settings!$B$6,"")),"")</f>
        <v>0.333333333333333</v>
      </c>
      <c r="M341" s="34" t="n">
        <f aca="false">IF(OR(K341="Present",K341="Manual Work",K341="Partial Vacation",K341="Partial Sick Leave"),IF(ISNUMBER(G341),G341,IF(AND(K341="Present",U341),V341,"")),"")</f>
        <v>0.6875</v>
      </c>
      <c r="N341" s="14" t="n">
        <f aca="false">IF(AND(ISNUMBER(L341),ISNUMBER(M341)),MAX(0,(M341-L341)*24),0)</f>
        <v>8.5</v>
      </c>
      <c r="O341" s="14" t="n">
        <f aca="false">IF(NOT(U341),0,IF(K341="Vacation",IF(C341="Eve",Settings!$B$9*Settings!$B$11,W341),IF(K341="Partial Vacation",IF(AND(ISNUMBER(H341),ISNUMBER(I341)),MAX(0,(I341-H341)*24),0),0)))</f>
        <v>0</v>
      </c>
      <c r="P341" s="14" t="n">
        <f aca="false">IF(NOT(U341),0,IF(K341="Sick Leave",W341,IF(K341="Partial Sick Leave",IF(AND(ISNUMBER(H341),ISNUMBER(I341)),MAX(0,(I341-H341)*24),0),0)))</f>
        <v>0</v>
      </c>
      <c r="Q341" s="14" t="n">
        <f aca="false">IF(NOT(U341),0,IF(K341="Vacation",IF(C341="Eve",Settings!$B$11,1),IF(K341="Partial Vacation",O341/Settings!$B$9,0)))</f>
        <v>0</v>
      </c>
      <c r="R341" s="14" t="n">
        <f aca="false">IF(NOT(U341),0,IF(K341="Sick Leave",1,IF(K341="Partial Sick Leave",P341/Settings!$B$9,0)))</f>
        <v>0</v>
      </c>
      <c r="S341" s="35" t="str">
        <f aca="false">IF(AND(OR(E341="Vacation",E341="Sick Leave",E341="Partial Vacation",E341="Partial Sick Leave"),NOT(U341)),"Leave not allowed on this day",IF(AND(E341="Manual Work",OR(NOT(ISNUMBER(F341)),NOT(ISNUMBER(G341)))),"Enter start and end",IF(AND(OR(E341="Partial Vacation",E341="Partial Sick Leave"),OR(NOT(ISNUMBER(H341)),NOT(ISNUMBER(I341)))),"Enter leave from and to",IF(AND(ISNUMBER(F341),ISNUMBER(G341),G341&lt;=F341),"End is before start",IF(AND(ISNUMBER(H341),ISNUMBER(I341),I341&lt;=H341),"Leave end is before start",IF(AND(ISNUMBER(F341),ISNUMBER(G341),ISNUMBER(H341),ISNUMBER(I341),F341&lt;I341,H341&lt;G341),"Work and leave hours overlap",IF(AND(E341&lt;&gt;"",WEEKDAY(A341)=7),"Saturday - administrator only","")))))))</f>
        <v/>
      </c>
      <c r="T341" s="36" t="n">
        <f aca="false">MONTH(A341)</f>
        <v>12</v>
      </c>
      <c r="U341" s="37" t="b">
        <f aca="false">OR(C341="Workday",C341="Eve")</f>
        <v>1</v>
      </c>
      <c r="V341" s="34" t="n">
        <f aca="false">IF(C341="Eve",Settings!$B$8,Settings!$B$7)</f>
        <v>0.6875</v>
      </c>
      <c r="W341" s="14" t="n">
        <f aca="false">IF(U341,(V341-Settings!$B$6)*24,0)</f>
        <v>8.5</v>
      </c>
    </row>
    <row r="342" customFormat="false" ht="15" hidden="false" customHeight="false" outlineLevel="0" collapsed="false">
      <c r="A342" s="29" t="n">
        <v>46358</v>
      </c>
      <c r="B342" s="30" t="str">
        <f aca="false">CHOOSE(WEEKDAY(A342),"Sun","Mon","Tue","Wed","Thu","Fri","Sat")</f>
        <v>Wed</v>
      </c>
      <c r="C342" s="30" t="str">
        <f aca="false">IF(IFERROR(INDEX(Holidays!$D$5:$D$60,MATCH(A342,Holidays!$A$5:$A$60,0)),"")="Holiday","Holiday",IF(WEEKDAY(A342)&gt;=6,"Weekend",IF(IFERROR(INDEX(Holidays!$D$5:$D$60,MATCH(A342,Holidays!$A$5:$A$60,0)),"")="Eve","Eve","Workday")))</f>
        <v>Workday</v>
      </c>
      <c r="D342" s="18" t="str">
        <f aca="false">IFERROR(INDEX(Holidays!$C$5:$C$60,MATCH(A342,Holidays!$A$5:$A$60,0)),"")</f>
        <v/>
      </c>
      <c r="E342" s="31"/>
      <c r="F342" s="32"/>
      <c r="G342" s="32"/>
      <c r="H342" s="32"/>
      <c r="I342" s="32"/>
      <c r="J342" s="31"/>
      <c r="K342" s="33" t="str">
        <f aca="false">IF(E342&lt;&gt;"",E342,IF(U342,"Present",IF(C342="Holiday","Holiday","Weekend")))</f>
        <v>Present</v>
      </c>
      <c r="L342" s="34" t="n">
        <f aca="false">IF(OR(K342="Present",K342="Manual Work",K342="Partial Vacation",K342="Partial Sick Leave"),IF(ISNUMBER(F342),F342,IF(AND(K342="Present",U342),Settings!$B$6,"")),"")</f>
        <v>0.333333333333333</v>
      </c>
      <c r="M342" s="34" t="n">
        <f aca="false">IF(OR(K342="Present",K342="Manual Work",K342="Partial Vacation",K342="Partial Sick Leave"),IF(ISNUMBER(G342),G342,IF(AND(K342="Present",U342),V342,"")),"")</f>
        <v>0.6875</v>
      </c>
      <c r="N342" s="14" t="n">
        <f aca="false">IF(AND(ISNUMBER(L342),ISNUMBER(M342)),MAX(0,(M342-L342)*24),0)</f>
        <v>8.5</v>
      </c>
      <c r="O342" s="14" t="n">
        <f aca="false">IF(NOT(U342),0,IF(K342="Vacation",IF(C342="Eve",Settings!$B$9*Settings!$B$11,W342),IF(K342="Partial Vacation",IF(AND(ISNUMBER(H342),ISNUMBER(I342)),MAX(0,(I342-H342)*24),0),0)))</f>
        <v>0</v>
      </c>
      <c r="P342" s="14" t="n">
        <f aca="false">IF(NOT(U342),0,IF(K342="Sick Leave",W342,IF(K342="Partial Sick Leave",IF(AND(ISNUMBER(H342),ISNUMBER(I342)),MAX(0,(I342-H342)*24),0),0)))</f>
        <v>0</v>
      </c>
      <c r="Q342" s="14" t="n">
        <f aca="false">IF(NOT(U342),0,IF(K342="Vacation",IF(C342="Eve",Settings!$B$11,1),IF(K342="Partial Vacation",O342/Settings!$B$9,0)))</f>
        <v>0</v>
      </c>
      <c r="R342" s="14" t="n">
        <f aca="false">IF(NOT(U342),0,IF(K342="Sick Leave",1,IF(K342="Partial Sick Leave",P342/Settings!$B$9,0)))</f>
        <v>0</v>
      </c>
      <c r="S342" s="35" t="str">
        <f aca="false">IF(AND(OR(E342="Vacation",E342="Sick Leave",E342="Partial Vacation",E342="Partial Sick Leave"),NOT(U342)),"Leave not allowed on this day",IF(AND(E342="Manual Work",OR(NOT(ISNUMBER(F342)),NOT(ISNUMBER(G342)))),"Enter start and end",IF(AND(OR(E342="Partial Vacation",E342="Partial Sick Leave"),OR(NOT(ISNUMBER(H342)),NOT(ISNUMBER(I342)))),"Enter leave from and to",IF(AND(ISNUMBER(F342),ISNUMBER(G342),G342&lt;=F342),"End is before start",IF(AND(ISNUMBER(H342),ISNUMBER(I342),I342&lt;=H342),"Leave end is before start",IF(AND(ISNUMBER(F342),ISNUMBER(G342),ISNUMBER(H342),ISNUMBER(I342),F342&lt;I342,H342&lt;G342),"Work and leave hours overlap",IF(AND(E342&lt;&gt;"",WEEKDAY(A342)=7),"Saturday - administrator only","")))))))</f>
        <v/>
      </c>
      <c r="T342" s="36" t="n">
        <f aca="false">MONTH(A342)</f>
        <v>12</v>
      </c>
      <c r="U342" s="37" t="b">
        <f aca="false">OR(C342="Workday",C342="Eve")</f>
        <v>1</v>
      </c>
      <c r="V342" s="34" t="n">
        <f aca="false">IF(C342="Eve",Settings!$B$8,Settings!$B$7)</f>
        <v>0.6875</v>
      </c>
      <c r="W342" s="14" t="n">
        <f aca="false">IF(U342,(V342-Settings!$B$6)*24,0)</f>
        <v>8.5</v>
      </c>
    </row>
    <row r="343" customFormat="false" ht="15" hidden="false" customHeight="false" outlineLevel="0" collapsed="false">
      <c r="A343" s="29" t="n">
        <v>46359</v>
      </c>
      <c r="B343" s="30" t="str">
        <f aca="false">CHOOSE(WEEKDAY(A343),"Sun","Mon","Tue","Wed","Thu","Fri","Sat")</f>
        <v>Thu</v>
      </c>
      <c r="C343" s="30" t="str">
        <f aca="false">IF(IFERROR(INDEX(Holidays!$D$5:$D$60,MATCH(A343,Holidays!$A$5:$A$60,0)),"")="Holiday","Holiday",IF(WEEKDAY(A343)&gt;=6,"Weekend",IF(IFERROR(INDEX(Holidays!$D$5:$D$60,MATCH(A343,Holidays!$A$5:$A$60,0)),"")="Eve","Eve","Workday")))</f>
        <v>Workday</v>
      </c>
      <c r="D343" s="18" t="str">
        <f aca="false">IFERROR(INDEX(Holidays!$C$5:$C$60,MATCH(A343,Holidays!$A$5:$A$60,0)),"")</f>
        <v/>
      </c>
      <c r="E343" s="31"/>
      <c r="F343" s="32"/>
      <c r="G343" s="32"/>
      <c r="H343" s="32"/>
      <c r="I343" s="32"/>
      <c r="J343" s="31"/>
      <c r="K343" s="33" t="str">
        <f aca="false">IF(E343&lt;&gt;"",E343,IF(U343,"Present",IF(C343="Holiday","Holiday","Weekend")))</f>
        <v>Present</v>
      </c>
      <c r="L343" s="34" t="n">
        <f aca="false">IF(OR(K343="Present",K343="Manual Work",K343="Partial Vacation",K343="Partial Sick Leave"),IF(ISNUMBER(F343),F343,IF(AND(K343="Present",U343),Settings!$B$6,"")),"")</f>
        <v>0.333333333333333</v>
      </c>
      <c r="M343" s="34" t="n">
        <f aca="false">IF(OR(K343="Present",K343="Manual Work",K343="Partial Vacation",K343="Partial Sick Leave"),IF(ISNUMBER(G343),G343,IF(AND(K343="Present",U343),V343,"")),"")</f>
        <v>0.6875</v>
      </c>
      <c r="N343" s="14" t="n">
        <f aca="false">IF(AND(ISNUMBER(L343),ISNUMBER(M343)),MAX(0,(M343-L343)*24),0)</f>
        <v>8.5</v>
      </c>
      <c r="O343" s="14" t="n">
        <f aca="false">IF(NOT(U343),0,IF(K343="Vacation",IF(C343="Eve",Settings!$B$9*Settings!$B$11,W343),IF(K343="Partial Vacation",IF(AND(ISNUMBER(H343),ISNUMBER(I343)),MAX(0,(I343-H343)*24),0),0)))</f>
        <v>0</v>
      </c>
      <c r="P343" s="14" t="n">
        <f aca="false">IF(NOT(U343),0,IF(K343="Sick Leave",W343,IF(K343="Partial Sick Leave",IF(AND(ISNUMBER(H343),ISNUMBER(I343)),MAX(0,(I343-H343)*24),0),0)))</f>
        <v>0</v>
      </c>
      <c r="Q343" s="14" t="n">
        <f aca="false">IF(NOT(U343),0,IF(K343="Vacation",IF(C343="Eve",Settings!$B$11,1),IF(K343="Partial Vacation",O343/Settings!$B$9,0)))</f>
        <v>0</v>
      </c>
      <c r="R343" s="14" t="n">
        <f aca="false">IF(NOT(U343),0,IF(K343="Sick Leave",1,IF(K343="Partial Sick Leave",P343/Settings!$B$9,0)))</f>
        <v>0</v>
      </c>
      <c r="S343" s="35" t="str">
        <f aca="false">IF(AND(OR(E343="Vacation",E343="Sick Leave",E343="Partial Vacation",E343="Partial Sick Leave"),NOT(U343)),"Leave not allowed on this day",IF(AND(E343="Manual Work",OR(NOT(ISNUMBER(F343)),NOT(ISNUMBER(G343)))),"Enter start and end",IF(AND(OR(E343="Partial Vacation",E343="Partial Sick Leave"),OR(NOT(ISNUMBER(H343)),NOT(ISNUMBER(I343)))),"Enter leave from and to",IF(AND(ISNUMBER(F343),ISNUMBER(G343),G343&lt;=F343),"End is before start",IF(AND(ISNUMBER(H343),ISNUMBER(I343),I343&lt;=H343),"Leave end is before start",IF(AND(ISNUMBER(F343),ISNUMBER(G343),ISNUMBER(H343),ISNUMBER(I343),F343&lt;I343,H343&lt;G343),"Work and leave hours overlap",IF(AND(E343&lt;&gt;"",WEEKDAY(A343)=7),"Saturday - administrator only","")))))))</f>
        <v/>
      </c>
      <c r="T343" s="36" t="n">
        <f aca="false">MONTH(A343)</f>
        <v>12</v>
      </c>
      <c r="U343" s="37" t="b">
        <f aca="false">OR(C343="Workday",C343="Eve")</f>
        <v>1</v>
      </c>
      <c r="V343" s="34" t="n">
        <f aca="false">IF(C343="Eve",Settings!$B$8,Settings!$B$7)</f>
        <v>0.6875</v>
      </c>
      <c r="W343" s="14" t="n">
        <f aca="false">IF(U343,(V343-Settings!$B$6)*24,0)</f>
        <v>8.5</v>
      </c>
    </row>
    <row r="344" customFormat="false" ht="15" hidden="false" customHeight="false" outlineLevel="0" collapsed="false">
      <c r="A344" s="29" t="n">
        <v>46360</v>
      </c>
      <c r="B344" s="30" t="str">
        <f aca="false">CHOOSE(WEEKDAY(A344),"Sun","Mon","Tue","Wed","Thu","Fri","Sat")</f>
        <v>Fri</v>
      </c>
      <c r="C344" s="30" t="str">
        <f aca="false">IF(IFERROR(INDEX(Holidays!$D$5:$D$60,MATCH(A344,Holidays!$A$5:$A$60,0)),"")="Holiday","Holiday",IF(WEEKDAY(A344)&gt;=6,"Weekend",IF(IFERROR(INDEX(Holidays!$D$5:$D$60,MATCH(A344,Holidays!$A$5:$A$60,0)),"")="Eve","Eve","Workday")))</f>
        <v>Weekend</v>
      </c>
      <c r="D344" s="18" t="str">
        <f aca="false">IFERROR(INDEX(Holidays!$C$5:$C$60,MATCH(A344,Holidays!$A$5:$A$60,0)),"")</f>
        <v/>
      </c>
      <c r="E344" s="31"/>
      <c r="F344" s="32"/>
      <c r="G344" s="32"/>
      <c r="H344" s="32"/>
      <c r="I344" s="32"/>
      <c r="J344" s="31"/>
      <c r="K344" s="33" t="str">
        <f aca="false">IF(E344&lt;&gt;"",E344,IF(U344,"Present",IF(C344="Holiday","Holiday","Weekend")))</f>
        <v>Weekend</v>
      </c>
      <c r="L344" s="34" t="str">
        <f aca="false">IF(OR(K344="Present",K344="Manual Work",K344="Partial Vacation",K344="Partial Sick Leave"),IF(ISNUMBER(F344),F344,IF(AND(K344="Present",U344),Settings!$B$6,"")),"")</f>
        <v/>
      </c>
      <c r="M344" s="34" t="str">
        <f aca="false">IF(OR(K344="Present",K344="Manual Work",K344="Partial Vacation",K344="Partial Sick Leave"),IF(ISNUMBER(G344),G344,IF(AND(K344="Present",U344),V344,"")),"")</f>
        <v/>
      </c>
      <c r="N344" s="14" t="n">
        <f aca="false">IF(AND(ISNUMBER(L344),ISNUMBER(M344)),MAX(0,(M344-L344)*24),0)</f>
        <v>0</v>
      </c>
      <c r="O344" s="14" t="n">
        <f aca="false">IF(NOT(U344),0,IF(K344="Vacation",IF(C344="Eve",Settings!$B$9*Settings!$B$11,W344),IF(K344="Partial Vacation",IF(AND(ISNUMBER(H344),ISNUMBER(I344)),MAX(0,(I344-H344)*24),0),0)))</f>
        <v>0</v>
      </c>
      <c r="P344" s="14" t="n">
        <f aca="false">IF(NOT(U344),0,IF(K344="Sick Leave",W344,IF(K344="Partial Sick Leave",IF(AND(ISNUMBER(H344),ISNUMBER(I344)),MAX(0,(I344-H344)*24),0),0)))</f>
        <v>0</v>
      </c>
      <c r="Q344" s="14" t="n">
        <f aca="false">IF(NOT(U344),0,IF(K344="Vacation",IF(C344="Eve",Settings!$B$11,1),IF(K344="Partial Vacation",O344/Settings!$B$9,0)))</f>
        <v>0</v>
      </c>
      <c r="R344" s="14" t="n">
        <f aca="false">IF(NOT(U344),0,IF(K344="Sick Leave",1,IF(K344="Partial Sick Leave",P344/Settings!$B$9,0)))</f>
        <v>0</v>
      </c>
      <c r="S344" s="35" t="str">
        <f aca="false">IF(AND(OR(E344="Vacation",E344="Sick Leave",E344="Partial Vacation",E344="Partial Sick Leave"),NOT(U344)),"Leave not allowed on this day",IF(AND(E344="Manual Work",OR(NOT(ISNUMBER(F344)),NOT(ISNUMBER(G344)))),"Enter start and end",IF(AND(OR(E344="Partial Vacation",E344="Partial Sick Leave"),OR(NOT(ISNUMBER(H344)),NOT(ISNUMBER(I344)))),"Enter leave from and to",IF(AND(ISNUMBER(F344),ISNUMBER(G344),G344&lt;=F344),"End is before start",IF(AND(ISNUMBER(H344),ISNUMBER(I344),I344&lt;=H344),"Leave end is before start",IF(AND(ISNUMBER(F344),ISNUMBER(G344),ISNUMBER(H344),ISNUMBER(I344),F344&lt;I344,H344&lt;G344),"Work and leave hours overlap",IF(AND(E344&lt;&gt;"",WEEKDAY(A344)=7),"Saturday - administrator only","")))))))</f>
        <v/>
      </c>
      <c r="T344" s="36" t="n">
        <f aca="false">MONTH(A344)</f>
        <v>12</v>
      </c>
      <c r="U344" s="37" t="b">
        <f aca="false">OR(C344="Workday",C344="Eve")</f>
        <v>0</v>
      </c>
      <c r="V344" s="34" t="n">
        <f aca="false">IF(C344="Eve",Settings!$B$8,Settings!$B$7)</f>
        <v>0.6875</v>
      </c>
      <c r="W344" s="14" t="n">
        <f aca="false">IF(U344,(V344-Settings!$B$6)*24,0)</f>
        <v>0</v>
      </c>
    </row>
    <row r="345" customFormat="false" ht="15" hidden="false" customHeight="false" outlineLevel="0" collapsed="false">
      <c r="A345" s="29" t="n">
        <v>46361</v>
      </c>
      <c r="B345" s="30" t="str">
        <f aca="false">CHOOSE(WEEKDAY(A345),"Sun","Mon","Tue","Wed","Thu","Fri","Sat")</f>
        <v>Sat</v>
      </c>
      <c r="C345" s="30" t="str">
        <f aca="false">IF(IFERROR(INDEX(Holidays!$D$5:$D$60,MATCH(A345,Holidays!$A$5:$A$60,0)),"")="Holiday","Holiday",IF(WEEKDAY(A345)&gt;=6,"Weekend",IF(IFERROR(INDEX(Holidays!$D$5:$D$60,MATCH(A345,Holidays!$A$5:$A$60,0)),"")="Eve","Eve","Workday")))</f>
        <v>Weekend</v>
      </c>
      <c r="D345" s="18" t="str">
        <f aca="false">IFERROR(INDEX(Holidays!$C$5:$C$60,MATCH(A345,Holidays!$A$5:$A$60,0)),"")</f>
        <v/>
      </c>
      <c r="E345" s="31"/>
      <c r="F345" s="32"/>
      <c r="G345" s="32"/>
      <c r="H345" s="32"/>
      <c r="I345" s="32"/>
      <c r="J345" s="31"/>
      <c r="K345" s="33" t="str">
        <f aca="false">IF(E345&lt;&gt;"",E345,IF(U345,"Present",IF(C345="Holiday","Holiday","Weekend")))</f>
        <v>Weekend</v>
      </c>
      <c r="L345" s="34" t="str">
        <f aca="false">IF(OR(K345="Present",K345="Manual Work",K345="Partial Vacation",K345="Partial Sick Leave"),IF(ISNUMBER(F345),F345,IF(AND(K345="Present",U345),Settings!$B$6,"")),"")</f>
        <v/>
      </c>
      <c r="M345" s="34" t="str">
        <f aca="false">IF(OR(K345="Present",K345="Manual Work",K345="Partial Vacation",K345="Partial Sick Leave"),IF(ISNUMBER(G345),G345,IF(AND(K345="Present",U345),V345,"")),"")</f>
        <v/>
      </c>
      <c r="N345" s="14" t="n">
        <f aca="false">IF(AND(ISNUMBER(L345),ISNUMBER(M345)),MAX(0,(M345-L345)*24),0)</f>
        <v>0</v>
      </c>
      <c r="O345" s="14" t="n">
        <f aca="false">IF(NOT(U345),0,IF(K345="Vacation",IF(C345="Eve",Settings!$B$9*Settings!$B$11,W345),IF(K345="Partial Vacation",IF(AND(ISNUMBER(H345),ISNUMBER(I345)),MAX(0,(I345-H345)*24),0),0)))</f>
        <v>0</v>
      </c>
      <c r="P345" s="14" t="n">
        <f aca="false">IF(NOT(U345),0,IF(K345="Sick Leave",W345,IF(K345="Partial Sick Leave",IF(AND(ISNUMBER(H345),ISNUMBER(I345)),MAX(0,(I345-H345)*24),0),0)))</f>
        <v>0</v>
      </c>
      <c r="Q345" s="14" t="n">
        <f aca="false">IF(NOT(U345),0,IF(K345="Vacation",IF(C345="Eve",Settings!$B$11,1),IF(K345="Partial Vacation",O345/Settings!$B$9,0)))</f>
        <v>0</v>
      </c>
      <c r="R345" s="14" t="n">
        <f aca="false">IF(NOT(U345),0,IF(K345="Sick Leave",1,IF(K345="Partial Sick Leave",P345/Settings!$B$9,0)))</f>
        <v>0</v>
      </c>
      <c r="S345" s="35" t="str">
        <f aca="false">IF(AND(OR(E345="Vacation",E345="Sick Leave",E345="Partial Vacation",E345="Partial Sick Leave"),NOT(U345)),"Leave not allowed on this day",IF(AND(E345="Manual Work",OR(NOT(ISNUMBER(F345)),NOT(ISNUMBER(G345)))),"Enter start and end",IF(AND(OR(E345="Partial Vacation",E345="Partial Sick Leave"),OR(NOT(ISNUMBER(H345)),NOT(ISNUMBER(I345)))),"Enter leave from and to",IF(AND(ISNUMBER(F345),ISNUMBER(G345),G345&lt;=F345),"End is before start",IF(AND(ISNUMBER(H345),ISNUMBER(I345),I345&lt;=H345),"Leave end is before start",IF(AND(ISNUMBER(F345),ISNUMBER(G345),ISNUMBER(H345),ISNUMBER(I345),F345&lt;I345,H345&lt;G345),"Work and leave hours overlap",IF(AND(E345&lt;&gt;"",WEEKDAY(A345)=7),"Saturday - administrator only","")))))))</f>
        <v/>
      </c>
      <c r="T345" s="36" t="n">
        <f aca="false">MONTH(A345)</f>
        <v>12</v>
      </c>
      <c r="U345" s="37" t="b">
        <f aca="false">OR(C345="Workday",C345="Eve")</f>
        <v>0</v>
      </c>
      <c r="V345" s="34" t="n">
        <f aca="false">IF(C345="Eve",Settings!$B$8,Settings!$B$7)</f>
        <v>0.6875</v>
      </c>
      <c r="W345" s="14" t="n">
        <f aca="false">IF(U345,(V345-Settings!$B$6)*24,0)</f>
        <v>0</v>
      </c>
    </row>
    <row r="346" customFormat="false" ht="15" hidden="false" customHeight="false" outlineLevel="0" collapsed="false">
      <c r="A346" s="29" t="n">
        <v>46362</v>
      </c>
      <c r="B346" s="30" t="str">
        <f aca="false">CHOOSE(WEEKDAY(A346),"Sun","Mon","Tue","Wed","Thu","Fri","Sat")</f>
        <v>Sun</v>
      </c>
      <c r="C346" s="30" t="str">
        <f aca="false">IF(IFERROR(INDEX(Holidays!$D$5:$D$60,MATCH(A346,Holidays!$A$5:$A$60,0)),"")="Holiday","Holiday",IF(WEEKDAY(A346)&gt;=6,"Weekend",IF(IFERROR(INDEX(Holidays!$D$5:$D$60,MATCH(A346,Holidays!$A$5:$A$60,0)),"")="Eve","Eve","Workday")))</f>
        <v>Workday</v>
      </c>
      <c r="D346" s="18" t="str">
        <f aca="false">IFERROR(INDEX(Holidays!$C$5:$C$60,MATCH(A346,Holidays!$A$5:$A$60,0)),"")</f>
        <v/>
      </c>
      <c r="E346" s="31"/>
      <c r="F346" s="32"/>
      <c r="G346" s="32"/>
      <c r="H346" s="32"/>
      <c r="I346" s="32"/>
      <c r="J346" s="31"/>
      <c r="K346" s="33" t="str">
        <f aca="false">IF(E346&lt;&gt;"",E346,IF(U346,"Present",IF(C346="Holiday","Holiday","Weekend")))</f>
        <v>Present</v>
      </c>
      <c r="L346" s="34" t="n">
        <f aca="false">IF(OR(K346="Present",K346="Manual Work",K346="Partial Vacation",K346="Partial Sick Leave"),IF(ISNUMBER(F346),F346,IF(AND(K346="Present",U346),Settings!$B$6,"")),"")</f>
        <v>0.333333333333333</v>
      </c>
      <c r="M346" s="34" t="n">
        <f aca="false">IF(OR(K346="Present",K346="Manual Work",K346="Partial Vacation",K346="Partial Sick Leave"),IF(ISNUMBER(G346),G346,IF(AND(K346="Present",U346),V346,"")),"")</f>
        <v>0.6875</v>
      </c>
      <c r="N346" s="14" t="n">
        <f aca="false">IF(AND(ISNUMBER(L346),ISNUMBER(M346)),MAX(0,(M346-L346)*24),0)</f>
        <v>8.5</v>
      </c>
      <c r="O346" s="14" t="n">
        <f aca="false">IF(NOT(U346),0,IF(K346="Vacation",IF(C346="Eve",Settings!$B$9*Settings!$B$11,W346),IF(K346="Partial Vacation",IF(AND(ISNUMBER(H346),ISNUMBER(I346)),MAX(0,(I346-H346)*24),0),0)))</f>
        <v>0</v>
      </c>
      <c r="P346" s="14" t="n">
        <f aca="false">IF(NOT(U346),0,IF(K346="Sick Leave",W346,IF(K346="Partial Sick Leave",IF(AND(ISNUMBER(H346),ISNUMBER(I346)),MAX(0,(I346-H346)*24),0),0)))</f>
        <v>0</v>
      </c>
      <c r="Q346" s="14" t="n">
        <f aca="false">IF(NOT(U346),0,IF(K346="Vacation",IF(C346="Eve",Settings!$B$11,1),IF(K346="Partial Vacation",O346/Settings!$B$9,0)))</f>
        <v>0</v>
      </c>
      <c r="R346" s="14" t="n">
        <f aca="false">IF(NOT(U346),0,IF(K346="Sick Leave",1,IF(K346="Partial Sick Leave",P346/Settings!$B$9,0)))</f>
        <v>0</v>
      </c>
      <c r="S346" s="35" t="str">
        <f aca="false">IF(AND(OR(E346="Vacation",E346="Sick Leave",E346="Partial Vacation",E346="Partial Sick Leave"),NOT(U346)),"Leave not allowed on this day",IF(AND(E346="Manual Work",OR(NOT(ISNUMBER(F346)),NOT(ISNUMBER(G346)))),"Enter start and end",IF(AND(OR(E346="Partial Vacation",E346="Partial Sick Leave"),OR(NOT(ISNUMBER(H346)),NOT(ISNUMBER(I346)))),"Enter leave from and to",IF(AND(ISNUMBER(F346),ISNUMBER(G346),G346&lt;=F346),"End is before start",IF(AND(ISNUMBER(H346),ISNUMBER(I346),I346&lt;=H346),"Leave end is before start",IF(AND(ISNUMBER(F346),ISNUMBER(G346),ISNUMBER(H346),ISNUMBER(I346),F346&lt;I346,H346&lt;G346),"Work and leave hours overlap",IF(AND(E346&lt;&gt;"",WEEKDAY(A346)=7),"Saturday - administrator only","")))))))</f>
        <v/>
      </c>
      <c r="T346" s="36" t="n">
        <f aca="false">MONTH(A346)</f>
        <v>12</v>
      </c>
      <c r="U346" s="37" t="b">
        <f aca="false">OR(C346="Workday",C346="Eve")</f>
        <v>1</v>
      </c>
      <c r="V346" s="34" t="n">
        <f aca="false">IF(C346="Eve",Settings!$B$8,Settings!$B$7)</f>
        <v>0.6875</v>
      </c>
      <c r="W346" s="14" t="n">
        <f aca="false">IF(U346,(V346-Settings!$B$6)*24,0)</f>
        <v>8.5</v>
      </c>
    </row>
    <row r="347" customFormat="false" ht="15" hidden="false" customHeight="false" outlineLevel="0" collapsed="false">
      <c r="A347" s="29" t="n">
        <v>46363</v>
      </c>
      <c r="B347" s="30" t="str">
        <f aca="false">CHOOSE(WEEKDAY(A347),"Sun","Mon","Tue","Wed","Thu","Fri","Sat")</f>
        <v>Mon</v>
      </c>
      <c r="C347" s="30" t="str">
        <f aca="false">IF(IFERROR(INDEX(Holidays!$D$5:$D$60,MATCH(A347,Holidays!$A$5:$A$60,0)),"")="Holiday","Holiday",IF(WEEKDAY(A347)&gt;=6,"Weekend",IF(IFERROR(INDEX(Holidays!$D$5:$D$60,MATCH(A347,Holidays!$A$5:$A$60,0)),"")="Eve","Eve","Workday")))</f>
        <v>Workday</v>
      </c>
      <c r="D347" s="18" t="str">
        <f aca="false">IFERROR(INDEX(Holidays!$C$5:$C$60,MATCH(A347,Holidays!$A$5:$A$60,0)),"")</f>
        <v/>
      </c>
      <c r="E347" s="31"/>
      <c r="F347" s="32"/>
      <c r="G347" s="32"/>
      <c r="H347" s="32"/>
      <c r="I347" s="32"/>
      <c r="J347" s="31"/>
      <c r="K347" s="33" t="str">
        <f aca="false">IF(E347&lt;&gt;"",E347,IF(U347,"Present",IF(C347="Holiday","Holiday","Weekend")))</f>
        <v>Present</v>
      </c>
      <c r="L347" s="34" t="n">
        <f aca="false">IF(OR(K347="Present",K347="Manual Work",K347="Partial Vacation",K347="Partial Sick Leave"),IF(ISNUMBER(F347),F347,IF(AND(K347="Present",U347),Settings!$B$6,"")),"")</f>
        <v>0.333333333333333</v>
      </c>
      <c r="M347" s="34" t="n">
        <f aca="false">IF(OR(K347="Present",K347="Manual Work",K347="Partial Vacation",K347="Partial Sick Leave"),IF(ISNUMBER(G347),G347,IF(AND(K347="Present",U347),V347,"")),"")</f>
        <v>0.6875</v>
      </c>
      <c r="N347" s="14" t="n">
        <f aca="false">IF(AND(ISNUMBER(L347),ISNUMBER(M347)),MAX(0,(M347-L347)*24),0)</f>
        <v>8.5</v>
      </c>
      <c r="O347" s="14" t="n">
        <f aca="false">IF(NOT(U347),0,IF(K347="Vacation",IF(C347="Eve",Settings!$B$9*Settings!$B$11,W347),IF(K347="Partial Vacation",IF(AND(ISNUMBER(H347),ISNUMBER(I347)),MAX(0,(I347-H347)*24),0),0)))</f>
        <v>0</v>
      </c>
      <c r="P347" s="14" t="n">
        <f aca="false">IF(NOT(U347),0,IF(K347="Sick Leave",W347,IF(K347="Partial Sick Leave",IF(AND(ISNUMBER(H347),ISNUMBER(I347)),MAX(0,(I347-H347)*24),0),0)))</f>
        <v>0</v>
      </c>
      <c r="Q347" s="14" t="n">
        <f aca="false">IF(NOT(U347),0,IF(K347="Vacation",IF(C347="Eve",Settings!$B$11,1),IF(K347="Partial Vacation",O347/Settings!$B$9,0)))</f>
        <v>0</v>
      </c>
      <c r="R347" s="14" t="n">
        <f aca="false">IF(NOT(U347),0,IF(K347="Sick Leave",1,IF(K347="Partial Sick Leave",P347/Settings!$B$9,0)))</f>
        <v>0</v>
      </c>
      <c r="S347" s="35" t="str">
        <f aca="false">IF(AND(OR(E347="Vacation",E347="Sick Leave",E347="Partial Vacation",E347="Partial Sick Leave"),NOT(U347)),"Leave not allowed on this day",IF(AND(E347="Manual Work",OR(NOT(ISNUMBER(F347)),NOT(ISNUMBER(G347)))),"Enter start and end",IF(AND(OR(E347="Partial Vacation",E347="Partial Sick Leave"),OR(NOT(ISNUMBER(H347)),NOT(ISNUMBER(I347)))),"Enter leave from and to",IF(AND(ISNUMBER(F347),ISNUMBER(G347),G347&lt;=F347),"End is before start",IF(AND(ISNUMBER(H347),ISNUMBER(I347),I347&lt;=H347),"Leave end is before start",IF(AND(ISNUMBER(F347),ISNUMBER(G347),ISNUMBER(H347),ISNUMBER(I347),F347&lt;I347,H347&lt;G347),"Work and leave hours overlap",IF(AND(E347&lt;&gt;"",WEEKDAY(A347)=7),"Saturday - administrator only","")))))))</f>
        <v/>
      </c>
      <c r="T347" s="36" t="n">
        <f aca="false">MONTH(A347)</f>
        <v>12</v>
      </c>
      <c r="U347" s="37" t="b">
        <f aca="false">OR(C347="Workday",C347="Eve")</f>
        <v>1</v>
      </c>
      <c r="V347" s="34" t="n">
        <f aca="false">IF(C347="Eve",Settings!$B$8,Settings!$B$7)</f>
        <v>0.6875</v>
      </c>
      <c r="W347" s="14" t="n">
        <f aca="false">IF(U347,(V347-Settings!$B$6)*24,0)</f>
        <v>8.5</v>
      </c>
    </row>
    <row r="348" customFormat="false" ht="15" hidden="false" customHeight="false" outlineLevel="0" collapsed="false">
      <c r="A348" s="29" t="n">
        <v>46364</v>
      </c>
      <c r="B348" s="30" t="str">
        <f aca="false">CHOOSE(WEEKDAY(A348),"Sun","Mon","Tue","Wed","Thu","Fri","Sat")</f>
        <v>Tue</v>
      </c>
      <c r="C348" s="30" t="str">
        <f aca="false">IF(IFERROR(INDEX(Holidays!$D$5:$D$60,MATCH(A348,Holidays!$A$5:$A$60,0)),"")="Holiday","Holiday",IF(WEEKDAY(A348)&gt;=6,"Weekend",IF(IFERROR(INDEX(Holidays!$D$5:$D$60,MATCH(A348,Holidays!$A$5:$A$60,0)),"")="Eve","Eve","Workday")))</f>
        <v>Workday</v>
      </c>
      <c r="D348" s="18" t="str">
        <f aca="false">IFERROR(INDEX(Holidays!$C$5:$C$60,MATCH(A348,Holidays!$A$5:$A$60,0)),"")</f>
        <v/>
      </c>
      <c r="E348" s="31"/>
      <c r="F348" s="32"/>
      <c r="G348" s="32"/>
      <c r="H348" s="32"/>
      <c r="I348" s="32"/>
      <c r="J348" s="31"/>
      <c r="K348" s="33" t="str">
        <f aca="false">IF(E348&lt;&gt;"",E348,IF(U348,"Present",IF(C348="Holiday","Holiday","Weekend")))</f>
        <v>Present</v>
      </c>
      <c r="L348" s="34" t="n">
        <f aca="false">IF(OR(K348="Present",K348="Manual Work",K348="Partial Vacation",K348="Partial Sick Leave"),IF(ISNUMBER(F348),F348,IF(AND(K348="Present",U348),Settings!$B$6,"")),"")</f>
        <v>0.333333333333333</v>
      </c>
      <c r="M348" s="34" t="n">
        <f aca="false">IF(OR(K348="Present",K348="Manual Work",K348="Partial Vacation",K348="Partial Sick Leave"),IF(ISNUMBER(G348),G348,IF(AND(K348="Present",U348),V348,"")),"")</f>
        <v>0.6875</v>
      </c>
      <c r="N348" s="14" t="n">
        <f aca="false">IF(AND(ISNUMBER(L348),ISNUMBER(M348)),MAX(0,(M348-L348)*24),0)</f>
        <v>8.5</v>
      </c>
      <c r="O348" s="14" t="n">
        <f aca="false">IF(NOT(U348),0,IF(K348="Vacation",IF(C348="Eve",Settings!$B$9*Settings!$B$11,W348),IF(K348="Partial Vacation",IF(AND(ISNUMBER(H348),ISNUMBER(I348)),MAX(0,(I348-H348)*24),0),0)))</f>
        <v>0</v>
      </c>
      <c r="P348" s="14" t="n">
        <f aca="false">IF(NOT(U348),0,IF(K348="Sick Leave",W348,IF(K348="Partial Sick Leave",IF(AND(ISNUMBER(H348),ISNUMBER(I348)),MAX(0,(I348-H348)*24),0),0)))</f>
        <v>0</v>
      </c>
      <c r="Q348" s="14" t="n">
        <f aca="false">IF(NOT(U348),0,IF(K348="Vacation",IF(C348="Eve",Settings!$B$11,1),IF(K348="Partial Vacation",O348/Settings!$B$9,0)))</f>
        <v>0</v>
      </c>
      <c r="R348" s="14" t="n">
        <f aca="false">IF(NOT(U348),0,IF(K348="Sick Leave",1,IF(K348="Partial Sick Leave",P348/Settings!$B$9,0)))</f>
        <v>0</v>
      </c>
      <c r="S348" s="35" t="str">
        <f aca="false">IF(AND(OR(E348="Vacation",E348="Sick Leave",E348="Partial Vacation",E348="Partial Sick Leave"),NOT(U348)),"Leave not allowed on this day",IF(AND(E348="Manual Work",OR(NOT(ISNUMBER(F348)),NOT(ISNUMBER(G348)))),"Enter start and end",IF(AND(OR(E348="Partial Vacation",E348="Partial Sick Leave"),OR(NOT(ISNUMBER(H348)),NOT(ISNUMBER(I348)))),"Enter leave from and to",IF(AND(ISNUMBER(F348),ISNUMBER(G348),G348&lt;=F348),"End is before start",IF(AND(ISNUMBER(H348),ISNUMBER(I348),I348&lt;=H348),"Leave end is before start",IF(AND(ISNUMBER(F348),ISNUMBER(G348),ISNUMBER(H348),ISNUMBER(I348),F348&lt;I348,H348&lt;G348),"Work and leave hours overlap",IF(AND(E348&lt;&gt;"",WEEKDAY(A348)=7),"Saturday - administrator only","")))))))</f>
        <v/>
      </c>
      <c r="T348" s="36" t="n">
        <f aca="false">MONTH(A348)</f>
        <v>12</v>
      </c>
      <c r="U348" s="37" t="b">
        <f aca="false">OR(C348="Workday",C348="Eve")</f>
        <v>1</v>
      </c>
      <c r="V348" s="34" t="n">
        <f aca="false">IF(C348="Eve",Settings!$B$8,Settings!$B$7)</f>
        <v>0.6875</v>
      </c>
      <c r="W348" s="14" t="n">
        <f aca="false">IF(U348,(V348-Settings!$B$6)*24,0)</f>
        <v>8.5</v>
      </c>
    </row>
    <row r="349" customFormat="false" ht="15" hidden="false" customHeight="false" outlineLevel="0" collapsed="false">
      <c r="A349" s="29" t="n">
        <v>46365</v>
      </c>
      <c r="B349" s="30" t="str">
        <f aca="false">CHOOSE(WEEKDAY(A349),"Sun","Mon","Tue","Wed","Thu","Fri","Sat")</f>
        <v>Wed</v>
      </c>
      <c r="C349" s="30" t="str">
        <f aca="false">IF(IFERROR(INDEX(Holidays!$D$5:$D$60,MATCH(A349,Holidays!$A$5:$A$60,0)),"")="Holiday","Holiday",IF(WEEKDAY(A349)&gt;=6,"Weekend",IF(IFERROR(INDEX(Holidays!$D$5:$D$60,MATCH(A349,Holidays!$A$5:$A$60,0)),"")="Eve","Eve","Workday")))</f>
        <v>Workday</v>
      </c>
      <c r="D349" s="18" t="str">
        <f aca="false">IFERROR(INDEX(Holidays!$C$5:$C$60,MATCH(A349,Holidays!$A$5:$A$60,0)),"")</f>
        <v/>
      </c>
      <c r="E349" s="31"/>
      <c r="F349" s="32"/>
      <c r="G349" s="32"/>
      <c r="H349" s="32"/>
      <c r="I349" s="32"/>
      <c r="J349" s="31"/>
      <c r="K349" s="33" t="str">
        <f aca="false">IF(E349&lt;&gt;"",E349,IF(U349,"Present",IF(C349="Holiday","Holiday","Weekend")))</f>
        <v>Present</v>
      </c>
      <c r="L349" s="34" t="n">
        <f aca="false">IF(OR(K349="Present",K349="Manual Work",K349="Partial Vacation",K349="Partial Sick Leave"),IF(ISNUMBER(F349),F349,IF(AND(K349="Present",U349),Settings!$B$6,"")),"")</f>
        <v>0.333333333333333</v>
      </c>
      <c r="M349" s="34" t="n">
        <f aca="false">IF(OR(K349="Present",K349="Manual Work",K349="Partial Vacation",K349="Partial Sick Leave"),IF(ISNUMBER(G349),G349,IF(AND(K349="Present",U349),V349,"")),"")</f>
        <v>0.6875</v>
      </c>
      <c r="N349" s="14" t="n">
        <f aca="false">IF(AND(ISNUMBER(L349),ISNUMBER(M349)),MAX(0,(M349-L349)*24),0)</f>
        <v>8.5</v>
      </c>
      <c r="O349" s="14" t="n">
        <f aca="false">IF(NOT(U349),0,IF(K349="Vacation",IF(C349="Eve",Settings!$B$9*Settings!$B$11,W349),IF(K349="Partial Vacation",IF(AND(ISNUMBER(H349),ISNUMBER(I349)),MAX(0,(I349-H349)*24),0),0)))</f>
        <v>0</v>
      </c>
      <c r="P349" s="14" t="n">
        <f aca="false">IF(NOT(U349),0,IF(K349="Sick Leave",W349,IF(K349="Partial Sick Leave",IF(AND(ISNUMBER(H349),ISNUMBER(I349)),MAX(0,(I349-H349)*24),0),0)))</f>
        <v>0</v>
      </c>
      <c r="Q349" s="14" t="n">
        <f aca="false">IF(NOT(U349),0,IF(K349="Vacation",IF(C349="Eve",Settings!$B$11,1),IF(K349="Partial Vacation",O349/Settings!$B$9,0)))</f>
        <v>0</v>
      </c>
      <c r="R349" s="14" t="n">
        <f aca="false">IF(NOT(U349),0,IF(K349="Sick Leave",1,IF(K349="Partial Sick Leave",P349/Settings!$B$9,0)))</f>
        <v>0</v>
      </c>
      <c r="S349" s="35" t="str">
        <f aca="false">IF(AND(OR(E349="Vacation",E349="Sick Leave",E349="Partial Vacation",E349="Partial Sick Leave"),NOT(U349)),"Leave not allowed on this day",IF(AND(E349="Manual Work",OR(NOT(ISNUMBER(F349)),NOT(ISNUMBER(G349)))),"Enter start and end",IF(AND(OR(E349="Partial Vacation",E349="Partial Sick Leave"),OR(NOT(ISNUMBER(H349)),NOT(ISNUMBER(I349)))),"Enter leave from and to",IF(AND(ISNUMBER(F349),ISNUMBER(G349),G349&lt;=F349),"End is before start",IF(AND(ISNUMBER(H349),ISNUMBER(I349),I349&lt;=H349),"Leave end is before start",IF(AND(ISNUMBER(F349),ISNUMBER(G349),ISNUMBER(H349),ISNUMBER(I349),F349&lt;I349,H349&lt;G349),"Work and leave hours overlap",IF(AND(E349&lt;&gt;"",WEEKDAY(A349)=7),"Saturday - administrator only","")))))))</f>
        <v/>
      </c>
      <c r="T349" s="36" t="n">
        <f aca="false">MONTH(A349)</f>
        <v>12</v>
      </c>
      <c r="U349" s="37" t="b">
        <f aca="false">OR(C349="Workday",C349="Eve")</f>
        <v>1</v>
      </c>
      <c r="V349" s="34" t="n">
        <f aca="false">IF(C349="Eve",Settings!$B$8,Settings!$B$7)</f>
        <v>0.6875</v>
      </c>
      <c r="W349" s="14" t="n">
        <f aca="false">IF(U349,(V349-Settings!$B$6)*24,0)</f>
        <v>8.5</v>
      </c>
    </row>
    <row r="350" customFormat="false" ht="15" hidden="false" customHeight="false" outlineLevel="0" collapsed="false">
      <c r="A350" s="29" t="n">
        <v>46366</v>
      </c>
      <c r="B350" s="30" t="str">
        <f aca="false">CHOOSE(WEEKDAY(A350),"Sun","Mon","Tue","Wed","Thu","Fri","Sat")</f>
        <v>Thu</v>
      </c>
      <c r="C350" s="30" t="str">
        <f aca="false">IF(IFERROR(INDEX(Holidays!$D$5:$D$60,MATCH(A350,Holidays!$A$5:$A$60,0)),"")="Holiday","Holiday",IF(WEEKDAY(A350)&gt;=6,"Weekend",IF(IFERROR(INDEX(Holidays!$D$5:$D$60,MATCH(A350,Holidays!$A$5:$A$60,0)),"")="Eve","Eve","Workday")))</f>
        <v>Workday</v>
      </c>
      <c r="D350" s="18" t="str">
        <f aca="false">IFERROR(INDEX(Holidays!$C$5:$C$60,MATCH(A350,Holidays!$A$5:$A$60,0)),"")</f>
        <v/>
      </c>
      <c r="E350" s="31"/>
      <c r="F350" s="32"/>
      <c r="G350" s="32"/>
      <c r="H350" s="32"/>
      <c r="I350" s="32"/>
      <c r="J350" s="31"/>
      <c r="K350" s="33" t="str">
        <f aca="false">IF(E350&lt;&gt;"",E350,IF(U350,"Present",IF(C350="Holiday","Holiday","Weekend")))</f>
        <v>Present</v>
      </c>
      <c r="L350" s="34" t="n">
        <f aca="false">IF(OR(K350="Present",K350="Manual Work",K350="Partial Vacation",K350="Partial Sick Leave"),IF(ISNUMBER(F350),F350,IF(AND(K350="Present",U350),Settings!$B$6,"")),"")</f>
        <v>0.333333333333333</v>
      </c>
      <c r="M350" s="34" t="n">
        <f aca="false">IF(OR(K350="Present",K350="Manual Work",K350="Partial Vacation",K350="Partial Sick Leave"),IF(ISNUMBER(G350),G350,IF(AND(K350="Present",U350),V350,"")),"")</f>
        <v>0.6875</v>
      </c>
      <c r="N350" s="14" t="n">
        <f aca="false">IF(AND(ISNUMBER(L350),ISNUMBER(M350)),MAX(0,(M350-L350)*24),0)</f>
        <v>8.5</v>
      </c>
      <c r="O350" s="14" t="n">
        <f aca="false">IF(NOT(U350),0,IF(K350="Vacation",IF(C350="Eve",Settings!$B$9*Settings!$B$11,W350),IF(K350="Partial Vacation",IF(AND(ISNUMBER(H350),ISNUMBER(I350)),MAX(0,(I350-H350)*24),0),0)))</f>
        <v>0</v>
      </c>
      <c r="P350" s="14" t="n">
        <f aca="false">IF(NOT(U350),0,IF(K350="Sick Leave",W350,IF(K350="Partial Sick Leave",IF(AND(ISNUMBER(H350),ISNUMBER(I350)),MAX(0,(I350-H350)*24),0),0)))</f>
        <v>0</v>
      </c>
      <c r="Q350" s="14" t="n">
        <f aca="false">IF(NOT(U350),0,IF(K350="Vacation",IF(C350="Eve",Settings!$B$11,1),IF(K350="Partial Vacation",O350/Settings!$B$9,0)))</f>
        <v>0</v>
      </c>
      <c r="R350" s="14" t="n">
        <f aca="false">IF(NOT(U350),0,IF(K350="Sick Leave",1,IF(K350="Partial Sick Leave",P350/Settings!$B$9,0)))</f>
        <v>0</v>
      </c>
      <c r="S350" s="35" t="str">
        <f aca="false">IF(AND(OR(E350="Vacation",E350="Sick Leave",E350="Partial Vacation",E350="Partial Sick Leave"),NOT(U350)),"Leave not allowed on this day",IF(AND(E350="Manual Work",OR(NOT(ISNUMBER(F350)),NOT(ISNUMBER(G350)))),"Enter start and end",IF(AND(OR(E350="Partial Vacation",E350="Partial Sick Leave"),OR(NOT(ISNUMBER(H350)),NOT(ISNUMBER(I350)))),"Enter leave from and to",IF(AND(ISNUMBER(F350),ISNUMBER(G350),G350&lt;=F350),"End is before start",IF(AND(ISNUMBER(H350),ISNUMBER(I350),I350&lt;=H350),"Leave end is before start",IF(AND(ISNUMBER(F350),ISNUMBER(G350),ISNUMBER(H350),ISNUMBER(I350),F350&lt;I350,H350&lt;G350),"Work and leave hours overlap",IF(AND(E350&lt;&gt;"",WEEKDAY(A350)=7),"Saturday - administrator only","")))))))</f>
        <v/>
      </c>
      <c r="T350" s="36" t="n">
        <f aca="false">MONTH(A350)</f>
        <v>12</v>
      </c>
      <c r="U350" s="37" t="b">
        <f aca="false">OR(C350="Workday",C350="Eve")</f>
        <v>1</v>
      </c>
      <c r="V350" s="34" t="n">
        <f aca="false">IF(C350="Eve",Settings!$B$8,Settings!$B$7)</f>
        <v>0.6875</v>
      </c>
      <c r="W350" s="14" t="n">
        <f aca="false">IF(U350,(V350-Settings!$B$6)*24,0)</f>
        <v>8.5</v>
      </c>
    </row>
    <row r="351" customFormat="false" ht="15" hidden="false" customHeight="false" outlineLevel="0" collapsed="false">
      <c r="A351" s="29" t="n">
        <v>46367</v>
      </c>
      <c r="B351" s="30" t="str">
        <f aca="false">CHOOSE(WEEKDAY(A351),"Sun","Mon","Tue","Wed","Thu","Fri","Sat")</f>
        <v>Fri</v>
      </c>
      <c r="C351" s="30" t="str">
        <f aca="false">IF(IFERROR(INDEX(Holidays!$D$5:$D$60,MATCH(A351,Holidays!$A$5:$A$60,0)),"")="Holiday","Holiday",IF(WEEKDAY(A351)&gt;=6,"Weekend",IF(IFERROR(INDEX(Holidays!$D$5:$D$60,MATCH(A351,Holidays!$A$5:$A$60,0)),"")="Eve","Eve","Workday")))</f>
        <v>Weekend</v>
      </c>
      <c r="D351" s="18" t="str">
        <f aca="false">IFERROR(INDEX(Holidays!$C$5:$C$60,MATCH(A351,Holidays!$A$5:$A$60,0)),"")</f>
        <v/>
      </c>
      <c r="E351" s="31"/>
      <c r="F351" s="32"/>
      <c r="G351" s="32"/>
      <c r="H351" s="32"/>
      <c r="I351" s="32"/>
      <c r="J351" s="31"/>
      <c r="K351" s="33" t="str">
        <f aca="false">IF(E351&lt;&gt;"",E351,IF(U351,"Present",IF(C351="Holiday","Holiday","Weekend")))</f>
        <v>Weekend</v>
      </c>
      <c r="L351" s="34" t="str">
        <f aca="false">IF(OR(K351="Present",K351="Manual Work",K351="Partial Vacation",K351="Partial Sick Leave"),IF(ISNUMBER(F351),F351,IF(AND(K351="Present",U351),Settings!$B$6,"")),"")</f>
        <v/>
      </c>
      <c r="M351" s="34" t="str">
        <f aca="false">IF(OR(K351="Present",K351="Manual Work",K351="Partial Vacation",K351="Partial Sick Leave"),IF(ISNUMBER(G351),G351,IF(AND(K351="Present",U351),V351,"")),"")</f>
        <v/>
      </c>
      <c r="N351" s="14" t="n">
        <f aca="false">IF(AND(ISNUMBER(L351),ISNUMBER(M351)),MAX(0,(M351-L351)*24),0)</f>
        <v>0</v>
      </c>
      <c r="O351" s="14" t="n">
        <f aca="false">IF(NOT(U351),0,IF(K351="Vacation",IF(C351="Eve",Settings!$B$9*Settings!$B$11,W351),IF(K351="Partial Vacation",IF(AND(ISNUMBER(H351),ISNUMBER(I351)),MAX(0,(I351-H351)*24),0),0)))</f>
        <v>0</v>
      </c>
      <c r="P351" s="14" t="n">
        <f aca="false">IF(NOT(U351),0,IF(K351="Sick Leave",W351,IF(K351="Partial Sick Leave",IF(AND(ISNUMBER(H351),ISNUMBER(I351)),MAX(0,(I351-H351)*24),0),0)))</f>
        <v>0</v>
      </c>
      <c r="Q351" s="14" t="n">
        <f aca="false">IF(NOT(U351),0,IF(K351="Vacation",IF(C351="Eve",Settings!$B$11,1),IF(K351="Partial Vacation",O351/Settings!$B$9,0)))</f>
        <v>0</v>
      </c>
      <c r="R351" s="14" t="n">
        <f aca="false">IF(NOT(U351),0,IF(K351="Sick Leave",1,IF(K351="Partial Sick Leave",P351/Settings!$B$9,0)))</f>
        <v>0</v>
      </c>
      <c r="S351" s="35" t="str">
        <f aca="false">IF(AND(OR(E351="Vacation",E351="Sick Leave",E351="Partial Vacation",E351="Partial Sick Leave"),NOT(U351)),"Leave not allowed on this day",IF(AND(E351="Manual Work",OR(NOT(ISNUMBER(F351)),NOT(ISNUMBER(G351)))),"Enter start and end",IF(AND(OR(E351="Partial Vacation",E351="Partial Sick Leave"),OR(NOT(ISNUMBER(H351)),NOT(ISNUMBER(I351)))),"Enter leave from and to",IF(AND(ISNUMBER(F351),ISNUMBER(G351),G351&lt;=F351),"End is before start",IF(AND(ISNUMBER(H351),ISNUMBER(I351),I351&lt;=H351),"Leave end is before start",IF(AND(ISNUMBER(F351),ISNUMBER(G351),ISNUMBER(H351),ISNUMBER(I351),F351&lt;I351,H351&lt;G351),"Work and leave hours overlap",IF(AND(E351&lt;&gt;"",WEEKDAY(A351)=7),"Saturday - administrator only","")))))))</f>
        <v/>
      </c>
      <c r="T351" s="36" t="n">
        <f aca="false">MONTH(A351)</f>
        <v>12</v>
      </c>
      <c r="U351" s="37" t="b">
        <f aca="false">OR(C351="Workday",C351="Eve")</f>
        <v>0</v>
      </c>
      <c r="V351" s="34" t="n">
        <f aca="false">IF(C351="Eve",Settings!$B$8,Settings!$B$7)</f>
        <v>0.6875</v>
      </c>
      <c r="W351" s="14" t="n">
        <f aca="false">IF(U351,(V351-Settings!$B$6)*24,0)</f>
        <v>0</v>
      </c>
    </row>
    <row r="352" customFormat="false" ht="15" hidden="false" customHeight="false" outlineLevel="0" collapsed="false">
      <c r="A352" s="29" t="n">
        <v>46368</v>
      </c>
      <c r="B352" s="30" t="str">
        <f aca="false">CHOOSE(WEEKDAY(A352),"Sun","Mon","Tue","Wed","Thu","Fri","Sat")</f>
        <v>Sat</v>
      </c>
      <c r="C352" s="30" t="str">
        <f aca="false">IF(IFERROR(INDEX(Holidays!$D$5:$D$60,MATCH(A352,Holidays!$A$5:$A$60,0)),"")="Holiday","Holiday",IF(WEEKDAY(A352)&gt;=6,"Weekend",IF(IFERROR(INDEX(Holidays!$D$5:$D$60,MATCH(A352,Holidays!$A$5:$A$60,0)),"")="Eve","Eve","Workday")))</f>
        <v>Weekend</v>
      </c>
      <c r="D352" s="18" t="str">
        <f aca="false">IFERROR(INDEX(Holidays!$C$5:$C$60,MATCH(A352,Holidays!$A$5:$A$60,0)),"")</f>
        <v/>
      </c>
      <c r="E352" s="31"/>
      <c r="F352" s="32"/>
      <c r="G352" s="32"/>
      <c r="H352" s="32"/>
      <c r="I352" s="32"/>
      <c r="J352" s="31"/>
      <c r="K352" s="33" t="str">
        <f aca="false">IF(E352&lt;&gt;"",E352,IF(U352,"Present",IF(C352="Holiday","Holiday","Weekend")))</f>
        <v>Weekend</v>
      </c>
      <c r="L352" s="34" t="str">
        <f aca="false">IF(OR(K352="Present",K352="Manual Work",K352="Partial Vacation",K352="Partial Sick Leave"),IF(ISNUMBER(F352),F352,IF(AND(K352="Present",U352),Settings!$B$6,"")),"")</f>
        <v/>
      </c>
      <c r="M352" s="34" t="str">
        <f aca="false">IF(OR(K352="Present",K352="Manual Work",K352="Partial Vacation",K352="Partial Sick Leave"),IF(ISNUMBER(G352),G352,IF(AND(K352="Present",U352),V352,"")),"")</f>
        <v/>
      </c>
      <c r="N352" s="14" t="n">
        <f aca="false">IF(AND(ISNUMBER(L352),ISNUMBER(M352)),MAX(0,(M352-L352)*24),0)</f>
        <v>0</v>
      </c>
      <c r="O352" s="14" t="n">
        <f aca="false">IF(NOT(U352),0,IF(K352="Vacation",IF(C352="Eve",Settings!$B$9*Settings!$B$11,W352),IF(K352="Partial Vacation",IF(AND(ISNUMBER(H352),ISNUMBER(I352)),MAX(0,(I352-H352)*24),0),0)))</f>
        <v>0</v>
      </c>
      <c r="P352" s="14" t="n">
        <f aca="false">IF(NOT(U352),0,IF(K352="Sick Leave",W352,IF(K352="Partial Sick Leave",IF(AND(ISNUMBER(H352),ISNUMBER(I352)),MAX(0,(I352-H352)*24),0),0)))</f>
        <v>0</v>
      </c>
      <c r="Q352" s="14" t="n">
        <f aca="false">IF(NOT(U352),0,IF(K352="Vacation",IF(C352="Eve",Settings!$B$11,1),IF(K352="Partial Vacation",O352/Settings!$B$9,0)))</f>
        <v>0</v>
      </c>
      <c r="R352" s="14" t="n">
        <f aca="false">IF(NOT(U352),0,IF(K352="Sick Leave",1,IF(K352="Partial Sick Leave",P352/Settings!$B$9,0)))</f>
        <v>0</v>
      </c>
      <c r="S352" s="35" t="str">
        <f aca="false">IF(AND(OR(E352="Vacation",E352="Sick Leave",E352="Partial Vacation",E352="Partial Sick Leave"),NOT(U352)),"Leave not allowed on this day",IF(AND(E352="Manual Work",OR(NOT(ISNUMBER(F352)),NOT(ISNUMBER(G352)))),"Enter start and end",IF(AND(OR(E352="Partial Vacation",E352="Partial Sick Leave"),OR(NOT(ISNUMBER(H352)),NOT(ISNUMBER(I352)))),"Enter leave from and to",IF(AND(ISNUMBER(F352),ISNUMBER(G352),G352&lt;=F352),"End is before start",IF(AND(ISNUMBER(H352),ISNUMBER(I352),I352&lt;=H352),"Leave end is before start",IF(AND(ISNUMBER(F352),ISNUMBER(G352),ISNUMBER(H352),ISNUMBER(I352),F352&lt;I352,H352&lt;G352),"Work and leave hours overlap",IF(AND(E352&lt;&gt;"",WEEKDAY(A352)=7),"Saturday - administrator only","")))))))</f>
        <v/>
      </c>
      <c r="T352" s="36" t="n">
        <f aca="false">MONTH(A352)</f>
        <v>12</v>
      </c>
      <c r="U352" s="37" t="b">
        <f aca="false">OR(C352="Workday",C352="Eve")</f>
        <v>0</v>
      </c>
      <c r="V352" s="34" t="n">
        <f aca="false">IF(C352="Eve",Settings!$B$8,Settings!$B$7)</f>
        <v>0.6875</v>
      </c>
      <c r="W352" s="14" t="n">
        <f aca="false">IF(U352,(V352-Settings!$B$6)*24,0)</f>
        <v>0</v>
      </c>
    </row>
    <row r="353" customFormat="false" ht="15" hidden="false" customHeight="false" outlineLevel="0" collapsed="false">
      <c r="A353" s="29" t="n">
        <v>46369</v>
      </c>
      <c r="B353" s="30" t="str">
        <f aca="false">CHOOSE(WEEKDAY(A353),"Sun","Mon","Tue","Wed","Thu","Fri","Sat")</f>
        <v>Sun</v>
      </c>
      <c r="C353" s="30" t="str">
        <f aca="false">IF(IFERROR(INDEX(Holidays!$D$5:$D$60,MATCH(A353,Holidays!$A$5:$A$60,0)),"")="Holiday","Holiday",IF(WEEKDAY(A353)&gt;=6,"Weekend",IF(IFERROR(INDEX(Holidays!$D$5:$D$60,MATCH(A353,Holidays!$A$5:$A$60,0)),"")="Eve","Eve","Workday")))</f>
        <v>Workday</v>
      </c>
      <c r="D353" s="18" t="str">
        <f aca="false">IFERROR(INDEX(Holidays!$C$5:$C$60,MATCH(A353,Holidays!$A$5:$A$60,0)),"")</f>
        <v/>
      </c>
      <c r="E353" s="31"/>
      <c r="F353" s="32"/>
      <c r="G353" s="32"/>
      <c r="H353" s="32"/>
      <c r="I353" s="32"/>
      <c r="J353" s="31"/>
      <c r="K353" s="33" t="str">
        <f aca="false">IF(E353&lt;&gt;"",E353,IF(U353,"Present",IF(C353="Holiday","Holiday","Weekend")))</f>
        <v>Present</v>
      </c>
      <c r="L353" s="34" t="n">
        <f aca="false">IF(OR(K353="Present",K353="Manual Work",K353="Partial Vacation",K353="Partial Sick Leave"),IF(ISNUMBER(F353),F353,IF(AND(K353="Present",U353),Settings!$B$6,"")),"")</f>
        <v>0.333333333333333</v>
      </c>
      <c r="M353" s="34" t="n">
        <f aca="false">IF(OR(K353="Present",K353="Manual Work",K353="Partial Vacation",K353="Partial Sick Leave"),IF(ISNUMBER(G353),G353,IF(AND(K353="Present",U353),V353,"")),"")</f>
        <v>0.6875</v>
      </c>
      <c r="N353" s="14" t="n">
        <f aca="false">IF(AND(ISNUMBER(L353),ISNUMBER(M353)),MAX(0,(M353-L353)*24),0)</f>
        <v>8.5</v>
      </c>
      <c r="O353" s="14" t="n">
        <f aca="false">IF(NOT(U353),0,IF(K353="Vacation",IF(C353="Eve",Settings!$B$9*Settings!$B$11,W353),IF(K353="Partial Vacation",IF(AND(ISNUMBER(H353),ISNUMBER(I353)),MAX(0,(I353-H353)*24),0),0)))</f>
        <v>0</v>
      </c>
      <c r="P353" s="14" t="n">
        <f aca="false">IF(NOT(U353),0,IF(K353="Sick Leave",W353,IF(K353="Partial Sick Leave",IF(AND(ISNUMBER(H353),ISNUMBER(I353)),MAX(0,(I353-H353)*24),0),0)))</f>
        <v>0</v>
      </c>
      <c r="Q353" s="14" t="n">
        <f aca="false">IF(NOT(U353),0,IF(K353="Vacation",IF(C353="Eve",Settings!$B$11,1),IF(K353="Partial Vacation",O353/Settings!$B$9,0)))</f>
        <v>0</v>
      </c>
      <c r="R353" s="14" t="n">
        <f aca="false">IF(NOT(U353),0,IF(K353="Sick Leave",1,IF(K353="Partial Sick Leave",P353/Settings!$B$9,0)))</f>
        <v>0</v>
      </c>
      <c r="S353" s="35" t="str">
        <f aca="false">IF(AND(OR(E353="Vacation",E353="Sick Leave",E353="Partial Vacation",E353="Partial Sick Leave"),NOT(U353)),"Leave not allowed on this day",IF(AND(E353="Manual Work",OR(NOT(ISNUMBER(F353)),NOT(ISNUMBER(G353)))),"Enter start and end",IF(AND(OR(E353="Partial Vacation",E353="Partial Sick Leave"),OR(NOT(ISNUMBER(H353)),NOT(ISNUMBER(I353)))),"Enter leave from and to",IF(AND(ISNUMBER(F353),ISNUMBER(G353),G353&lt;=F353),"End is before start",IF(AND(ISNUMBER(H353),ISNUMBER(I353),I353&lt;=H353),"Leave end is before start",IF(AND(ISNUMBER(F353),ISNUMBER(G353),ISNUMBER(H353),ISNUMBER(I353),F353&lt;I353,H353&lt;G353),"Work and leave hours overlap",IF(AND(E353&lt;&gt;"",WEEKDAY(A353)=7),"Saturday - administrator only","")))))))</f>
        <v/>
      </c>
      <c r="T353" s="36" t="n">
        <f aca="false">MONTH(A353)</f>
        <v>12</v>
      </c>
      <c r="U353" s="37" t="b">
        <f aca="false">OR(C353="Workday",C353="Eve")</f>
        <v>1</v>
      </c>
      <c r="V353" s="34" t="n">
        <f aca="false">IF(C353="Eve",Settings!$B$8,Settings!$B$7)</f>
        <v>0.6875</v>
      </c>
      <c r="W353" s="14" t="n">
        <f aca="false">IF(U353,(V353-Settings!$B$6)*24,0)</f>
        <v>8.5</v>
      </c>
    </row>
    <row r="354" customFormat="false" ht="15" hidden="false" customHeight="false" outlineLevel="0" collapsed="false">
      <c r="A354" s="29" t="n">
        <v>46370</v>
      </c>
      <c r="B354" s="30" t="str">
        <f aca="false">CHOOSE(WEEKDAY(A354),"Sun","Mon","Tue","Wed","Thu","Fri","Sat")</f>
        <v>Mon</v>
      </c>
      <c r="C354" s="30" t="str">
        <f aca="false">IF(IFERROR(INDEX(Holidays!$D$5:$D$60,MATCH(A354,Holidays!$A$5:$A$60,0)),"")="Holiday","Holiday",IF(WEEKDAY(A354)&gt;=6,"Weekend",IF(IFERROR(INDEX(Holidays!$D$5:$D$60,MATCH(A354,Holidays!$A$5:$A$60,0)),"")="Eve","Eve","Workday")))</f>
        <v>Workday</v>
      </c>
      <c r="D354" s="18" t="str">
        <f aca="false">IFERROR(INDEX(Holidays!$C$5:$C$60,MATCH(A354,Holidays!$A$5:$A$60,0)),"")</f>
        <v/>
      </c>
      <c r="E354" s="31"/>
      <c r="F354" s="32"/>
      <c r="G354" s="32"/>
      <c r="H354" s="32"/>
      <c r="I354" s="32"/>
      <c r="J354" s="31"/>
      <c r="K354" s="33" t="str">
        <f aca="false">IF(E354&lt;&gt;"",E354,IF(U354,"Present",IF(C354="Holiday","Holiday","Weekend")))</f>
        <v>Present</v>
      </c>
      <c r="L354" s="34" t="n">
        <f aca="false">IF(OR(K354="Present",K354="Manual Work",K354="Partial Vacation",K354="Partial Sick Leave"),IF(ISNUMBER(F354),F354,IF(AND(K354="Present",U354),Settings!$B$6,"")),"")</f>
        <v>0.333333333333333</v>
      </c>
      <c r="M354" s="34" t="n">
        <f aca="false">IF(OR(K354="Present",K354="Manual Work",K354="Partial Vacation",K354="Partial Sick Leave"),IF(ISNUMBER(G354),G354,IF(AND(K354="Present",U354),V354,"")),"")</f>
        <v>0.6875</v>
      </c>
      <c r="N354" s="14" t="n">
        <f aca="false">IF(AND(ISNUMBER(L354),ISNUMBER(M354)),MAX(0,(M354-L354)*24),0)</f>
        <v>8.5</v>
      </c>
      <c r="O354" s="14" t="n">
        <f aca="false">IF(NOT(U354),0,IF(K354="Vacation",IF(C354="Eve",Settings!$B$9*Settings!$B$11,W354),IF(K354="Partial Vacation",IF(AND(ISNUMBER(H354),ISNUMBER(I354)),MAX(0,(I354-H354)*24),0),0)))</f>
        <v>0</v>
      </c>
      <c r="P354" s="14" t="n">
        <f aca="false">IF(NOT(U354),0,IF(K354="Sick Leave",W354,IF(K354="Partial Sick Leave",IF(AND(ISNUMBER(H354),ISNUMBER(I354)),MAX(0,(I354-H354)*24),0),0)))</f>
        <v>0</v>
      </c>
      <c r="Q354" s="14" t="n">
        <f aca="false">IF(NOT(U354),0,IF(K354="Vacation",IF(C354="Eve",Settings!$B$11,1),IF(K354="Partial Vacation",O354/Settings!$B$9,0)))</f>
        <v>0</v>
      </c>
      <c r="R354" s="14" t="n">
        <f aca="false">IF(NOT(U354),0,IF(K354="Sick Leave",1,IF(K354="Partial Sick Leave",P354/Settings!$B$9,0)))</f>
        <v>0</v>
      </c>
      <c r="S354" s="35" t="str">
        <f aca="false">IF(AND(OR(E354="Vacation",E354="Sick Leave",E354="Partial Vacation",E354="Partial Sick Leave"),NOT(U354)),"Leave not allowed on this day",IF(AND(E354="Manual Work",OR(NOT(ISNUMBER(F354)),NOT(ISNUMBER(G354)))),"Enter start and end",IF(AND(OR(E354="Partial Vacation",E354="Partial Sick Leave"),OR(NOT(ISNUMBER(H354)),NOT(ISNUMBER(I354)))),"Enter leave from and to",IF(AND(ISNUMBER(F354),ISNUMBER(G354),G354&lt;=F354),"End is before start",IF(AND(ISNUMBER(H354),ISNUMBER(I354),I354&lt;=H354),"Leave end is before start",IF(AND(ISNUMBER(F354),ISNUMBER(G354),ISNUMBER(H354),ISNUMBER(I354),F354&lt;I354,H354&lt;G354),"Work and leave hours overlap",IF(AND(E354&lt;&gt;"",WEEKDAY(A354)=7),"Saturday - administrator only","")))))))</f>
        <v/>
      </c>
      <c r="T354" s="36" t="n">
        <f aca="false">MONTH(A354)</f>
        <v>12</v>
      </c>
      <c r="U354" s="37" t="b">
        <f aca="false">OR(C354="Workday",C354="Eve")</f>
        <v>1</v>
      </c>
      <c r="V354" s="34" t="n">
        <f aca="false">IF(C354="Eve",Settings!$B$8,Settings!$B$7)</f>
        <v>0.6875</v>
      </c>
      <c r="W354" s="14" t="n">
        <f aca="false">IF(U354,(V354-Settings!$B$6)*24,0)</f>
        <v>8.5</v>
      </c>
    </row>
    <row r="355" customFormat="false" ht="15" hidden="false" customHeight="false" outlineLevel="0" collapsed="false">
      <c r="A355" s="29" t="n">
        <v>46371</v>
      </c>
      <c r="B355" s="30" t="str">
        <f aca="false">CHOOSE(WEEKDAY(A355),"Sun","Mon","Tue","Wed","Thu","Fri","Sat")</f>
        <v>Tue</v>
      </c>
      <c r="C355" s="30" t="str">
        <f aca="false">IF(IFERROR(INDEX(Holidays!$D$5:$D$60,MATCH(A355,Holidays!$A$5:$A$60,0)),"")="Holiday","Holiday",IF(WEEKDAY(A355)&gt;=6,"Weekend",IF(IFERROR(INDEX(Holidays!$D$5:$D$60,MATCH(A355,Holidays!$A$5:$A$60,0)),"")="Eve","Eve","Workday")))</f>
        <v>Workday</v>
      </c>
      <c r="D355" s="18" t="str">
        <f aca="false">IFERROR(INDEX(Holidays!$C$5:$C$60,MATCH(A355,Holidays!$A$5:$A$60,0)),"")</f>
        <v/>
      </c>
      <c r="E355" s="31"/>
      <c r="F355" s="32"/>
      <c r="G355" s="32"/>
      <c r="H355" s="32"/>
      <c r="I355" s="32"/>
      <c r="J355" s="31"/>
      <c r="K355" s="33" t="str">
        <f aca="false">IF(E355&lt;&gt;"",E355,IF(U355,"Present",IF(C355="Holiday","Holiday","Weekend")))</f>
        <v>Present</v>
      </c>
      <c r="L355" s="34" t="n">
        <f aca="false">IF(OR(K355="Present",K355="Manual Work",K355="Partial Vacation",K355="Partial Sick Leave"),IF(ISNUMBER(F355),F355,IF(AND(K355="Present",U355),Settings!$B$6,"")),"")</f>
        <v>0.333333333333333</v>
      </c>
      <c r="M355" s="34" t="n">
        <f aca="false">IF(OR(K355="Present",K355="Manual Work",K355="Partial Vacation",K355="Partial Sick Leave"),IF(ISNUMBER(G355),G355,IF(AND(K355="Present",U355),V355,"")),"")</f>
        <v>0.6875</v>
      </c>
      <c r="N355" s="14" t="n">
        <f aca="false">IF(AND(ISNUMBER(L355),ISNUMBER(M355)),MAX(0,(M355-L355)*24),0)</f>
        <v>8.5</v>
      </c>
      <c r="O355" s="14" t="n">
        <f aca="false">IF(NOT(U355),0,IF(K355="Vacation",IF(C355="Eve",Settings!$B$9*Settings!$B$11,W355),IF(K355="Partial Vacation",IF(AND(ISNUMBER(H355),ISNUMBER(I355)),MAX(0,(I355-H355)*24),0),0)))</f>
        <v>0</v>
      </c>
      <c r="P355" s="14" t="n">
        <f aca="false">IF(NOT(U355),0,IF(K355="Sick Leave",W355,IF(K355="Partial Sick Leave",IF(AND(ISNUMBER(H355),ISNUMBER(I355)),MAX(0,(I355-H355)*24),0),0)))</f>
        <v>0</v>
      </c>
      <c r="Q355" s="14" t="n">
        <f aca="false">IF(NOT(U355),0,IF(K355="Vacation",IF(C355="Eve",Settings!$B$11,1),IF(K355="Partial Vacation",O355/Settings!$B$9,0)))</f>
        <v>0</v>
      </c>
      <c r="R355" s="14" t="n">
        <f aca="false">IF(NOT(U355),0,IF(K355="Sick Leave",1,IF(K355="Partial Sick Leave",P355/Settings!$B$9,0)))</f>
        <v>0</v>
      </c>
      <c r="S355" s="35" t="str">
        <f aca="false">IF(AND(OR(E355="Vacation",E355="Sick Leave",E355="Partial Vacation",E355="Partial Sick Leave"),NOT(U355)),"Leave not allowed on this day",IF(AND(E355="Manual Work",OR(NOT(ISNUMBER(F355)),NOT(ISNUMBER(G355)))),"Enter start and end",IF(AND(OR(E355="Partial Vacation",E355="Partial Sick Leave"),OR(NOT(ISNUMBER(H355)),NOT(ISNUMBER(I355)))),"Enter leave from and to",IF(AND(ISNUMBER(F355),ISNUMBER(G355),G355&lt;=F355),"End is before start",IF(AND(ISNUMBER(H355),ISNUMBER(I355),I355&lt;=H355),"Leave end is before start",IF(AND(ISNUMBER(F355),ISNUMBER(G355),ISNUMBER(H355),ISNUMBER(I355),F355&lt;I355,H355&lt;G355),"Work and leave hours overlap",IF(AND(E355&lt;&gt;"",WEEKDAY(A355)=7),"Saturday - administrator only","")))))))</f>
        <v/>
      </c>
      <c r="T355" s="36" t="n">
        <f aca="false">MONTH(A355)</f>
        <v>12</v>
      </c>
      <c r="U355" s="37" t="b">
        <f aca="false">OR(C355="Workday",C355="Eve")</f>
        <v>1</v>
      </c>
      <c r="V355" s="34" t="n">
        <f aca="false">IF(C355="Eve",Settings!$B$8,Settings!$B$7)</f>
        <v>0.6875</v>
      </c>
      <c r="W355" s="14" t="n">
        <f aca="false">IF(U355,(V355-Settings!$B$6)*24,0)</f>
        <v>8.5</v>
      </c>
    </row>
    <row r="356" customFormat="false" ht="15" hidden="false" customHeight="false" outlineLevel="0" collapsed="false">
      <c r="A356" s="29" t="n">
        <v>46372</v>
      </c>
      <c r="B356" s="30" t="str">
        <f aca="false">CHOOSE(WEEKDAY(A356),"Sun","Mon","Tue","Wed","Thu","Fri","Sat")</f>
        <v>Wed</v>
      </c>
      <c r="C356" s="30" t="str">
        <f aca="false">IF(IFERROR(INDEX(Holidays!$D$5:$D$60,MATCH(A356,Holidays!$A$5:$A$60,0)),"")="Holiday","Holiday",IF(WEEKDAY(A356)&gt;=6,"Weekend",IF(IFERROR(INDEX(Holidays!$D$5:$D$60,MATCH(A356,Holidays!$A$5:$A$60,0)),"")="Eve","Eve","Workday")))</f>
        <v>Workday</v>
      </c>
      <c r="D356" s="18" t="str">
        <f aca="false">IFERROR(INDEX(Holidays!$C$5:$C$60,MATCH(A356,Holidays!$A$5:$A$60,0)),"")</f>
        <v/>
      </c>
      <c r="E356" s="31"/>
      <c r="F356" s="32"/>
      <c r="G356" s="32"/>
      <c r="H356" s="32"/>
      <c r="I356" s="32"/>
      <c r="J356" s="31"/>
      <c r="K356" s="33" t="str">
        <f aca="false">IF(E356&lt;&gt;"",E356,IF(U356,"Present",IF(C356="Holiday","Holiday","Weekend")))</f>
        <v>Present</v>
      </c>
      <c r="L356" s="34" t="n">
        <f aca="false">IF(OR(K356="Present",K356="Manual Work",K356="Partial Vacation",K356="Partial Sick Leave"),IF(ISNUMBER(F356),F356,IF(AND(K356="Present",U356),Settings!$B$6,"")),"")</f>
        <v>0.333333333333333</v>
      </c>
      <c r="M356" s="34" t="n">
        <f aca="false">IF(OR(K356="Present",K356="Manual Work",K356="Partial Vacation",K356="Partial Sick Leave"),IF(ISNUMBER(G356),G356,IF(AND(K356="Present",U356),V356,"")),"")</f>
        <v>0.6875</v>
      </c>
      <c r="N356" s="14" t="n">
        <f aca="false">IF(AND(ISNUMBER(L356),ISNUMBER(M356)),MAX(0,(M356-L356)*24),0)</f>
        <v>8.5</v>
      </c>
      <c r="O356" s="14" t="n">
        <f aca="false">IF(NOT(U356),0,IF(K356="Vacation",IF(C356="Eve",Settings!$B$9*Settings!$B$11,W356),IF(K356="Partial Vacation",IF(AND(ISNUMBER(H356),ISNUMBER(I356)),MAX(0,(I356-H356)*24),0),0)))</f>
        <v>0</v>
      </c>
      <c r="P356" s="14" t="n">
        <f aca="false">IF(NOT(U356),0,IF(K356="Sick Leave",W356,IF(K356="Partial Sick Leave",IF(AND(ISNUMBER(H356),ISNUMBER(I356)),MAX(0,(I356-H356)*24),0),0)))</f>
        <v>0</v>
      </c>
      <c r="Q356" s="14" t="n">
        <f aca="false">IF(NOT(U356),0,IF(K356="Vacation",IF(C356="Eve",Settings!$B$11,1),IF(K356="Partial Vacation",O356/Settings!$B$9,0)))</f>
        <v>0</v>
      </c>
      <c r="R356" s="14" t="n">
        <f aca="false">IF(NOT(U356),0,IF(K356="Sick Leave",1,IF(K356="Partial Sick Leave",P356/Settings!$B$9,0)))</f>
        <v>0</v>
      </c>
      <c r="S356" s="35" t="str">
        <f aca="false">IF(AND(OR(E356="Vacation",E356="Sick Leave",E356="Partial Vacation",E356="Partial Sick Leave"),NOT(U356)),"Leave not allowed on this day",IF(AND(E356="Manual Work",OR(NOT(ISNUMBER(F356)),NOT(ISNUMBER(G356)))),"Enter start and end",IF(AND(OR(E356="Partial Vacation",E356="Partial Sick Leave"),OR(NOT(ISNUMBER(H356)),NOT(ISNUMBER(I356)))),"Enter leave from and to",IF(AND(ISNUMBER(F356),ISNUMBER(G356),G356&lt;=F356),"End is before start",IF(AND(ISNUMBER(H356),ISNUMBER(I356),I356&lt;=H356),"Leave end is before start",IF(AND(ISNUMBER(F356),ISNUMBER(G356),ISNUMBER(H356),ISNUMBER(I356),F356&lt;I356,H356&lt;G356),"Work and leave hours overlap",IF(AND(E356&lt;&gt;"",WEEKDAY(A356)=7),"Saturday - administrator only","")))))))</f>
        <v/>
      </c>
      <c r="T356" s="36" t="n">
        <f aca="false">MONTH(A356)</f>
        <v>12</v>
      </c>
      <c r="U356" s="37" t="b">
        <f aca="false">OR(C356="Workday",C356="Eve")</f>
        <v>1</v>
      </c>
      <c r="V356" s="34" t="n">
        <f aca="false">IF(C356="Eve",Settings!$B$8,Settings!$B$7)</f>
        <v>0.6875</v>
      </c>
      <c r="W356" s="14" t="n">
        <f aca="false">IF(U356,(V356-Settings!$B$6)*24,0)</f>
        <v>8.5</v>
      </c>
    </row>
    <row r="357" customFormat="false" ht="15" hidden="false" customHeight="false" outlineLevel="0" collapsed="false">
      <c r="A357" s="29" t="n">
        <v>46373</v>
      </c>
      <c r="B357" s="30" t="str">
        <f aca="false">CHOOSE(WEEKDAY(A357),"Sun","Mon","Tue","Wed","Thu","Fri","Sat")</f>
        <v>Thu</v>
      </c>
      <c r="C357" s="30" t="str">
        <f aca="false">IF(IFERROR(INDEX(Holidays!$D$5:$D$60,MATCH(A357,Holidays!$A$5:$A$60,0)),"")="Holiday","Holiday",IF(WEEKDAY(A357)&gt;=6,"Weekend",IF(IFERROR(INDEX(Holidays!$D$5:$D$60,MATCH(A357,Holidays!$A$5:$A$60,0)),"")="Eve","Eve","Workday")))</f>
        <v>Workday</v>
      </c>
      <c r="D357" s="18" t="str">
        <f aca="false">IFERROR(INDEX(Holidays!$C$5:$C$60,MATCH(A357,Holidays!$A$5:$A$60,0)),"")</f>
        <v/>
      </c>
      <c r="E357" s="31"/>
      <c r="F357" s="32"/>
      <c r="G357" s="32"/>
      <c r="H357" s="32"/>
      <c r="I357" s="32"/>
      <c r="J357" s="31"/>
      <c r="K357" s="33" t="str">
        <f aca="false">IF(E357&lt;&gt;"",E357,IF(U357,"Present",IF(C357="Holiday","Holiday","Weekend")))</f>
        <v>Present</v>
      </c>
      <c r="L357" s="34" t="n">
        <f aca="false">IF(OR(K357="Present",K357="Manual Work",K357="Partial Vacation",K357="Partial Sick Leave"),IF(ISNUMBER(F357),F357,IF(AND(K357="Present",U357),Settings!$B$6,"")),"")</f>
        <v>0.333333333333333</v>
      </c>
      <c r="M357" s="34" t="n">
        <f aca="false">IF(OR(K357="Present",K357="Manual Work",K357="Partial Vacation",K357="Partial Sick Leave"),IF(ISNUMBER(G357),G357,IF(AND(K357="Present",U357),V357,"")),"")</f>
        <v>0.6875</v>
      </c>
      <c r="N357" s="14" t="n">
        <f aca="false">IF(AND(ISNUMBER(L357),ISNUMBER(M357)),MAX(0,(M357-L357)*24),0)</f>
        <v>8.5</v>
      </c>
      <c r="O357" s="14" t="n">
        <f aca="false">IF(NOT(U357),0,IF(K357="Vacation",IF(C357="Eve",Settings!$B$9*Settings!$B$11,W357),IF(K357="Partial Vacation",IF(AND(ISNUMBER(H357),ISNUMBER(I357)),MAX(0,(I357-H357)*24),0),0)))</f>
        <v>0</v>
      </c>
      <c r="P357" s="14" t="n">
        <f aca="false">IF(NOT(U357),0,IF(K357="Sick Leave",W357,IF(K357="Partial Sick Leave",IF(AND(ISNUMBER(H357),ISNUMBER(I357)),MAX(0,(I357-H357)*24),0),0)))</f>
        <v>0</v>
      </c>
      <c r="Q357" s="14" t="n">
        <f aca="false">IF(NOT(U357),0,IF(K357="Vacation",IF(C357="Eve",Settings!$B$11,1),IF(K357="Partial Vacation",O357/Settings!$B$9,0)))</f>
        <v>0</v>
      </c>
      <c r="R357" s="14" t="n">
        <f aca="false">IF(NOT(U357),0,IF(K357="Sick Leave",1,IF(K357="Partial Sick Leave",P357/Settings!$B$9,0)))</f>
        <v>0</v>
      </c>
      <c r="S357" s="35" t="str">
        <f aca="false">IF(AND(OR(E357="Vacation",E357="Sick Leave",E357="Partial Vacation",E357="Partial Sick Leave"),NOT(U357)),"Leave not allowed on this day",IF(AND(E357="Manual Work",OR(NOT(ISNUMBER(F357)),NOT(ISNUMBER(G357)))),"Enter start and end",IF(AND(OR(E357="Partial Vacation",E357="Partial Sick Leave"),OR(NOT(ISNUMBER(H357)),NOT(ISNUMBER(I357)))),"Enter leave from and to",IF(AND(ISNUMBER(F357),ISNUMBER(G357),G357&lt;=F357),"End is before start",IF(AND(ISNUMBER(H357),ISNUMBER(I357),I357&lt;=H357),"Leave end is before start",IF(AND(ISNUMBER(F357),ISNUMBER(G357),ISNUMBER(H357),ISNUMBER(I357),F357&lt;I357,H357&lt;G357),"Work and leave hours overlap",IF(AND(E357&lt;&gt;"",WEEKDAY(A357)=7),"Saturday - administrator only","")))))))</f>
        <v/>
      </c>
      <c r="T357" s="36" t="n">
        <f aca="false">MONTH(A357)</f>
        <v>12</v>
      </c>
      <c r="U357" s="37" t="b">
        <f aca="false">OR(C357="Workday",C357="Eve")</f>
        <v>1</v>
      </c>
      <c r="V357" s="34" t="n">
        <f aca="false">IF(C357="Eve",Settings!$B$8,Settings!$B$7)</f>
        <v>0.6875</v>
      </c>
      <c r="W357" s="14" t="n">
        <f aca="false">IF(U357,(V357-Settings!$B$6)*24,0)</f>
        <v>8.5</v>
      </c>
    </row>
    <row r="358" customFormat="false" ht="15" hidden="false" customHeight="false" outlineLevel="0" collapsed="false">
      <c r="A358" s="29" t="n">
        <v>46374</v>
      </c>
      <c r="B358" s="30" t="str">
        <f aca="false">CHOOSE(WEEKDAY(A358),"Sun","Mon","Tue","Wed","Thu","Fri","Sat")</f>
        <v>Fri</v>
      </c>
      <c r="C358" s="30" t="str">
        <f aca="false">IF(IFERROR(INDEX(Holidays!$D$5:$D$60,MATCH(A358,Holidays!$A$5:$A$60,0)),"")="Holiday","Holiday",IF(WEEKDAY(A358)&gt;=6,"Weekend",IF(IFERROR(INDEX(Holidays!$D$5:$D$60,MATCH(A358,Holidays!$A$5:$A$60,0)),"")="Eve","Eve","Workday")))</f>
        <v>Weekend</v>
      </c>
      <c r="D358" s="18" t="str">
        <f aca="false">IFERROR(INDEX(Holidays!$C$5:$C$60,MATCH(A358,Holidays!$A$5:$A$60,0)),"")</f>
        <v/>
      </c>
      <c r="E358" s="31"/>
      <c r="F358" s="32"/>
      <c r="G358" s="32"/>
      <c r="H358" s="32"/>
      <c r="I358" s="32"/>
      <c r="J358" s="31"/>
      <c r="K358" s="33" t="str">
        <f aca="false">IF(E358&lt;&gt;"",E358,IF(U358,"Present",IF(C358="Holiday","Holiday","Weekend")))</f>
        <v>Weekend</v>
      </c>
      <c r="L358" s="34" t="str">
        <f aca="false">IF(OR(K358="Present",K358="Manual Work",K358="Partial Vacation",K358="Partial Sick Leave"),IF(ISNUMBER(F358),F358,IF(AND(K358="Present",U358),Settings!$B$6,"")),"")</f>
        <v/>
      </c>
      <c r="M358" s="34" t="str">
        <f aca="false">IF(OR(K358="Present",K358="Manual Work",K358="Partial Vacation",K358="Partial Sick Leave"),IF(ISNUMBER(G358),G358,IF(AND(K358="Present",U358),V358,"")),"")</f>
        <v/>
      </c>
      <c r="N358" s="14" t="n">
        <f aca="false">IF(AND(ISNUMBER(L358),ISNUMBER(M358)),MAX(0,(M358-L358)*24),0)</f>
        <v>0</v>
      </c>
      <c r="O358" s="14" t="n">
        <f aca="false">IF(NOT(U358),0,IF(K358="Vacation",IF(C358="Eve",Settings!$B$9*Settings!$B$11,W358),IF(K358="Partial Vacation",IF(AND(ISNUMBER(H358),ISNUMBER(I358)),MAX(0,(I358-H358)*24),0),0)))</f>
        <v>0</v>
      </c>
      <c r="P358" s="14" t="n">
        <f aca="false">IF(NOT(U358),0,IF(K358="Sick Leave",W358,IF(K358="Partial Sick Leave",IF(AND(ISNUMBER(H358),ISNUMBER(I358)),MAX(0,(I358-H358)*24),0),0)))</f>
        <v>0</v>
      </c>
      <c r="Q358" s="14" t="n">
        <f aca="false">IF(NOT(U358),0,IF(K358="Vacation",IF(C358="Eve",Settings!$B$11,1),IF(K358="Partial Vacation",O358/Settings!$B$9,0)))</f>
        <v>0</v>
      </c>
      <c r="R358" s="14" t="n">
        <f aca="false">IF(NOT(U358),0,IF(K358="Sick Leave",1,IF(K358="Partial Sick Leave",P358/Settings!$B$9,0)))</f>
        <v>0</v>
      </c>
      <c r="S358" s="35" t="str">
        <f aca="false">IF(AND(OR(E358="Vacation",E358="Sick Leave",E358="Partial Vacation",E358="Partial Sick Leave"),NOT(U358)),"Leave not allowed on this day",IF(AND(E358="Manual Work",OR(NOT(ISNUMBER(F358)),NOT(ISNUMBER(G358)))),"Enter start and end",IF(AND(OR(E358="Partial Vacation",E358="Partial Sick Leave"),OR(NOT(ISNUMBER(H358)),NOT(ISNUMBER(I358)))),"Enter leave from and to",IF(AND(ISNUMBER(F358),ISNUMBER(G358),G358&lt;=F358),"End is before start",IF(AND(ISNUMBER(H358),ISNUMBER(I358),I358&lt;=H358),"Leave end is before start",IF(AND(ISNUMBER(F358),ISNUMBER(G358),ISNUMBER(H358),ISNUMBER(I358),F358&lt;I358,H358&lt;G358),"Work and leave hours overlap",IF(AND(E358&lt;&gt;"",WEEKDAY(A358)=7),"Saturday - administrator only","")))))))</f>
        <v/>
      </c>
      <c r="T358" s="36" t="n">
        <f aca="false">MONTH(A358)</f>
        <v>12</v>
      </c>
      <c r="U358" s="37" t="b">
        <f aca="false">OR(C358="Workday",C358="Eve")</f>
        <v>0</v>
      </c>
      <c r="V358" s="34" t="n">
        <f aca="false">IF(C358="Eve",Settings!$B$8,Settings!$B$7)</f>
        <v>0.6875</v>
      </c>
      <c r="W358" s="14" t="n">
        <f aca="false">IF(U358,(V358-Settings!$B$6)*24,0)</f>
        <v>0</v>
      </c>
    </row>
    <row r="359" customFormat="false" ht="15" hidden="false" customHeight="false" outlineLevel="0" collapsed="false">
      <c r="A359" s="29" t="n">
        <v>46375</v>
      </c>
      <c r="B359" s="30" t="str">
        <f aca="false">CHOOSE(WEEKDAY(A359),"Sun","Mon","Tue","Wed","Thu","Fri","Sat")</f>
        <v>Sat</v>
      </c>
      <c r="C359" s="30" t="str">
        <f aca="false">IF(IFERROR(INDEX(Holidays!$D$5:$D$60,MATCH(A359,Holidays!$A$5:$A$60,0)),"")="Holiday","Holiday",IF(WEEKDAY(A359)&gt;=6,"Weekend",IF(IFERROR(INDEX(Holidays!$D$5:$D$60,MATCH(A359,Holidays!$A$5:$A$60,0)),"")="Eve","Eve","Workday")))</f>
        <v>Weekend</v>
      </c>
      <c r="D359" s="18" t="str">
        <f aca="false">IFERROR(INDEX(Holidays!$C$5:$C$60,MATCH(A359,Holidays!$A$5:$A$60,0)),"")</f>
        <v/>
      </c>
      <c r="E359" s="31"/>
      <c r="F359" s="32"/>
      <c r="G359" s="32"/>
      <c r="H359" s="32"/>
      <c r="I359" s="32"/>
      <c r="J359" s="31"/>
      <c r="K359" s="33" t="str">
        <f aca="false">IF(E359&lt;&gt;"",E359,IF(U359,"Present",IF(C359="Holiday","Holiday","Weekend")))</f>
        <v>Weekend</v>
      </c>
      <c r="L359" s="34" t="str">
        <f aca="false">IF(OR(K359="Present",K359="Manual Work",K359="Partial Vacation",K359="Partial Sick Leave"),IF(ISNUMBER(F359),F359,IF(AND(K359="Present",U359),Settings!$B$6,"")),"")</f>
        <v/>
      </c>
      <c r="M359" s="34" t="str">
        <f aca="false">IF(OR(K359="Present",K359="Manual Work",K359="Partial Vacation",K359="Partial Sick Leave"),IF(ISNUMBER(G359),G359,IF(AND(K359="Present",U359),V359,"")),"")</f>
        <v/>
      </c>
      <c r="N359" s="14" t="n">
        <f aca="false">IF(AND(ISNUMBER(L359),ISNUMBER(M359)),MAX(0,(M359-L359)*24),0)</f>
        <v>0</v>
      </c>
      <c r="O359" s="14" t="n">
        <f aca="false">IF(NOT(U359),0,IF(K359="Vacation",IF(C359="Eve",Settings!$B$9*Settings!$B$11,W359),IF(K359="Partial Vacation",IF(AND(ISNUMBER(H359),ISNUMBER(I359)),MAX(0,(I359-H359)*24),0),0)))</f>
        <v>0</v>
      </c>
      <c r="P359" s="14" t="n">
        <f aca="false">IF(NOT(U359),0,IF(K359="Sick Leave",W359,IF(K359="Partial Sick Leave",IF(AND(ISNUMBER(H359),ISNUMBER(I359)),MAX(0,(I359-H359)*24),0),0)))</f>
        <v>0</v>
      </c>
      <c r="Q359" s="14" t="n">
        <f aca="false">IF(NOT(U359),0,IF(K359="Vacation",IF(C359="Eve",Settings!$B$11,1),IF(K359="Partial Vacation",O359/Settings!$B$9,0)))</f>
        <v>0</v>
      </c>
      <c r="R359" s="14" t="n">
        <f aca="false">IF(NOT(U359),0,IF(K359="Sick Leave",1,IF(K359="Partial Sick Leave",P359/Settings!$B$9,0)))</f>
        <v>0</v>
      </c>
      <c r="S359" s="35" t="str">
        <f aca="false">IF(AND(OR(E359="Vacation",E359="Sick Leave",E359="Partial Vacation",E359="Partial Sick Leave"),NOT(U359)),"Leave not allowed on this day",IF(AND(E359="Manual Work",OR(NOT(ISNUMBER(F359)),NOT(ISNUMBER(G359)))),"Enter start and end",IF(AND(OR(E359="Partial Vacation",E359="Partial Sick Leave"),OR(NOT(ISNUMBER(H359)),NOT(ISNUMBER(I359)))),"Enter leave from and to",IF(AND(ISNUMBER(F359),ISNUMBER(G359),G359&lt;=F359),"End is before start",IF(AND(ISNUMBER(H359),ISNUMBER(I359),I359&lt;=H359),"Leave end is before start",IF(AND(ISNUMBER(F359),ISNUMBER(G359),ISNUMBER(H359),ISNUMBER(I359),F359&lt;I359,H359&lt;G359),"Work and leave hours overlap",IF(AND(E359&lt;&gt;"",WEEKDAY(A359)=7),"Saturday - administrator only","")))))))</f>
        <v/>
      </c>
      <c r="T359" s="36" t="n">
        <f aca="false">MONTH(A359)</f>
        <v>12</v>
      </c>
      <c r="U359" s="37" t="b">
        <f aca="false">OR(C359="Workday",C359="Eve")</f>
        <v>0</v>
      </c>
      <c r="V359" s="34" t="n">
        <f aca="false">IF(C359="Eve",Settings!$B$8,Settings!$B$7)</f>
        <v>0.6875</v>
      </c>
      <c r="W359" s="14" t="n">
        <f aca="false">IF(U359,(V359-Settings!$B$6)*24,0)</f>
        <v>0</v>
      </c>
    </row>
    <row r="360" customFormat="false" ht="15" hidden="false" customHeight="false" outlineLevel="0" collapsed="false">
      <c r="A360" s="29" t="n">
        <v>46376</v>
      </c>
      <c r="B360" s="30" t="str">
        <f aca="false">CHOOSE(WEEKDAY(A360),"Sun","Mon","Tue","Wed","Thu","Fri","Sat")</f>
        <v>Sun</v>
      </c>
      <c r="C360" s="30" t="str">
        <f aca="false">IF(IFERROR(INDEX(Holidays!$D$5:$D$60,MATCH(A360,Holidays!$A$5:$A$60,0)),"")="Holiday","Holiday",IF(WEEKDAY(A360)&gt;=6,"Weekend",IF(IFERROR(INDEX(Holidays!$D$5:$D$60,MATCH(A360,Holidays!$A$5:$A$60,0)),"")="Eve","Eve","Workday")))</f>
        <v>Workday</v>
      </c>
      <c r="D360" s="18" t="str">
        <f aca="false">IFERROR(INDEX(Holidays!$C$5:$C$60,MATCH(A360,Holidays!$A$5:$A$60,0)),"")</f>
        <v/>
      </c>
      <c r="E360" s="31"/>
      <c r="F360" s="32"/>
      <c r="G360" s="32"/>
      <c r="H360" s="32"/>
      <c r="I360" s="32"/>
      <c r="J360" s="31"/>
      <c r="K360" s="33" t="str">
        <f aca="false">IF(E360&lt;&gt;"",E360,IF(U360,"Present",IF(C360="Holiday","Holiday","Weekend")))</f>
        <v>Present</v>
      </c>
      <c r="L360" s="34" t="n">
        <f aca="false">IF(OR(K360="Present",K360="Manual Work",K360="Partial Vacation",K360="Partial Sick Leave"),IF(ISNUMBER(F360),F360,IF(AND(K360="Present",U360),Settings!$B$6,"")),"")</f>
        <v>0.333333333333333</v>
      </c>
      <c r="M360" s="34" t="n">
        <f aca="false">IF(OR(K360="Present",K360="Manual Work",K360="Partial Vacation",K360="Partial Sick Leave"),IF(ISNUMBER(G360),G360,IF(AND(K360="Present",U360),V360,"")),"")</f>
        <v>0.6875</v>
      </c>
      <c r="N360" s="14" t="n">
        <f aca="false">IF(AND(ISNUMBER(L360),ISNUMBER(M360)),MAX(0,(M360-L360)*24),0)</f>
        <v>8.5</v>
      </c>
      <c r="O360" s="14" t="n">
        <f aca="false">IF(NOT(U360),0,IF(K360="Vacation",IF(C360="Eve",Settings!$B$9*Settings!$B$11,W360),IF(K360="Partial Vacation",IF(AND(ISNUMBER(H360),ISNUMBER(I360)),MAX(0,(I360-H360)*24),0),0)))</f>
        <v>0</v>
      </c>
      <c r="P360" s="14" t="n">
        <f aca="false">IF(NOT(U360),0,IF(K360="Sick Leave",W360,IF(K360="Partial Sick Leave",IF(AND(ISNUMBER(H360),ISNUMBER(I360)),MAX(0,(I360-H360)*24),0),0)))</f>
        <v>0</v>
      </c>
      <c r="Q360" s="14" t="n">
        <f aca="false">IF(NOT(U360),0,IF(K360="Vacation",IF(C360="Eve",Settings!$B$11,1),IF(K360="Partial Vacation",O360/Settings!$B$9,0)))</f>
        <v>0</v>
      </c>
      <c r="R360" s="14" t="n">
        <f aca="false">IF(NOT(U360),0,IF(K360="Sick Leave",1,IF(K360="Partial Sick Leave",P360/Settings!$B$9,0)))</f>
        <v>0</v>
      </c>
      <c r="S360" s="35" t="str">
        <f aca="false">IF(AND(OR(E360="Vacation",E360="Sick Leave",E360="Partial Vacation",E360="Partial Sick Leave"),NOT(U360)),"Leave not allowed on this day",IF(AND(E360="Manual Work",OR(NOT(ISNUMBER(F360)),NOT(ISNUMBER(G360)))),"Enter start and end",IF(AND(OR(E360="Partial Vacation",E360="Partial Sick Leave"),OR(NOT(ISNUMBER(H360)),NOT(ISNUMBER(I360)))),"Enter leave from and to",IF(AND(ISNUMBER(F360),ISNUMBER(G360),G360&lt;=F360),"End is before start",IF(AND(ISNUMBER(H360),ISNUMBER(I360),I360&lt;=H360),"Leave end is before start",IF(AND(ISNUMBER(F360),ISNUMBER(G360),ISNUMBER(H360),ISNUMBER(I360),F360&lt;I360,H360&lt;G360),"Work and leave hours overlap",IF(AND(E360&lt;&gt;"",WEEKDAY(A360)=7),"Saturday - administrator only","")))))))</f>
        <v/>
      </c>
      <c r="T360" s="36" t="n">
        <f aca="false">MONTH(A360)</f>
        <v>12</v>
      </c>
      <c r="U360" s="37" t="b">
        <f aca="false">OR(C360="Workday",C360="Eve")</f>
        <v>1</v>
      </c>
      <c r="V360" s="34" t="n">
        <f aca="false">IF(C360="Eve",Settings!$B$8,Settings!$B$7)</f>
        <v>0.6875</v>
      </c>
      <c r="W360" s="14" t="n">
        <f aca="false">IF(U360,(V360-Settings!$B$6)*24,0)</f>
        <v>8.5</v>
      </c>
    </row>
    <row r="361" customFormat="false" ht="15" hidden="false" customHeight="false" outlineLevel="0" collapsed="false">
      <c r="A361" s="29" t="n">
        <v>46377</v>
      </c>
      <c r="B361" s="30" t="str">
        <f aca="false">CHOOSE(WEEKDAY(A361),"Sun","Mon","Tue","Wed","Thu","Fri","Sat")</f>
        <v>Mon</v>
      </c>
      <c r="C361" s="30" t="str">
        <f aca="false">IF(IFERROR(INDEX(Holidays!$D$5:$D$60,MATCH(A361,Holidays!$A$5:$A$60,0)),"")="Holiday","Holiday",IF(WEEKDAY(A361)&gt;=6,"Weekend",IF(IFERROR(INDEX(Holidays!$D$5:$D$60,MATCH(A361,Holidays!$A$5:$A$60,0)),"")="Eve","Eve","Workday")))</f>
        <v>Workday</v>
      </c>
      <c r="D361" s="18" t="str">
        <f aca="false">IFERROR(INDEX(Holidays!$C$5:$C$60,MATCH(A361,Holidays!$A$5:$A$60,0)),"")</f>
        <v/>
      </c>
      <c r="E361" s="31"/>
      <c r="F361" s="32"/>
      <c r="G361" s="32"/>
      <c r="H361" s="32"/>
      <c r="I361" s="32"/>
      <c r="J361" s="31"/>
      <c r="K361" s="33" t="str">
        <f aca="false">IF(E361&lt;&gt;"",E361,IF(U361,"Present",IF(C361="Holiday","Holiday","Weekend")))</f>
        <v>Present</v>
      </c>
      <c r="L361" s="34" t="n">
        <f aca="false">IF(OR(K361="Present",K361="Manual Work",K361="Partial Vacation",K361="Partial Sick Leave"),IF(ISNUMBER(F361),F361,IF(AND(K361="Present",U361),Settings!$B$6,"")),"")</f>
        <v>0.333333333333333</v>
      </c>
      <c r="M361" s="34" t="n">
        <f aca="false">IF(OR(K361="Present",K361="Manual Work",K361="Partial Vacation",K361="Partial Sick Leave"),IF(ISNUMBER(G361),G361,IF(AND(K361="Present",U361),V361,"")),"")</f>
        <v>0.6875</v>
      </c>
      <c r="N361" s="14" t="n">
        <f aca="false">IF(AND(ISNUMBER(L361),ISNUMBER(M361)),MAX(0,(M361-L361)*24),0)</f>
        <v>8.5</v>
      </c>
      <c r="O361" s="14" t="n">
        <f aca="false">IF(NOT(U361),0,IF(K361="Vacation",IF(C361="Eve",Settings!$B$9*Settings!$B$11,W361),IF(K361="Partial Vacation",IF(AND(ISNUMBER(H361),ISNUMBER(I361)),MAX(0,(I361-H361)*24),0),0)))</f>
        <v>0</v>
      </c>
      <c r="P361" s="14" t="n">
        <f aca="false">IF(NOT(U361),0,IF(K361="Sick Leave",W361,IF(K361="Partial Sick Leave",IF(AND(ISNUMBER(H361),ISNUMBER(I361)),MAX(0,(I361-H361)*24),0),0)))</f>
        <v>0</v>
      </c>
      <c r="Q361" s="14" t="n">
        <f aca="false">IF(NOT(U361),0,IF(K361="Vacation",IF(C361="Eve",Settings!$B$11,1),IF(K361="Partial Vacation",O361/Settings!$B$9,0)))</f>
        <v>0</v>
      </c>
      <c r="R361" s="14" t="n">
        <f aca="false">IF(NOT(U361),0,IF(K361="Sick Leave",1,IF(K361="Partial Sick Leave",P361/Settings!$B$9,0)))</f>
        <v>0</v>
      </c>
      <c r="S361" s="35" t="str">
        <f aca="false">IF(AND(OR(E361="Vacation",E361="Sick Leave",E361="Partial Vacation",E361="Partial Sick Leave"),NOT(U361)),"Leave not allowed on this day",IF(AND(E361="Manual Work",OR(NOT(ISNUMBER(F361)),NOT(ISNUMBER(G361)))),"Enter start and end",IF(AND(OR(E361="Partial Vacation",E361="Partial Sick Leave"),OR(NOT(ISNUMBER(H361)),NOT(ISNUMBER(I361)))),"Enter leave from and to",IF(AND(ISNUMBER(F361),ISNUMBER(G361),G361&lt;=F361),"End is before start",IF(AND(ISNUMBER(H361),ISNUMBER(I361),I361&lt;=H361),"Leave end is before start",IF(AND(ISNUMBER(F361),ISNUMBER(G361),ISNUMBER(H361),ISNUMBER(I361),F361&lt;I361,H361&lt;G361),"Work and leave hours overlap",IF(AND(E361&lt;&gt;"",WEEKDAY(A361)=7),"Saturday - administrator only","")))))))</f>
        <v/>
      </c>
      <c r="T361" s="36" t="n">
        <f aca="false">MONTH(A361)</f>
        <v>12</v>
      </c>
      <c r="U361" s="37" t="b">
        <f aca="false">OR(C361="Workday",C361="Eve")</f>
        <v>1</v>
      </c>
      <c r="V361" s="34" t="n">
        <f aca="false">IF(C361="Eve",Settings!$B$8,Settings!$B$7)</f>
        <v>0.6875</v>
      </c>
      <c r="W361" s="14" t="n">
        <f aca="false">IF(U361,(V361-Settings!$B$6)*24,0)</f>
        <v>8.5</v>
      </c>
    </row>
    <row r="362" customFormat="false" ht="15" hidden="false" customHeight="false" outlineLevel="0" collapsed="false">
      <c r="A362" s="29" t="n">
        <v>46378</v>
      </c>
      <c r="B362" s="30" t="str">
        <f aca="false">CHOOSE(WEEKDAY(A362),"Sun","Mon","Tue","Wed","Thu","Fri","Sat")</f>
        <v>Tue</v>
      </c>
      <c r="C362" s="30" t="str">
        <f aca="false">IF(IFERROR(INDEX(Holidays!$D$5:$D$60,MATCH(A362,Holidays!$A$5:$A$60,0)),"")="Holiday","Holiday",IF(WEEKDAY(A362)&gt;=6,"Weekend",IF(IFERROR(INDEX(Holidays!$D$5:$D$60,MATCH(A362,Holidays!$A$5:$A$60,0)),"")="Eve","Eve","Workday")))</f>
        <v>Workday</v>
      </c>
      <c r="D362" s="18" t="str">
        <f aca="false">IFERROR(INDEX(Holidays!$C$5:$C$60,MATCH(A362,Holidays!$A$5:$A$60,0)),"")</f>
        <v/>
      </c>
      <c r="E362" s="31"/>
      <c r="F362" s="32"/>
      <c r="G362" s="32"/>
      <c r="H362" s="32"/>
      <c r="I362" s="32"/>
      <c r="J362" s="31"/>
      <c r="K362" s="33" t="str">
        <f aca="false">IF(E362&lt;&gt;"",E362,IF(U362,"Present",IF(C362="Holiday","Holiday","Weekend")))</f>
        <v>Present</v>
      </c>
      <c r="L362" s="34" t="n">
        <f aca="false">IF(OR(K362="Present",K362="Manual Work",K362="Partial Vacation",K362="Partial Sick Leave"),IF(ISNUMBER(F362),F362,IF(AND(K362="Present",U362),Settings!$B$6,"")),"")</f>
        <v>0.333333333333333</v>
      </c>
      <c r="M362" s="34" t="n">
        <f aca="false">IF(OR(K362="Present",K362="Manual Work",K362="Partial Vacation",K362="Partial Sick Leave"),IF(ISNUMBER(G362),G362,IF(AND(K362="Present",U362),V362,"")),"")</f>
        <v>0.6875</v>
      </c>
      <c r="N362" s="14" t="n">
        <f aca="false">IF(AND(ISNUMBER(L362),ISNUMBER(M362)),MAX(0,(M362-L362)*24),0)</f>
        <v>8.5</v>
      </c>
      <c r="O362" s="14" t="n">
        <f aca="false">IF(NOT(U362),0,IF(K362="Vacation",IF(C362="Eve",Settings!$B$9*Settings!$B$11,W362),IF(K362="Partial Vacation",IF(AND(ISNUMBER(H362),ISNUMBER(I362)),MAX(0,(I362-H362)*24),0),0)))</f>
        <v>0</v>
      </c>
      <c r="P362" s="14" t="n">
        <f aca="false">IF(NOT(U362),0,IF(K362="Sick Leave",W362,IF(K362="Partial Sick Leave",IF(AND(ISNUMBER(H362),ISNUMBER(I362)),MAX(0,(I362-H362)*24),0),0)))</f>
        <v>0</v>
      </c>
      <c r="Q362" s="14" t="n">
        <f aca="false">IF(NOT(U362),0,IF(K362="Vacation",IF(C362="Eve",Settings!$B$11,1),IF(K362="Partial Vacation",O362/Settings!$B$9,0)))</f>
        <v>0</v>
      </c>
      <c r="R362" s="14" t="n">
        <f aca="false">IF(NOT(U362),0,IF(K362="Sick Leave",1,IF(K362="Partial Sick Leave",P362/Settings!$B$9,0)))</f>
        <v>0</v>
      </c>
      <c r="S362" s="35" t="str">
        <f aca="false">IF(AND(OR(E362="Vacation",E362="Sick Leave",E362="Partial Vacation",E362="Partial Sick Leave"),NOT(U362)),"Leave not allowed on this day",IF(AND(E362="Manual Work",OR(NOT(ISNUMBER(F362)),NOT(ISNUMBER(G362)))),"Enter start and end",IF(AND(OR(E362="Partial Vacation",E362="Partial Sick Leave"),OR(NOT(ISNUMBER(H362)),NOT(ISNUMBER(I362)))),"Enter leave from and to",IF(AND(ISNUMBER(F362),ISNUMBER(G362),G362&lt;=F362),"End is before start",IF(AND(ISNUMBER(H362),ISNUMBER(I362),I362&lt;=H362),"Leave end is before start",IF(AND(ISNUMBER(F362),ISNUMBER(G362),ISNUMBER(H362),ISNUMBER(I362),F362&lt;I362,H362&lt;G362),"Work and leave hours overlap",IF(AND(E362&lt;&gt;"",WEEKDAY(A362)=7),"Saturday - administrator only","")))))))</f>
        <v/>
      </c>
      <c r="T362" s="36" t="n">
        <f aca="false">MONTH(A362)</f>
        <v>12</v>
      </c>
      <c r="U362" s="37" t="b">
        <f aca="false">OR(C362="Workday",C362="Eve")</f>
        <v>1</v>
      </c>
      <c r="V362" s="34" t="n">
        <f aca="false">IF(C362="Eve",Settings!$B$8,Settings!$B$7)</f>
        <v>0.6875</v>
      </c>
      <c r="W362" s="14" t="n">
        <f aca="false">IF(U362,(V362-Settings!$B$6)*24,0)</f>
        <v>8.5</v>
      </c>
    </row>
    <row r="363" customFormat="false" ht="15" hidden="false" customHeight="false" outlineLevel="0" collapsed="false">
      <c r="A363" s="29" t="n">
        <v>46379</v>
      </c>
      <c r="B363" s="30" t="str">
        <f aca="false">CHOOSE(WEEKDAY(A363),"Sun","Mon","Tue","Wed","Thu","Fri","Sat")</f>
        <v>Wed</v>
      </c>
      <c r="C363" s="30" t="str">
        <f aca="false">IF(IFERROR(INDEX(Holidays!$D$5:$D$60,MATCH(A363,Holidays!$A$5:$A$60,0)),"")="Holiday","Holiday",IF(WEEKDAY(A363)&gt;=6,"Weekend",IF(IFERROR(INDEX(Holidays!$D$5:$D$60,MATCH(A363,Holidays!$A$5:$A$60,0)),"")="Eve","Eve","Workday")))</f>
        <v>Workday</v>
      </c>
      <c r="D363" s="18" t="str">
        <f aca="false">IFERROR(INDEX(Holidays!$C$5:$C$60,MATCH(A363,Holidays!$A$5:$A$60,0)),"")</f>
        <v/>
      </c>
      <c r="E363" s="31"/>
      <c r="F363" s="32"/>
      <c r="G363" s="32"/>
      <c r="H363" s="32"/>
      <c r="I363" s="32"/>
      <c r="J363" s="31"/>
      <c r="K363" s="33" t="str">
        <f aca="false">IF(E363&lt;&gt;"",E363,IF(U363,"Present",IF(C363="Holiday","Holiday","Weekend")))</f>
        <v>Present</v>
      </c>
      <c r="L363" s="34" t="n">
        <f aca="false">IF(OR(K363="Present",K363="Manual Work",K363="Partial Vacation",K363="Partial Sick Leave"),IF(ISNUMBER(F363),F363,IF(AND(K363="Present",U363),Settings!$B$6,"")),"")</f>
        <v>0.333333333333333</v>
      </c>
      <c r="M363" s="34" t="n">
        <f aca="false">IF(OR(K363="Present",K363="Manual Work",K363="Partial Vacation",K363="Partial Sick Leave"),IF(ISNUMBER(G363),G363,IF(AND(K363="Present",U363),V363,"")),"")</f>
        <v>0.6875</v>
      </c>
      <c r="N363" s="14" t="n">
        <f aca="false">IF(AND(ISNUMBER(L363),ISNUMBER(M363)),MAX(0,(M363-L363)*24),0)</f>
        <v>8.5</v>
      </c>
      <c r="O363" s="14" t="n">
        <f aca="false">IF(NOT(U363),0,IF(K363="Vacation",IF(C363="Eve",Settings!$B$9*Settings!$B$11,W363),IF(K363="Partial Vacation",IF(AND(ISNUMBER(H363),ISNUMBER(I363)),MAX(0,(I363-H363)*24),0),0)))</f>
        <v>0</v>
      </c>
      <c r="P363" s="14" t="n">
        <f aca="false">IF(NOT(U363),0,IF(K363="Sick Leave",W363,IF(K363="Partial Sick Leave",IF(AND(ISNUMBER(H363),ISNUMBER(I363)),MAX(0,(I363-H363)*24),0),0)))</f>
        <v>0</v>
      </c>
      <c r="Q363" s="14" t="n">
        <f aca="false">IF(NOT(U363),0,IF(K363="Vacation",IF(C363="Eve",Settings!$B$11,1),IF(K363="Partial Vacation",O363/Settings!$B$9,0)))</f>
        <v>0</v>
      </c>
      <c r="R363" s="14" t="n">
        <f aca="false">IF(NOT(U363),0,IF(K363="Sick Leave",1,IF(K363="Partial Sick Leave",P363/Settings!$B$9,0)))</f>
        <v>0</v>
      </c>
      <c r="S363" s="35" t="str">
        <f aca="false">IF(AND(OR(E363="Vacation",E363="Sick Leave",E363="Partial Vacation",E363="Partial Sick Leave"),NOT(U363)),"Leave not allowed on this day",IF(AND(E363="Manual Work",OR(NOT(ISNUMBER(F363)),NOT(ISNUMBER(G363)))),"Enter start and end",IF(AND(OR(E363="Partial Vacation",E363="Partial Sick Leave"),OR(NOT(ISNUMBER(H363)),NOT(ISNUMBER(I363)))),"Enter leave from and to",IF(AND(ISNUMBER(F363),ISNUMBER(G363),G363&lt;=F363),"End is before start",IF(AND(ISNUMBER(H363),ISNUMBER(I363),I363&lt;=H363),"Leave end is before start",IF(AND(ISNUMBER(F363),ISNUMBER(G363),ISNUMBER(H363),ISNUMBER(I363),F363&lt;I363,H363&lt;G363),"Work and leave hours overlap",IF(AND(E363&lt;&gt;"",WEEKDAY(A363)=7),"Saturday - administrator only","")))))))</f>
        <v/>
      </c>
      <c r="T363" s="36" t="n">
        <f aca="false">MONTH(A363)</f>
        <v>12</v>
      </c>
      <c r="U363" s="37" t="b">
        <f aca="false">OR(C363="Workday",C363="Eve")</f>
        <v>1</v>
      </c>
      <c r="V363" s="34" t="n">
        <f aca="false">IF(C363="Eve",Settings!$B$8,Settings!$B$7)</f>
        <v>0.6875</v>
      </c>
      <c r="W363" s="14" t="n">
        <f aca="false">IF(U363,(V363-Settings!$B$6)*24,0)</f>
        <v>8.5</v>
      </c>
    </row>
    <row r="364" customFormat="false" ht="15" hidden="false" customHeight="false" outlineLevel="0" collapsed="false">
      <c r="A364" s="29" t="n">
        <v>46380</v>
      </c>
      <c r="B364" s="30" t="str">
        <f aca="false">CHOOSE(WEEKDAY(A364),"Sun","Mon","Tue","Wed","Thu","Fri","Sat")</f>
        <v>Thu</v>
      </c>
      <c r="C364" s="30" t="str">
        <f aca="false">IF(IFERROR(INDEX(Holidays!$D$5:$D$60,MATCH(A364,Holidays!$A$5:$A$60,0)),"")="Holiday","Holiday",IF(WEEKDAY(A364)&gt;=6,"Weekend",IF(IFERROR(INDEX(Holidays!$D$5:$D$60,MATCH(A364,Holidays!$A$5:$A$60,0)),"")="Eve","Eve","Workday")))</f>
        <v>Workday</v>
      </c>
      <c r="D364" s="18" t="str">
        <f aca="false">IFERROR(INDEX(Holidays!$C$5:$C$60,MATCH(A364,Holidays!$A$5:$A$60,0)),"")</f>
        <v/>
      </c>
      <c r="E364" s="31"/>
      <c r="F364" s="32"/>
      <c r="G364" s="32"/>
      <c r="H364" s="32"/>
      <c r="I364" s="32"/>
      <c r="J364" s="31"/>
      <c r="K364" s="33" t="str">
        <f aca="false">IF(E364&lt;&gt;"",E364,IF(U364,"Present",IF(C364="Holiday","Holiday","Weekend")))</f>
        <v>Present</v>
      </c>
      <c r="L364" s="34" t="n">
        <f aca="false">IF(OR(K364="Present",K364="Manual Work",K364="Partial Vacation",K364="Partial Sick Leave"),IF(ISNUMBER(F364),F364,IF(AND(K364="Present",U364),Settings!$B$6,"")),"")</f>
        <v>0.333333333333333</v>
      </c>
      <c r="M364" s="34" t="n">
        <f aca="false">IF(OR(K364="Present",K364="Manual Work",K364="Partial Vacation",K364="Partial Sick Leave"),IF(ISNUMBER(G364),G364,IF(AND(K364="Present",U364),V364,"")),"")</f>
        <v>0.6875</v>
      </c>
      <c r="N364" s="14" t="n">
        <f aca="false">IF(AND(ISNUMBER(L364),ISNUMBER(M364)),MAX(0,(M364-L364)*24),0)</f>
        <v>8.5</v>
      </c>
      <c r="O364" s="14" t="n">
        <f aca="false">IF(NOT(U364),0,IF(K364="Vacation",IF(C364="Eve",Settings!$B$9*Settings!$B$11,W364),IF(K364="Partial Vacation",IF(AND(ISNUMBER(H364),ISNUMBER(I364)),MAX(0,(I364-H364)*24),0),0)))</f>
        <v>0</v>
      </c>
      <c r="P364" s="14" t="n">
        <f aca="false">IF(NOT(U364),0,IF(K364="Sick Leave",W364,IF(K364="Partial Sick Leave",IF(AND(ISNUMBER(H364),ISNUMBER(I364)),MAX(0,(I364-H364)*24),0),0)))</f>
        <v>0</v>
      </c>
      <c r="Q364" s="14" t="n">
        <f aca="false">IF(NOT(U364),0,IF(K364="Vacation",IF(C364="Eve",Settings!$B$11,1),IF(K364="Partial Vacation",O364/Settings!$B$9,0)))</f>
        <v>0</v>
      </c>
      <c r="R364" s="14" t="n">
        <f aca="false">IF(NOT(U364),0,IF(K364="Sick Leave",1,IF(K364="Partial Sick Leave",P364/Settings!$B$9,0)))</f>
        <v>0</v>
      </c>
      <c r="S364" s="35" t="str">
        <f aca="false">IF(AND(OR(E364="Vacation",E364="Sick Leave",E364="Partial Vacation",E364="Partial Sick Leave"),NOT(U364)),"Leave not allowed on this day",IF(AND(E364="Manual Work",OR(NOT(ISNUMBER(F364)),NOT(ISNUMBER(G364)))),"Enter start and end",IF(AND(OR(E364="Partial Vacation",E364="Partial Sick Leave"),OR(NOT(ISNUMBER(H364)),NOT(ISNUMBER(I364)))),"Enter leave from and to",IF(AND(ISNUMBER(F364),ISNUMBER(G364),G364&lt;=F364),"End is before start",IF(AND(ISNUMBER(H364),ISNUMBER(I364),I364&lt;=H364),"Leave end is before start",IF(AND(ISNUMBER(F364),ISNUMBER(G364),ISNUMBER(H364),ISNUMBER(I364),F364&lt;I364,H364&lt;G364),"Work and leave hours overlap",IF(AND(E364&lt;&gt;"",WEEKDAY(A364)=7),"Saturday - administrator only","")))))))</f>
        <v/>
      </c>
      <c r="T364" s="36" t="n">
        <f aca="false">MONTH(A364)</f>
        <v>12</v>
      </c>
      <c r="U364" s="37" t="b">
        <f aca="false">OR(C364="Workday",C364="Eve")</f>
        <v>1</v>
      </c>
      <c r="V364" s="34" t="n">
        <f aca="false">IF(C364="Eve",Settings!$B$8,Settings!$B$7)</f>
        <v>0.6875</v>
      </c>
      <c r="W364" s="14" t="n">
        <f aca="false">IF(U364,(V364-Settings!$B$6)*24,0)</f>
        <v>8.5</v>
      </c>
    </row>
    <row r="365" customFormat="false" ht="15" hidden="false" customHeight="false" outlineLevel="0" collapsed="false">
      <c r="A365" s="29" t="n">
        <v>46381</v>
      </c>
      <c r="B365" s="30" t="str">
        <f aca="false">CHOOSE(WEEKDAY(A365),"Sun","Mon","Tue","Wed","Thu","Fri","Sat")</f>
        <v>Fri</v>
      </c>
      <c r="C365" s="30" t="str">
        <f aca="false">IF(IFERROR(INDEX(Holidays!$D$5:$D$60,MATCH(A365,Holidays!$A$5:$A$60,0)),"")="Holiday","Holiday",IF(WEEKDAY(A365)&gt;=6,"Weekend",IF(IFERROR(INDEX(Holidays!$D$5:$D$60,MATCH(A365,Holidays!$A$5:$A$60,0)),"")="Eve","Eve","Workday")))</f>
        <v>Weekend</v>
      </c>
      <c r="D365" s="18" t="str">
        <f aca="false">IFERROR(INDEX(Holidays!$C$5:$C$60,MATCH(A365,Holidays!$A$5:$A$60,0)),"")</f>
        <v/>
      </c>
      <c r="E365" s="31"/>
      <c r="F365" s="32"/>
      <c r="G365" s="32"/>
      <c r="H365" s="32"/>
      <c r="I365" s="32"/>
      <c r="J365" s="31"/>
      <c r="K365" s="33" t="str">
        <f aca="false">IF(E365&lt;&gt;"",E365,IF(U365,"Present",IF(C365="Holiday","Holiday","Weekend")))</f>
        <v>Weekend</v>
      </c>
      <c r="L365" s="34" t="str">
        <f aca="false">IF(OR(K365="Present",K365="Manual Work",K365="Partial Vacation",K365="Partial Sick Leave"),IF(ISNUMBER(F365),F365,IF(AND(K365="Present",U365),Settings!$B$6,"")),"")</f>
        <v/>
      </c>
      <c r="M365" s="34" t="str">
        <f aca="false">IF(OR(K365="Present",K365="Manual Work",K365="Partial Vacation",K365="Partial Sick Leave"),IF(ISNUMBER(G365),G365,IF(AND(K365="Present",U365),V365,"")),"")</f>
        <v/>
      </c>
      <c r="N365" s="14" t="n">
        <f aca="false">IF(AND(ISNUMBER(L365),ISNUMBER(M365)),MAX(0,(M365-L365)*24),0)</f>
        <v>0</v>
      </c>
      <c r="O365" s="14" t="n">
        <f aca="false">IF(NOT(U365),0,IF(K365="Vacation",IF(C365="Eve",Settings!$B$9*Settings!$B$11,W365),IF(K365="Partial Vacation",IF(AND(ISNUMBER(H365),ISNUMBER(I365)),MAX(0,(I365-H365)*24),0),0)))</f>
        <v>0</v>
      </c>
      <c r="P365" s="14" t="n">
        <f aca="false">IF(NOT(U365),0,IF(K365="Sick Leave",W365,IF(K365="Partial Sick Leave",IF(AND(ISNUMBER(H365),ISNUMBER(I365)),MAX(0,(I365-H365)*24),0),0)))</f>
        <v>0</v>
      </c>
      <c r="Q365" s="14" t="n">
        <f aca="false">IF(NOT(U365),0,IF(K365="Vacation",IF(C365="Eve",Settings!$B$11,1),IF(K365="Partial Vacation",O365/Settings!$B$9,0)))</f>
        <v>0</v>
      </c>
      <c r="R365" s="14" t="n">
        <f aca="false">IF(NOT(U365),0,IF(K365="Sick Leave",1,IF(K365="Partial Sick Leave",P365/Settings!$B$9,0)))</f>
        <v>0</v>
      </c>
      <c r="S365" s="35" t="str">
        <f aca="false">IF(AND(OR(E365="Vacation",E365="Sick Leave",E365="Partial Vacation",E365="Partial Sick Leave"),NOT(U365)),"Leave not allowed on this day",IF(AND(E365="Manual Work",OR(NOT(ISNUMBER(F365)),NOT(ISNUMBER(G365)))),"Enter start and end",IF(AND(OR(E365="Partial Vacation",E365="Partial Sick Leave"),OR(NOT(ISNUMBER(H365)),NOT(ISNUMBER(I365)))),"Enter leave from and to",IF(AND(ISNUMBER(F365),ISNUMBER(G365),G365&lt;=F365),"End is before start",IF(AND(ISNUMBER(H365),ISNUMBER(I365),I365&lt;=H365),"Leave end is before start",IF(AND(ISNUMBER(F365),ISNUMBER(G365),ISNUMBER(H365),ISNUMBER(I365),F365&lt;I365,H365&lt;G365),"Work and leave hours overlap",IF(AND(E365&lt;&gt;"",WEEKDAY(A365)=7),"Saturday - administrator only","")))))))</f>
        <v/>
      </c>
      <c r="T365" s="36" t="n">
        <f aca="false">MONTH(A365)</f>
        <v>12</v>
      </c>
      <c r="U365" s="37" t="b">
        <f aca="false">OR(C365="Workday",C365="Eve")</f>
        <v>0</v>
      </c>
      <c r="V365" s="34" t="n">
        <f aca="false">IF(C365="Eve",Settings!$B$8,Settings!$B$7)</f>
        <v>0.6875</v>
      </c>
      <c r="W365" s="14" t="n">
        <f aca="false">IF(U365,(V365-Settings!$B$6)*24,0)</f>
        <v>0</v>
      </c>
    </row>
    <row r="366" customFormat="false" ht="15" hidden="false" customHeight="false" outlineLevel="0" collapsed="false">
      <c r="A366" s="29" t="n">
        <v>46382</v>
      </c>
      <c r="B366" s="30" t="str">
        <f aca="false">CHOOSE(WEEKDAY(A366),"Sun","Mon","Tue","Wed","Thu","Fri","Sat")</f>
        <v>Sat</v>
      </c>
      <c r="C366" s="30" t="str">
        <f aca="false">IF(IFERROR(INDEX(Holidays!$D$5:$D$60,MATCH(A366,Holidays!$A$5:$A$60,0)),"")="Holiday","Holiday",IF(WEEKDAY(A366)&gt;=6,"Weekend",IF(IFERROR(INDEX(Holidays!$D$5:$D$60,MATCH(A366,Holidays!$A$5:$A$60,0)),"")="Eve","Eve","Workday")))</f>
        <v>Weekend</v>
      </c>
      <c r="D366" s="18" t="str">
        <f aca="false">IFERROR(INDEX(Holidays!$C$5:$C$60,MATCH(A366,Holidays!$A$5:$A$60,0)),"")</f>
        <v/>
      </c>
      <c r="E366" s="31"/>
      <c r="F366" s="32"/>
      <c r="G366" s="32"/>
      <c r="H366" s="32"/>
      <c r="I366" s="32"/>
      <c r="J366" s="31"/>
      <c r="K366" s="33" t="str">
        <f aca="false">IF(E366&lt;&gt;"",E366,IF(U366,"Present",IF(C366="Holiday","Holiday","Weekend")))</f>
        <v>Weekend</v>
      </c>
      <c r="L366" s="34" t="str">
        <f aca="false">IF(OR(K366="Present",K366="Manual Work",K366="Partial Vacation",K366="Partial Sick Leave"),IF(ISNUMBER(F366),F366,IF(AND(K366="Present",U366),Settings!$B$6,"")),"")</f>
        <v/>
      </c>
      <c r="M366" s="34" t="str">
        <f aca="false">IF(OR(K366="Present",K366="Manual Work",K366="Partial Vacation",K366="Partial Sick Leave"),IF(ISNUMBER(G366),G366,IF(AND(K366="Present",U366),V366,"")),"")</f>
        <v/>
      </c>
      <c r="N366" s="14" t="n">
        <f aca="false">IF(AND(ISNUMBER(L366),ISNUMBER(M366)),MAX(0,(M366-L366)*24),0)</f>
        <v>0</v>
      </c>
      <c r="O366" s="14" t="n">
        <f aca="false">IF(NOT(U366),0,IF(K366="Vacation",IF(C366="Eve",Settings!$B$9*Settings!$B$11,W366),IF(K366="Partial Vacation",IF(AND(ISNUMBER(H366),ISNUMBER(I366)),MAX(0,(I366-H366)*24),0),0)))</f>
        <v>0</v>
      </c>
      <c r="P366" s="14" t="n">
        <f aca="false">IF(NOT(U366),0,IF(K366="Sick Leave",W366,IF(K366="Partial Sick Leave",IF(AND(ISNUMBER(H366),ISNUMBER(I366)),MAX(0,(I366-H366)*24),0),0)))</f>
        <v>0</v>
      </c>
      <c r="Q366" s="14" t="n">
        <f aca="false">IF(NOT(U366),0,IF(K366="Vacation",IF(C366="Eve",Settings!$B$11,1),IF(K366="Partial Vacation",O366/Settings!$B$9,0)))</f>
        <v>0</v>
      </c>
      <c r="R366" s="14" t="n">
        <f aca="false">IF(NOT(U366),0,IF(K366="Sick Leave",1,IF(K366="Partial Sick Leave",P366/Settings!$B$9,0)))</f>
        <v>0</v>
      </c>
      <c r="S366" s="35" t="str">
        <f aca="false">IF(AND(OR(E366="Vacation",E366="Sick Leave",E366="Partial Vacation",E366="Partial Sick Leave"),NOT(U366)),"Leave not allowed on this day",IF(AND(E366="Manual Work",OR(NOT(ISNUMBER(F366)),NOT(ISNUMBER(G366)))),"Enter start and end",IF(AND(OR(E366="Partial Vacation",E366="Partial Sick Leave"),OR(NOT(ISNUMBER(H366)),NOT(ISNUMBER(I366)))),"Enter leave from and to",IF(AND(ISNUMBER(F366),ISNUMBER(G366),G366&lt;=F366),"End is before start",IF(AND(ISNUMBER(H366),ISNUMBER(I366),I366&lt;=H366),"Leave end is before start",IF(AND(ISNUMBER(F366),ISNUMBER(G366),ISNUMBER(H366),ISNUMBER(I366),F366&lt;I366,H366&lt;G366),"Work and leave hours overlap",IF(AND(E366&lt;&gt;"",WEEKDAY(A366)=7),"Saturday - administrator only","")))))))</f>
        <v/>
      </c>
      <c r="T366" s="36" t="n">
        <f aca="false">MONTH(A366)</f>
        <v>12</v>
      </c>
      <c r="U366" s="37" t="b">
        <f aca="false">OR(C366="Workday",C366="Eve")</f>
        <v>0</v>
      </c>
      <c r="V366" s="34" t="n">
        <f aca="false">IF(C366="Eve",Settings!$B$8,Settings!$B$7)</f>
        <v>0.6875</v>
      </c>
      <c r="W366" s="14" t="n">
        <f aca="false">IF(U366,(V366-Settings!$B$6)*24,0)</f>
        <v>0</v>
      </c>
    </row>
    <row r="367" customFormat="false" ht="15" hidden="false" customHeight="false" outlineLevel="0" collapsed="false">
      <c r="A367" s="29" t="n">
        <v>46383</v>
      </c>
      <c r="B367" s="30" t="str">
        <f aca="false">CHOOSE(WEEKDAY(A367),"Sun","Mon","Tue","Wed","Thu","Fri","Sat")</f>
        <v>Sun</v>
      </c>
      <c r="C367" s="30" t="str">
        <f aca="false">IF(IFERROR(INDEX(Holidays!$D$5:$D$60,MATCH(A367,Holidays!$A$5:$A$60,0)),"")="Holiday","Holiday",IF(WEEKDAY(A367)&gt;=6,"Weekend",IF(IFERROR(INDEX(Holidays!$D$5:$D$60,MATCH(A367,Holidays!$A$5:$A$60,0)),"")="Eve","Eve","Workday")))</f>
        <v>Workday</v>
      </c>
      <c r="D367" s="18" t="str">
        <f aca="false">IFERROR(INDEX(Holidays!$C$5:$C$60,MATCH(A367,Holidays!$A$5:$A$60,0)),"")</f>
        <v/>
      </c>
      <c r="E367" s="31"/>
      <c r="F367" s="32"/>
      <c r="G367" s="32"/>
      <c r="H367" s="32"/>
      <c r="I367" s="32"/>
      <c r="J367" s="31"/>
      <c r="K367" s="33" t="str">
        <f aca="false">IF(E367&lt;&gt;"",E367,IF(U367,"Present",IF(C367="Holiday","Holiday","Weekend")))</f>
        <v>Present</v>
      </c>
      <c r="L367" s="34" t="n">
        <f aca="false">IF(OR(K367="Present",K367="Manual Work",K367="Partial Vacation",K367="Partial Sick Leave"),IF(ISNUMBER(F367),F367,IF(AND(K367="Present",U367),Settings!$B$6,"")),"")</f>
        <v>0.333333333333333</v>
      </c>
      <c r="M367" s="34" t="n">
        <f aca="false">IF(OR(K367="Present",K367="Manual Work",K367="Partial Vacation",K367="Partial Sick Leave"),IF(ISNUMBER(G367),G367,IF(AND(K367="Present",U367),V367,"")),"")</f>
        <v>0.6875</v>
      </c>
      <c r="N367" s="14" t="n">
        <f aca="false">IF(AND(ISNUMBER(L367),ISNUMBER(M367)),MAX(0,(M367-L367)*24),0)</f>
        <v>8.5</v>
      </c>
      <c r="O367" s="14" t="n">
        <f aca="false">IF(NOT(U367),0,IF(K367="Vacation",IF(C367="Eve",Settings!$B$9*Settings!$B$11,W367),IF(K367="Partial Vacation",IF(AND(ISNUMBER(H367),ISNUMBER(I367)),MAX(0,(I367-H367)*24),0),0)))</f>
        <v>0</v>
      </c>
      <c r="P367" s="14" t="n">
        <f aca="false">IF(NOT(U367),0,IF(K367="Sick Leave",W367,IF(K367="Partial Sick Leave",IF(AND(ISNUMBER(H367),ISNUMBER(I367)),MAX(0,(I367-H367)*24),0),0)))</f>
        <v>0</v>
      </c>
      <c r="Q367" s="14" t="n">
        <f aca="false">IF(NOT(U367),0,IF(K367="Vacation",IF(C367="Eve",Settings!$B$11,1),IF(K367="Partial Vacation",O367/Settings!$B$9,0)))</f>
        <v>0</v>
      </c>
      <c r="R367" s="14" t="n">
        <f aca="false">IF(NOT(U367),0,IF(K367="Sick Leave",1,IF(K367="Partial Sick Leave",P367/Settings!$B$9,0)))</f>
        <v>0</v>
      </c>
      <c r="S367" s="35" t="str">
        <f aca="false">IF(AND(OR(E367="Vacation",E367="Sick Leave",E367="Partial Vacation",E367="Partial Sick Leave"),NOT(U367)),"Leave not allowed on this day",IF(AND(E367="Manual Work",OR(NOT(ISNUMBER(F367)),NOT(ISNUMBER(G367)))),"Enter start and end",IF(AND(OR(E367="Partial Vacation",E367="Partial Sick Leave"),OR(NOT(ISNUMBER(H367)),NOT(ISNUMBER(I367)))),"Enter leave from and to",IF(AND(ISNUMBER(F367),ISNUMBER(G367),G367&lt;=F367),"End is before start",IF(AND(ISNUMBER(H367),ISNUMBER(I367),I367&lt;=H367),"Leave end is before start",IF(AND(ISNUMBER(F367),ISNUMBER(G367),ISNUMBER(H367),ISNUMBER(I367),F367&lt;I367,H367&lt;G367),"Work and leave hours overlap",IF(AND(E367&lt;&gt;"",WEEKDAY(A367)=7),"Saturday - administrator only","")))))))</f>
        <v/>
      </c>
      <c r="T367" s="36" t="n">
        <f aca="false">MONTH(A367)</f>
        <v>12</v>
      </c>
      <c r="U367" s="37" t="b">
        <f aca="false">OR(C367="Workday",C367="Eve")</f>
        <v>1</v>
      </c>
      <c r="V367" s="34" t="n">
        <f aca="false">IF(C367="Eve",Settings!$B$8,Settings!$B$7)</f>
        <v>0.6875</v>
      </c>
      <c r="W367" s="14" t="n">
        <f aca="false">IF(U367,(V367-Settings!$B$6)*24,0)</f>
        <v>8.5</v>
      </c>
    </row>
    <row r="368" customFormat="false" ht="15" hidden="false" customHeight="false" outlineLevel="0" collapsed="false">
      <c r="A368" s="29" t="n">
        <v>46384</v>
      </c>
      <c r="B368" s="30" t="str">
        <f aca="false">CHOOSE(WEEKDAY(A368),"Sun","Mon","Tue","Wed","Thu","Fri","Sat")</f>
        <v>Mon</v>
      </c>
      <c r="C368" s="30" t="str">
        <f aca="false">IF(IFERROR(INDEX(Holidays!$D$5:$D$60,MATCH(A368,Holidays!$A$5:$A$60,0)),"")="Holiday","Holiday",IF(WEEKDAY(A368)&gt;=6,"Weekend",IF(IFERROR(INDEX(Holidays!$D$5:$D$60,MATCH(A368,Holidays!$A$5:$A$60,0)),"")="Eve","Eve","Workday")))</f>
        <v>Workday</v>
      </c>
      <c r="D368" s="18" t="str">
        <f aca="false">IFERROR(INDEX(Holidays!$C$5:$C$60,MATCH(A368,Holidays!$A$5:$A$60,0)),"")</f>
        <v/>
      </c>
      <c r="E368" s="31"/>
      <c r="F368" s="32"/>
      <c r="G368" s="32"/>
      <c r="H368" s="32"/>
      <c r="I368" s="32"/>
      <c r="J368" s="31"/>
      <c r="K368" s="33" t="str">
        <f aca="false">IF(E368&lt;&gt;"",E368,IF(U368,"Present",IF(C368="Holiday","Holiday","Weekend")))</f>
        <v>Present</v>
      </c>
      <c r="L368" s="34" t="n">
        <f aca="false">IF(OR(K368="Present",K368="Manual Work",K368="Partial Vacation",K368="Partial Sick Leave"),IF(ISNUMBER(F368),F368,IF(AND(K368="Present",U368),Settings!$B$6,"")),"")</f>
        <v>0.333333333333333</v>
      </c>
      <c r="M368" s="34" t="n">
        <f aca="false">IF(OR(K368="Present",K368="Manual Work",K368="Partial Vacation",K368="Partial Sick Leave"),IF(ISNUMBER(G368),G368,IF(AND(K368="Present",U368),V368,"")),"")</f>
        <v>0.6875</v>
      </c>
      <c r="N368" s="14" t="n">
        <f aca="false">IF(AND(ISNUMBER(L368),ISNUMBER(M368)),MAX(0,(M368-L368)*24),0)</f>
        <v>8.5</v>
      </c>
      <c r="O368" s="14" t="n">
        <f aca="false">IF(NOT(U368),0,IF(K368="Vacation",IF(C368="Eve",Settings!$B$9*Settings!$B$11,W368),IF(K368="Partial Vacation",IF(AND(ISNUMBER(H368),ISNUMBER(I368)),MAX(0,(I368-H368)*24),0),0)))</f>
        <v>0</v>
      </c>
      <c r="P368" s="14" t="n">
        <f aca="false">IF(NOT(U368),0,IF(K368="Sick Leave",W368,IF(K368="Partial Sick Leave",IF(AND(ISNUMBER(H368),ISNUMBER(I368)),MAX(0,(I368-H368)*24),0),0)))</f>
        <v>0</v>
      </c>
      <c r="Q368" s="14" t="n">
        <f aca="false">IF(NOT(U368),0,IF(K368="Vacation",IF(C368="Eve",Settings!$B$11,1),IF(K368="Partial Vacation",O368/Settings!$B$9,0)))</f>
        <v>0</v>
      </c>
      <c r="R368" s="14" t="n">
        <f aca="false">IF(NOT(U368),0,IF(K368="Sick Leave",1,IF(K368="Partial Sick Leave",P368/Settings!$B$9,0)))</f>
        <v>0</v>
      </c>
      <c r="S368" s="35" t="str">
        <f aca="false">IF(AND(OR(E368="Vacation",E368="Sick Leave",E368="Partial Vacation",E368="Partial Sick Leave"),NOT(U368)),"Leave not allowed on this day",IF(AND(E368="Manual Work",OR(NOT(ISNUMBER(F368)),NOT(ISNUMBER(G368)))),"Enter start and end",IF(AND(OR(E368="Partial Vacation",E368="Partial Sick Leave"),OR(NOT(ISNUMBER(H368)),NOT(ISNUMBER(I368)))),"Enter leave from and to",IF(AND(ISNUMBER(F368),ISNUMBER(G368),G368&lt;=F368),"End is before start",IF(AND(ISNUMBER(H368),ISNUMBER(I368),I368&lt;=H368),"Leave end is before start",IF(AND(ISNUMBER(F368),ISNUMBER(G368),ISNUMBER(H368),ISNUMBER(I368),F368&lt;I368,H368&lt;G368),"Work and leave hours overlap",IF(AND(E368&lt;&gt;"",WEEKDAY(A368)=7),"Saturday - administrator only","")))))))</f>
        <v/>
      </c>
      <c r="T368" s="36" t="n">
        <f aca="false">MONTH(A368)</f>
        <v>12</v>
      </c>
      <c r="U368" s="37" t="b">
        <f aca="false">OR(C368="Workday",C368="Eve")</f>
        <v>1</v>
      </c>
      <c r="V368" s="34" t="n">
        <f aca="false">IF(C368="Eve",Settings!$B$8,Settings!$B$7)</f>
        <v>0.6875</v>
      </c>
      <c r="W368" s="14" t="n">
        <f aca="false">IF(U368,(V368-Settings!$B$6)*24,0)</f>
        <v>8.5</v>
      </c>
    </row>
    <row r="369" customFormat="false" ht="15" hidden="false" customHeight="false" outlineLevel="0" collapsed="false">
      <c r="A369" s="29" t="n">
        <v>46385</v>
      </c>
      <c r="B369" s="30" t="str">
        <f aca="false">CHOOSE(WEEKDAY(A369),"Sun","Mon","Tue","Wed","Thu","Fri","Sat")</f>
        <v>Tue</v>
      </c>
      <c r="C369" s="30" t="str">
        <f aca="false">IF(IFERROR(INDEX(Holidays!$D$5:$D$60,MATCH(A369,Holidays!$A$5:$A$60,0)),"")="Holiday","Holiday",IF(WEEKDAY(A369)&gt;=6,"Weekend",IF(IFERROR(INDEX(Holidays!$D$5:$D$60,MATCH(A369,Holidays!$A$5:$A$60,0)),"")="Eve","Eve","Workday")))</f>
        <v>Workday</v>
      </c>
      <c r="D369" s="18" t="str">
        <f aca="false">IFERROR(INDEX(Holidays!$C$5:$C$60,MATCH(A369,Holidays!$A$5:$A$60,0)),"")</f>
        <v/>
      </c>
      <c r="E369" s="31"/>
      <c r="F369" s="32"/>
      <c r="G369" s="32"/>
      <c r="H369" s="32"/>
      <c r="I369" s="32"/>
      <c r="J369" s="31"/>
      <c r="K369" s="33" t="str">
        <f aca="false">IF(E369&lt;&gt;"",E369,IF(U369,"Present",IF(C369="Holiday","Holiday","Weekend")))</f>
        <v>Present</v>
      </c>
      <c r="L369" s="34" t="n">
        <f aca="false">IF(OR(K369="Present",K369="Manual Work",K369="Partial Vacation",K369="Partial Sick Leave"),IF(ISNUMBER(F369),F369,IF(AND(K369="Present",U369),Settings!$B$6,"")),"")</f>
        <v>0.333333333333333</v>
      </c>
      <c r="M369" s="34" t="n">
        <f aca="false">IF(OR(K369="Present",K369="Manual Work",K369="Partial Vacation",K369="Partial Sick Leave"),IF(ISNUMBER(G369),G369,IF(AND(K369="Present",U369),V369,"")),"")</f>
        <v>0.6875</v>
      </c>
      <c r="N369" s="14" t="n">
        <f aca="false">IF(AND(ISNUMBER(L369),ISNUMBER(M369)),MAX(0,(M369-L369)*24),0)</f>
        <v>8.5</v>
      </c>
      <c r="O369" s="14" t="n">
        <f aca="false">IF(NOT(U369),0,IF(K369="Vacation",IF(C369="Eve",Settings!$B$9*Settings!$B$11,W369),IF(K369="Partial Vacation",IF(AND(ISNUMBER(H369),ISNUMBER(I369)),MAX(0,(I369-H369)*24),0),0)))</f>
        <v>0</v>
      </c>
      <c r="P369" s="14" t="n">
        <f aca="false">IF(NOT(U369),0,IF(K369="Sick Leave",W369,IF(K369="Partial Sick Leave",IF(AND(ISNUMBER(H369),ISNUMBER(I369)),MAX(0,(I369-H369)*24),0),0)))</f>
        <v>0</v>
      </c>
      <c r="Q369" s="14" t="n">
        <f aca="false">IF(NOT(U369),0,IF(K369="Vacation",IF(C369="Eve",Settings!$B$11,1),IF(K369="Partial Vacation",O369/Settings!$B$9,0)))</f>
        <v>0</v>
      </c>
      <c r="R369" s="14" t="n">
        <f aca="false">IF(NOT(U369),0,IF(K369="Sick Leave",1,IF(K369="Partial Sick Leave",P369/Settings!$B$9,0)))</f>
        <v>0</v>
      </c>
      <c r="S369" s="35" t="str">
        <f aca="false">IF(AND(OR(E369="Vacation",E369="Sick Leave",E369="Partial Vacation",E369="Partial Sick Leave"),NOT(U369)),"Leave not allowed on this day",IF(AND(E369="Manual Work",OR(NOT(ISNUMBER(F369)),NOT(ISNUMBER(G369)))),"Enter start and end",IF(AND(OR(E369="Partial Vacation",E369="Partial Sick Leave"),OR(NOT(ISNUMBER(H369)),NOT(ISNUMBER(I369)))),"Enter leave from and to",IF(AND(ISNUMBER(F369),ISNUMBER(G369),G369&lt;=F369),"End is before start",IF(AND(ISNUMBER(H369),ISNUMBER(I369),I369&lt;=H369),"Leave end is before start",IF(AND(ISNUMBER(F369),ISNUMBER(G369),ISNUMBER(H369),ISNUMBER(I369),F369&lt;I369,H369&lt;G369),"Work and leave hours overlap",IF(AND(E369&lt;&gt;"",WEEKDAY(A369)=7),"Saturday - administrator only","")))))))</f>
        <v/>
      </c>
      <c r="T369" s="36" t="n">
        <f aca="false">MONTH(A369)</f>
        <v>12</v>
      </c>
      <c r="U369" s="37" t="b">
        <f aca="false">OR(C369="Workday",C369="Eve")</f>
        <v>1</v>
      </c>
      <c r="V369" s="34" t="n">
        <f aca="false">IF(C369="Eve",Settings!$B$8,Settings!$B$7)</f>
        <v>0.6875</v>
      </c>
      <c r="W369" s="14" t="n">
        <f aca="false">IF(U369,(V369-Settings!$B$6)*24,0)</f>
        <v>8.5</v>
      </c>
    </row>
    <row r="370" customFormat="false" ht="15" hidden="false" customHeight="false" outlineLevel="0" collapsed="false">
      <c r="A370" s="29" t="n">
        <v>46386</v>
      </c>
      <c r="B370" s="30" t="str">
        <f aca="false">CHOOSE(WEEKDAY(A370),"Sun","Mon","Tue","Wed","Thu","Fri","Sat")</f>
        <v>Wed</v>
      </c>
      <c r="C370" s="30" t="str">
        <f aca="false">IF(IFERROR(INDEX(Holidays!$D$5:$D$60,MATCH(A370,Holidays!$A$5:$A$60,0)),"")="Holiday","Holiday",IF(WEEKDAY(A370)&gt;=6,"Weekend",IF(IFERROR(INDEX(Holidays!$D$5:$D$60,MATCH(A370,Holidays!$A$5:$A$60,0)),"")="Eve","Eve","Workday")))</f>
        <v>Workday</v>
      </c>
      <c r="D370" s="18" t="str">
        <f aca="false">IFERROR(INDEX(Holidays!$C$5:$C$60,MATCH(A370,Holidays!$A$5:$A$60,0)),"")</f>
        <v/>
      </c>
      <c r="E370" s="31"/>
      <c r="F370" s="32"/>
      <c r="G370" s="32"/>
      <c r="H370" s="32"/>
      <c r="I370" s="32"/>
      <c r="J370" s="31"/>
      <c r="K370" s="33" t="str">
        <f aca="false">IF(E370&lt;&gt;"",E370,IF(U370,"Present",IF(C370="Holiday","Holiday","Weekend")))</f>
        <v>Present</v>
      </c>
      <c r="L370" s="34" t="n">
        <f aca="false">IF(OR(K370="Present",K370="Manual Work",K370="Partial Vacation",K370="Partial Sick Leave"),IF(ISNUMBER(F370),F370,IF(AND(K370="Present",U370),Settings!$B$6,"")),"")</f>
        <v>0.333333333333333</v>
      </c>
      <c r="M370" s="34" t="n">
        <f aca="false">IF(OR(K370="Present",K370="Manual Work",K370="Partial Vacation",K370="Partial Sick Leave"),IF(ISNUMBER(G370),G370,IF(AND(K370="Present",U370),V370,"")),"")</f>
        <v>0.6875</v>
      </c>
      <c r="N370" s="14" t="n">
        <f aca="false">IF(AND(ISNUMBER(L370),ISNUMBER(M370)),MAX(0,(M370-L370)*24),0)</f>
        <v>8.5</v>
      </c>
      <c r="O370" s="14" t="n">
        <f aca="false">IF(NOT(U370),0,IF(K370="Vacation",IF(C370="Eve",Settings!$B$9*Settings!$B$11,W370),IF(K370="Partial Vacation",IF(AND(ISNUMBER(H370),ISNUMBER(I370)),MAX(0,(I370-H370)*24),0),0)))</f>
        <v>0</v>
      </c>
      <c r="P370" s="14" t="n">
        <f aca="false">IF(NOT(U370),0,IF(K370="Sick Leave",W370,IF(K370="Partial Sick Leave",IF(AND(ISNUMBER(H370),ISNUMBER(I370)),MAX(0,(I370-H370)*24),0),0)))</f>
        <v>0</v>
      </c>
      <c r="Q370" s="14" t="n">
        <f aca="false">IF(NOT(U370),0,IF(K370="Vacation",IF(C370="Eve",Settings!$B$11,1),IF(K370="Partial Vacation",O370/Settings!$B$9,0)))</f>
        <v>0</v>
      </c>
      <c r="R370" s="14" t="n">
        <f aca="false">IF(NOT(U370),0,IF(K370="Sick Leave",1,IF(K370="Partial Sick Leave",P370/Settings!$B$9,0)))</f>
        <v>0</v>
      </c>
      <c r="S370" s="35" t="str">
        <f aca="false">IF(AND(OR(E370="Vacation",E370="Sick Leave",E370="Partial Vacation",E370="Partial Sick Leave"),NOT(U370)),"Leave not allowed on this day",IF(AND(E370="Manual Work",OR(NOT(ISNUMBER(F370)),NOT(ISNUMBER(G370)))),"Enter start and end",IF(AND(OR(E370="Partial Vacation",E370="Partial Sick Leave"),OR(NOT(ISNUMBER(H370)),NOT(ISNUMBER(I370)))),"Enter leave from and to",IF(AND(ISNUMBER(F370),ISNUMBER(G370),G370&lt;=F370),"End is before start",IF(AND(ISNUMBER(H370),ISNUMBER(I370),I370&lt;=H370),"Leave end is before start",IF(AND(ISNUMBER(F370),ISNUMBER(G370),ISNUMBER(H370),ISNUMBER(I370),F370&lt;I370,H370&lt;G370),"Work and leave hours overlap",IF(AND(E370&lt;&gt;"",WEEKDAY(A370)=7),"Saturday - administrator only","")))))))</f>
        <v/>
      </c>
      <c r="T370" s="36" t="n">
        <f aca="false">MONTH(A370)</f>
        <v>12</v>
      </c>
      <c r="U370" s="37" t="b">
        <f aca="false">OR(C370="Workday",C370="Eve")</f>
        <v>1</v>
      </c>
      <c r="V370" s="34" t="n">
        <f aca="false">IF(C370="Eve",Settings!$B$8,Settings!$B$7)</f>
        <v>0.6875</v>
      </c>
      <c r="W370" s="14" t="n">
        <f aca="false">IF(U370,(V370-Settings!$B$6)*24,0)</f>
        <v>8.5</v>
      </c>
    </row>
    <row r="371" customFormat="false" ht="15" hidden="false" customHeight="false" outlineLevel="0" collapsed="false">
      <c r="A371" s="29" t="n">
        <v>46387</v>
      </c>
      <c r="B371" s="30" t="str">
        <f aca="false">CHOOSE(WEEKDAY(A371),"Sun","Mon","Tue","Wed","Thu","Fri","Sat")</f>
        <v>Thu</v>
      </c>
      <c r="C371" s="30" t="str">
        <f aca="false">IF(IFERROR(INDEX(Holidays!$D$5:$D$60,MATCH(A371,Holidays!$A$5:$A$60,0)),"")="Holiday","Holiday",IF(WEEKDAY(A371)&gt;=6,"Weekend",IF(IFERROR(INDEX(Holidays!$D$5:$D$60,MATCH(A371,Holidays!$A$5:$A$60,0)),"")="Eve","Eve","Workday")))</f>
        <v>Workday</v>
      </c>
      <c r="D371" s="18" t="str">
        <f aca="false">IFERROR(INDEX(Holidays!$C$5:$C$60,MATCH(A371,Holidays!$A$5:$A$60,0)),"")</f>
        <v/>
      </c>
      <c r="E371" s="31"/>
      <c r="F371" s="32"/>
      <c r="G371" s="32"/>
      <c r="H371" s="32"/>
      <c r="I371" s="32"/>
      <c r="J371" s="31"/>
      <c r="K371" s="33" t="str">
        <f aca="false">IF(E371&lt;&gt;"",E371,IF(U371,"Present",IF(C371="Holiday","Holiday","Weekend")))</f>
        <v>Present</v>
      </c>
      <c r="L371" s="34" t="n">
        <f aca="false">IF(OR(K371="Present",K371="Manual Work",K371="Partial Vacation",K371="Partial Sick Leave"),IF(ISNUMBER(F371),F371,IF(AND(K371="Present",U371),Settings!$B$6,"")),"")</f>
        <v>0.333333333333333</v>
      </c>
      <c r="M371" s="34" t="n">
        <f aca="false">IF(OR(K371="Present",K371="Manual Work",K371="Partial Vacation",K371="Partial Sick Leave"),IF(ISNUMBER(G371),G371,IF(AND(K371="Present",U371),V371,"")),"")</f>
        <v>0.6875</v>
      </c>
      <c r="N371" s="14" t="n">
        <f aca="false">IF(AND(ISNUMBER(L371),ISNUMBER(M371)),MAX(0,(M371-L371)*24),0)</f>
        <v>8.5</v>
      </c>
      <c r="O371" s="14" t="n">
        <f aca="false">IF(NOT(U371),0,IF(K371="Vacation",IF(C371="Eve",Settings!$B$9*Settings!$B$11,W371),IF(K371="Partial Vacation",IF(AND(ISNUMBER(H371),ISNUMBER(I371)),MAX(0,(I371-H371)*24),0),0)))</f>
        <v>0</v>
      </c>
      <c r="P371" s="14" t="n">
        <f aca="false">IF(NOT(U371),0,IF(K371="Sick Leave",W371,IF(K371="Partial Sick Leave",IF(AND(ISNUMBER(H371),ISNUMBER(I371)),MAX(0,(I371-H371)*24),0),0)))</f>
        <v>0</v>
      </c>
      <c r="Q371" s="14" t="n">
        <f aca="false">IF(NOT(U371),0,IF(K371="Vacation",IF(C371="Eve",Settings!$B$11,1),IF(K371="Partial Vacation",O371/Settings!$B$9,0)))</f>
        <v>0</v>
      </c>
      <c r="R371" s="14" t="n">
        <f aca="false">IF(NOT(U371),0,IF(K371="Sick Leave",1,IF(K371="Partial Sick Leave",P371/Settings!$B$9,0)))</f>
        <v>0</v>
      </c>
      <c r="S371" s="35" t="str">
        <f aca="false">IF(AND(OR(E371="Vacation",E371="Sick Leave",E371="Partial Vacation",E371="Partial Sick Leave"),NOT(U371)),"Leave not allowed on this day",IF(AND(E371="Manual Work",OR(NOT(ISNUMBER(F371)),NOT(ISNUMBER(G371)))),"Enter start and end",IF(AND(OR(E371="Partial Vacation",E371="Partial Sick Leave"),OR(NOT(ISNUMBER(H371)),NOT(ISNUMBER(I371)))),"Enter leave from and to",IF(AND(ISNUMBER(F371),ISNUMBER(G371),G371&lt;=F371),"End is before start",IF(AND(ISNUMBER(H371),ISNUMBER(I371),I371&lt;=H371),"Leave end is before start",IF(AND(ISNUMBER(F371),ISNUMBER(G371),ISNUMBER(H371),ISNUMBER(I371),F371&lt;I371,H371&lt;G371),"Work and leave hours overlap",IF(AND(E371&lt;&gt;"",WEEKDAY(A371)=7),"Saturday - administrator only","")))))))</f>
        <v/>
      </c>
      <c r="T371" s="36" t="n">
        <f aca="false">MONTH(A371)</f>
        <v>12</v>
      </c>
      <c r="U371" s="37" t="b">
        <f aca="false">OR(C371="Workday",C371="Eve")</f>
        <v>1</v>
      </c>
      <c r="V371" s="34" t="n">
        <f aca="false">IF(C371="Eve",Settings!$B$8,Settings!$B$7)</f>
        <v>0.6875</v>
      </c>
      <c r="W371" s="14" t="n">
        <f aca="false">IF(U371,(V371-Settings!$B$6)*24,0)</f>
        <v>8.5</v>
      </c>
    </row>
  </sheetData>
  <sheetProtection sheet="true" formatColumns="false" formatRows="false" sort="false" autoFilter="false"/>
  <autoFilter ref="A6:S371"/>
  <mergeCells count="8">
    <mergeCell ref="A3:B3"/>
    <mergeCell ref="C3:D3"/>
    <mergeCell ref="F3:G3"/>
    <mergeCell ref="H3:I3"/>
    <mergeCell ref="A4:B4"/>
    <mergeCell ref="C4:D4"/>
    <mergeCell ref="F4:G4"/>
    <mergeCell ref="H4:I4"/>
  </mergeCells>
  <conditionalFormatting sqref="A7:S371">
    <cfRule type="expression" priority="2" aboveAverage="0" equalAverage="0" bottom="0" percent="0" rank="0" text="" dxfId="11">
      <formula>$C7="Holiday"</formula>
    </cfRule>
    <cfRule type="expression" priority="3" aboveAverage="0" equalAverage="0" bottom="0" percent="0" rank="0" text="" dxfId="12">
      <formula>$C7="Weekend"</formula>
    </cfRule>
  </conditionalFormatting>
  <conditionalFormatting sqref="K7:K371">
    <cfRule type="expression" priority="4" aboveAverage="0" equalAverage="0" bottom="0" percent="0" rank="0" text="" dxfId="13">
      <formula>$E7&lt;&gt;""</formula>
    </cfRule>
  </conditionalFormatting>
  <dataValidations count="2">
    <dataValidation allowBlank="true" error="Enter a time as hh:mm, e.g. 08:00." errorStyle="stop" operator="between" showDropDown="false" showErrorMessage="true" showInputMessage="false" sqref="F7:I371" type="time">
      <formula1>0</formula1>
      <formula2>0.999305555</formula2>
    </dataValidation>
    <dataValidation allowBlank="true" error="Choose a status from the list, or leave empty." errorStyle="stop" operator="between" showDropDown="false" showErrorMessage="true" showInputMessage="false" sqref="E7:E371" type="list">
      <formula1>Lists!$A$1:$A$7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37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6" topLeftCell="E7" activePane="bottomRight" state="frozen"/>
      <selection pane="topLeft" activeCell="A1" activeCellId="0" sqref="A1"/>
      <selection pane="topRight" activeCell="E1" activeCellId="0" sqref="E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6"/>
    <col collapsed="false" customWidth="true" hidden="false" outlineLevel="0" max="3" min="3" style="0" width="10"/>
    <col collapsed="false" customWidth="true" hidden="false" outlineLevel="0" max="4" min="4" style="0" width="22"/>
    <col collapsed="false" customWidth="true" hidden="false" outlineLevel="0" max="5" min="5" style="0" width="20"/>
    <col collapsed="false" customWidth="true" hidden="false" outlineLevel="0" max="7" min="6" style="0" width="8"/>
    <col collapsed="false" customWidth="true" hidden="false" outlineLevel="0" max="9" min="8" style="0" width="10"/>
    <col collapsed="false" customWidth="true" hidden="false" outlineLevel="0" max="10" min="10" style="0" width="24"/>
    <col collapsed="false" customWidth="true" hidden="false" outlineLevel="0" max="11" min="11" style="0" width="16"/>
    <col collapsed="false" customWidth="true" hidden="false" outlineLevel="0" max="14" min="12" style="0" width="9"/>
    <col collapsed="false" customWidth="true" hidden="false" outlineLevel="0" max="18" min="15" style="0" width="10"/>
    <col collapsed="false" customWidth="true" hidden="false" outlineLevel="0" max="19" min="19" style="0" width="28"/>
    <col collapsed="false" customWidth="true" hidden="true" outlineLevel="0" max="20" min="20" style="0" width="7"/>
    <col collapsed="false" customWidth="true" hidden="true" outlineLevel="0" max="21" min="21" style="0" width="9"/>
    <col collapsed="false" customWidth="true" hidden="true" outlineLevel="0" max="22" min="22" style="0" width="8"/>
    <col collapsed="false" customWidth="true" hidden="true" outlineLevel="0" max="23" min="23" style="0" width="9"/>
  </cols>
  <sheetData>
    <row r="1" customFormat="false" ht="17.35" hidden="false" customHeight="false" outlineLevel="0" collapsed="false">
      <c r="A1" s="1" t="s">
        <v>94</v>
      </c>
    </row>
    <row r="2" customFormat="false" ht="15" hidden="false" customHeight="false" outlineLevel="0" collapsed="false">
      <c r="A2" s="2" t="s">
        <v>78</v>
      </c>
    </row>
    <row r="3" customFormat="false" ht="15" hidden="false" customHeight="false" outlineLevel="0" collapsed="false">
      <c r="A3" s="24" t="s">
        <v>47</v>
      </c>
      <c r="B3" s="24"/>
      <c r="C3" s="24" t="s">
        <v>46</v>
      </c>
      <c r="D3" s="24"/>
      <c r="E3" s="24" t="s">
        <v>79</v>
      </c>
      <c r="F3" s="24" t="s">
        <v>80</v>
      </c>
      <c r="G3" s="24"/>
      <c r="H3" s="24" t="s">
        <v>81</v>
      </c>
      <c r="I3" s="24"/>
      <c r="J3" s="24" t="s">
        <v>45</v>
      </c>
      <c r="K3" s="24" t="s">
        <v>62</v>
      </c>
    </row>
    <row r="4" customFormat="false" ht="15" hidden="false" customHeight="false" outlineLevel="0" collapsed="false">
      <c r="A4" s="25" t="n">
        <f aca="false">SUM(Q7:Q371)</f>
        <v>0</v>
      </c>
      <c r="B4" s="25"/>
      <c r="C4" s="25" t="n">
        <f aca="false">SUM(O7:O371)</f>
        <v>0</v>
      </c>
      <c r="D4" s="25"/>
      <c r="E4" s="25" t="n">
        <f aca="false">SUM(R7:R371)</f>
        <v>0</v>
      </c>
      <c r="F4" s="25" t="n">
        <f aca="false">SUM(P7:P371)</f>
        <v>0</v>
      </c>
      <c r="G4" s="25"/>
      <c r="H4" s="26" t="n">
        <f aca="false">COUNTIF(N7:N371,"&gt;0")</f>
        <v>256</v>
      </c>
      <c r="I4" s="26"/>
      <c r="J4" s="25" t="n">
        <f aca="false">SUM(N7:N371)</f>
        <v>2166</v>
      </c>
      <c r="K4" s="26" t="n">
        <f aca="false">COUNTIF(S7:S371,"?*")</f>
        <v>0</v>
      </c>
    </row>
    <row r="6" customFormat="false" ht="42" hidden="false" customHeight="true" outlineLevel="0" collapsed="false">
      <c r="A6" s="17" t="s">
        <v>40</v>
      </c>
      <c r="B6" s="17" t="s">
        <v>82</v>
      </c>
      <c r="C6" s="17" t="s">
        <v>83</v>
      </c>
      <c r="D6" s="17" t="s">
        <v>84</v>
      </c>
      <c r="E6" s="27" t="s">
        <v>85</v>
      </c>
      <c r="F6" s="27" t="s">
        <v>41</v>
      </c>
      <c r="G6" s="27" t="s">
        <v>42</v>
      </c>
      <c r="H6" s="27" t="s">
        <v>43</v>
      </c>
      <c r="I6" s="27" t="s">
        <v>44</v>
      </c>
      <c r="J6" s="27" t="s">
        <v>22</v>
      </c>
      <c r="K6" s="17" t="s">
        <v>86</v>
      </c>
      <c r="L6" s="17" t="s">
        <v>87</v>
      </c>
      <c r="M6" s="17" t="s">
        <v>88</v>
      </c>
      <c r="N6" s="17" t="s">
        <v>45</v>
      </c>
      <c r="O6" s="17" t="s">
        <v>46</v>
      </c>
      <c r="P6" s="17" t="s">
        <v>80</v>
      </c>
      <c r="Q6" s="17" t="s">
        <v>47</v>
      </c>
      <c r="R6" s="17" t="s">
        <v>79</v>
      </c>
      <c r="S6" s="17" t="s">
        <v>89</v>
      </c>
      <c r="T6" s="28" t="s">
        <v>90</v>
      </c>
      <c r="U6" s="28" t="s">
        <v>91</v>
      </c>
      <c r="V6" s="28" t="s">
        <v>92</v>
      </c>
      <c r="W6" s="28" t="s">
        <v>93</v>
      </c>
    </row>
    <row r="7" customFormat="false" ht="15" hidden="false" customHeight="false" outlineLevel="0" collapsed="false">
      <c r="A7" s="29" t="n">
        <v>46023</v>
      </c>
      <c r="B7" s="30" t="str">
        <f aca="false">CHOOSE(WEEKDAY(A7),"Sun","Mon","Tue","Wed","Thu","Fri","Sat")</f>
        <v>Thu</v>
      </c>
      <c r="C7" s="30" t="str">
        <f aca="false">IF(IFERROR(INDEX(Holidays!$D$5:$D$60,MATCH(A7,Holidays!$A$5:$A$60,0)),"")="Holiday","Holiday",IF(WEEKDAY(A7)&gt;=6,"Weekend",IF(IFERROR(INDEX(Holidays!$D$5:$D$60,MATCH(A7,Holidays!$A$5:$A$60,0)),"")="Eve","Eve","Workday")))</f>
        <v>Workday</v>
      </c>
      <c r="D7" s="18" t="str">
        <f aca="false">IFERROR(INDEX(Holidays!$C$5:$C$60,MATCH(A7,Holidays!$A$5:$A$60,0)),"")</f>
        <v/>
      </c>
      <c r="E7" s="31"/>
      <c r="F7" s="32"/>
      <c r="G7" s="32"/>
      <c r="H7" s="32"/>
      <c r="I7" s="32"/>
      <c r="J7" s="31"/>
      <c r="K7" s="33" t="str">
        <f aca="false">IF(E7&lt;&gt;"",E7,IF(U7,"Present",IF(C7="Holiday","Holiday","Weekend")))</f>
        <v>Present</v>
      </c>
      <c r="L7" s="34" t="n">
        <f aca="false">IF(OR(K7="Present",K7="Manual Work",K7="Partial Vacation",K7="Partial Sick Leave"),IF(ISNUMBER(F7),F7,IF(AND(K7="Present",U7),Settings!$B$6,"")),"")</f>
        <v>0.333333333333333</v>
      </c>
      <c r="M7" s="34" t="n">
        <f aca="false">IF(OR(K7="Present",K7="Manual Work",K7="Partial Vacation",K7="Partial Sick Leave"),IF(ISNUMBER(G7),G7,IF(AND(K7="Present",U7),V7,"")),"")</f>
        <v>0.6875</v>
      </c>
      <c r="N7" s="14" t="n">
        <f aca="false">IF(AND(ISNUMBER(L7),ISNUMBER(M7)),MAX(0,(M7-L7)*24),0)</f>
        <v>8.5</v>
      </c>
      <c r="O7" s="14" t="n">
        <f aca="false">IF(NOT(U7),0,IF(K7="Vacation",IF(C7="Eve",Settings!$B$9*Settings!$B$11,W7),IF(K7="Partial Vacation",IF(AND(ISNUMBER(H7),ISNUMBER(I7)),MAX(0,(I7-H7)*24),0),0)))</f>
        <v>0</v>
      </c>
      <c r="P7" s="14" t="n">
        <f aca="false">IF(NOT(U7),0,IF(K7="Sick Leave",W7,IF(K7="Partial Sick Leave",IF(AND(ISNUMBER(H7),ISNUMBER(I7)),MAX(0,(I7-H7)*24),0),0)))</f>
        <v>0</v>
      </c>
      <c r="Q7" s="14" t="n">
        <f aca="false">IF(NOT(U7),0,IF(K7="Vacation",IF(C7="Eve",Settings!$B$11,1),IF(K7="Partial Vacation",O7/Settings!$B$9,0)))</f>
        <v>0</v>
      </c>
      <c r="R7" s="14" t="n">
        <f aca="false">IF(NOT(U7),0,IF(K7="Sick Leave",1,IF(K7="Partial Sick Leave",P7/Settings!$B$9,0)))</f>
        <v>0</v>
      </c>
      <c r="S7" s="35" t="str">
        <f aca="false">IF(AND(OR(E7="Vacation",E7="Sick Leave",E7="Partial Vacation",E7="Partial Sick Leave"),NOT(U7)),"Leave not allowed on this day",IF(AND(E7="Manual Work",OR(NOT(ISNUMBER(F7)),NOT(ISNUMBER(G7)))),"Enter start and end",IF(AND(OR(E7="Partial Vacation",E7="Partial Sick Leave"),OR(NOT(ISNUMBER(H7)),NOT(ISNUMBER(I7)))),"Enter leave from and to",IF(AND(ISNUMBER(F7),ISNUMBER(G7),G7&lt;=F7),"End is before start",IF(AND(ISNUMBER(H7),ISNUMBER(I7),I7&lt;=H7),"Leave end is before start",IF(AND(ISNUMBER(F7),ISNUMBER(G7),ISNUMBER(H7),ISNUMBER(I7),F7&lt;I7,H7&lt;G7),"Work and leave hours overlap",IF(AND(E7&lt;&gt;"",WEEKDAY(A7)=7),"Saturday - administrator only","")))))))</f>
        <v/>
      </c>
      <c r="T7" s="36" t="n">
        <f aca="false">MONTH(A7)</f>
        <v>1</v>
      </c>
      <c r="U7" s="37" t="b">
        <f aca="false">OR(C7="Workday",C7="Eve")</f>
        <v>1</v>
      </c>
      <c r="V7" s="34" t="n">
        <f aca="false">IF(C7="Eve",Settings!$B$8,Settings!$B$7)</f>
        <v>0.6875</v>
      </c>
      <c r="W7" s="14" t="n">
        <f aca="false">IF(U7,(V7-Settings!$B$6)*24,0)</f>
        <v>8.5</v>
      </c>
    </row>
    <row r="8" customFormat="false" ht="15" hidden="false" customHeight="false" outlineLevel="0" collapsed="false">
      <c r="A8" s="29" t="n">
        <v>46024</v>
      </c>
      <c r="B8" s="30" t="str">
        <f aca="false">CHOOSE(WEEKDAY(A8),"Sun","Mon","Tue","Wed","Thu","Fri","Sat")</f>
        <v>Fri</v>
      </c>
      <c r="C8" s="30" t="str">
        <f aca="false">IF(IFERROR(INDEX(Holidays!$D$5:$D$60,MATCH(A8,Holidays!$A$5:$A$60,0)),"")="Holiday","Holiday",IF(WEEKDAY(A8)&gt;=6,"Weekend",IF(IFERROR(INDEX(Holidays!$D$5:$D$60,MATCH(A8,Holidays!$A$5:$A$60,0)),"")="Eve","Eve","Workday")))</f>
        <v>Weekend</v>
      </c>
      <c r="D8" s="18" t="str">
        <f aca="false">IFERROR(INDEX(Holidays!$C$5:$C$60,MATCH(A8,Holidays!$A$5:$A$60,0)),"")</f>
        <v/>
      </c>
      <c r="E8" s="31"/>
      <c r="F8" s="32"/>
      <c r="G8" s="32"/>
      <c r="H8" s="32"/>
      <c r="I8" s="32"/>
      <c r="J8" s="31"/>
      <c r="K8" s="33" t="str">
        <f aca="false">IF(E8&lt;&gt;"",E8,IF(U8,"Present",IF(C8="Holiday","Holiday","Weekend")))</f>
        <v>Weekend</v>
      </c>
      <c r="L8" s="34" t="str">
        <f aca="false">IF(OR(K8="Present",K8="Manual Work",K8="Partial Vacation",K8="Partial Sick Leave"),IF(ISNUMBER(F8),F8,IF(AND(K8="Present",U8),Settings!$B$6,"")),"")</f>
        <v/>
      </c>
      <c r="M8" s="34" t="str">
        <f aca="false">IF(OR(K8="Present",K8="Manual Work",K8="Partial Vacation",K8="Partial Sick Leave"),IF(ISNUMBER(G8),G8,IF(AND(K8="Present",U8),V8,"")),"")</f>
        <v/>
      </c>
      <c r="N8" s="14" t="n">
        <f aca="false">IF(AND(ISNUMBER(L8),ISNUMBER(M8)),MAX(0,(M8-L8)*24),0)</f>
        <v>0</v>
      </c>
      <c r="O8" s="14" t="n">
        <f aca="false">IF(NOT(U8),0,IF(K8="Vacation",IF(C8="Eve",Settings!$B$9*Settings!$B$11,W8),IF(K8="Partial Vacation",IF(AND(ISNUMBER(H8),ISNUMBER(I8)),MAX(0,(I8-H8)*24),0),0)))</f>
        <v>0</v>
      </c>
      <c r="P8" s="14" t="n">
        <f aca="false">IF(NOT(U8),0,IF(K8="Sick Leave",W8,IF(K8="Partial Sick Leave",IF(AND(ISNUMBER(H8),ISNUMBER(I8)),MAX(0,(I8-H8)*24),0),0)))</f>
        <v>0</v>
      </c>
      <c r="Q8" s="14" t="n">
        <f aca="false">IF(NOT(U8),0,IF(K8="Vacation",IF(C8="Eve",Settings!$B$11,1),IF(K8="Partial Vacation",O8/Settings!$B$9,0)))</f>
        <v>0</v>
      </c>
      <c r="R8" s="14" t="n">
        <f aca="false">IF(NOT(U8),0,IF(K8="Sick Leave",1,IF(K8="Partial Sick Leave",P8/Settings!$B$9,0)))</f>
        <v>0</v>
      </c>
      <c r="S8" s="35" t="str">
        <f aca="false">IF(AND(OR(E8="Vacation",E8="Sick Leave",E8="Partial Vacation",E8="Partial Sick Leave"),NOT(U8)),"Leave not allowed on this day",IF(AND(E8="Manual Work",OR(NOT(ISNUMBER(F8)),NOT(ISNUMBER(G8)))),"Enter start and end",IF(AND(OR(E8="Partial Vacation",E8="Partial Sick Leave"),OR(NOT(ISNUMBER(H8)),NOT(ISNUMBER(I8)))),"Enter leave from and to",IF(AND(ISNUMBER(F8),ISNUMBER(G8),G8&lt;=F8),"End is before start",IF(AND(ISNUMBER(H8),ISNUMBER(I8),I8&lt;=H8),"Leave end is before start",IF(AND(ISNUMBER(F8),ISNUMBER(G8),ISNUMBER(H8),ISNUMBER(I8),F8&lt;I8,H8&lt;G8),"Work and leave hours overlap",IF(AND(E8&lt;&gt;"",WEEKDAY(A8)=7),"Saturday - administrator only","")))))))</f>
        <v/>
      </c>
      <c r="T8" s="36" t="n">
        <f aca="false">MONTH(A8)</f>
        <v>1</v>
      </c>
      <c r="U8" s="37" t="b">
        <f aca="false">OR(C8="Workday",C8="Eve")</f>
        <v>0</v>
      </c>
      <c r="V8" s="34" t="n">
        <f aca="false">IF(C8="Eve",Settings!$B$8,Settings!$B$7)</f>
        <v>0.6875</v>
      </c>
      <c r="W8" s="14" t="n">
        <f aca="false">IF(U8,(V8-Settings!$B$6)*24,0)</f>
        <v>0</v>
      </c>
    </row>
    <row r="9" customFormat="false" ht="15" hidden="false" customHeight="false" outlineLevel="0" collapsed="false">
      <c r="A9" s="29" t="n">
        <v>46025</v>
      </c>
      <c r="B9" s="30" t="str">
        <f aca="false">CHOOSE(WEEKDAY(A9),"Sun","Mon","Tue","Wed","Thu","Fri","Sat")</f>
        <v>Sat</v>
      </c>
      <c r="C9" s="30" t="str">
        <f aca="false">IF(IFERROR(INDEX(Holidays!$D$5:$D$60,MATCH(A9,Holidays!$A$5:$A$60,0)),"")="Holiday","Holiday",IF(WEEKDAY(A9)&gt;=6,"Weekend",IF(IFERROR(INDEX(Holidays!$D$5:$D$60,MATCH(A9,Holidays!$A$5:$A$60,0)),"")="Eve","Eve","Workday")))</f>
        <v>Weekend</v>
      </c>
      <c r="D9" s="18" t="str">
        <f aca="false">IFERROR(INDEX(Holidays!$C$5:$C$60,MATCH(A9,Holidays!$A$5:$A$60,0)),"")</f>
        <v/>
      </c>
      <c r="E9" s="31"/>
      <c r="F9" s="32"/>
      <c r="G9" s="32"/>
      <c r="H9" s="32"/>
      <c r="I9" s="32"/>
      <c r="J9" s="31"/>
      <c r="K9" s="33" t="str">
        <f aca="false">IF(E9&lt;&gt;"",E9,IF(U9,"Present",IF(C9="Holiday","Holiday","Weekend")))</f>
        <v>Weekend</v>
      </c>
      <c r="L9" s="34" t="str">
        <f aca="false">IF(OR(K9="Present",K9="Manual Work",K9="Partial Vacation",K9="Partial Sick Leave"),IF(ISNUMBER(F9),F9,IF(AND(K9="Present",U9),Settings!$B$6,"")),"")</f>
        <v/>
      </c>
      <c r="M9" s="34" t="str">
        <f aca="false">IF(OR(K9="Present",K9="Manual Work",K9="Partial Vacation",K9="Partial Sick Leave"),IF(ISNUMBER(G9),G9,IF(AND(K9="Present",U9),V9,"")),"")</f>
        <v/>
      </c>
      <c r="N9" s="14" t="n">
        <f aca="false">IF(AND(ISNUMBER(L9),ISNUMBER(M9)),MAX(0,(M9-L9)*24),0)</f>
        <v>0</v>
      </c>
      <c r="O9" s="14" t="n">
        <f aca="false">IF(NOT(U9),0,IF(K9="Vacation",IF(C9="Eve",Settings!$B$9*Settings!$B$11,W9),IF(K9="Partial Vacation",IF(AND(ISNUMBER(H9),ISNUMBER(I9)),MAX(0,(I9-H9)*24),0),0)))</f>
        <v>0</v>
      </c>
      <c r="P9" s="14" t="n">
        <f aca="false">IF(NOT(U9),0,IF(K9="Sick Leave",W9,IF(K9="Partial Sick Leave",IF(AND(ISNUMBER(H9),ISNUMBER(I9)),MAX(0,(I9-H9)*24),0),0)))</f>
        <v>0</v>
      </c>
      <c r="Q9" s="14" t="n">
        <f aca="false">IF(NOT(U9),0,IF(K9="Vacation",IF(C9="Eve",Settings!$B$11,1),IF(K9="Partial Vacation",O9/Settings!$B$9,0)))</f>
        <v>0</v>
      </c>
      <c r="R9" s="14" t="n">
        <f aca="false">IF(NOT(U9),0,IF(K9="Sick Leave",1,IF(K9="Partial Sick Leave",P9/Settings!$B$9,0)))</f>
        <v>0</v>
      </c>
      <c r="S9" s="35" t="str">
        <f aca="false">IF(AND(OR(E9="Vacation",E9="Sick Leave",E9="Partial Vacation",E9="Partial Sick Leave"),NOT(U9)),"Leave not allowed on this day",IF(AND(E9="Manual Work",OR(NOT(ISNUMBER(F9)),NOT(ISNUMBER(G9)))),"Enter start and end",IF(AND(OR(E9="Partial Vacation",E9="Partial Sick Leave"),OR(NOT(ISNUMBER(H9)),NOT(ISNUMBER(I9)))),"Enter leave from and to",IF(AND(ISNUMBER(F9),ISNUMBER(G9),G9&lt;=F9),"End is before start",IF(AND(ISNUMBER(H9),ISNUMBER(I9),I9&lt;=H9),"Leave end is before start",IF(AND(ISNUMBER(F9),ISNUMBER(G9),ISNUMBER(H9),ISNUMBER(I9),F9&lt;I9,H9&lt;G9),"Work and leave hours overlap",IF(AND(E9&lt;&gt;"",WEEKDAY(A9)=7),"Saturday - administrator only","")))))))</f>
        <v/>
      </c>
      <c r="T9" s="36" t="n">
        <f aca="false">MONTH(A9)</f>
        <v>1</v>
      </c>
      <c r="U9" s="37" t="b">
        <f aca="false">OR(C9="Workday",C9="Eve")</f>
        <v>0</v>
      </c>
      <c r="V9" s="34" t="n">
        <f aca="false">IF(C9="Eve",Settings!$B$8,Settings!$B$7)</f>
        <v>0.6875</v>
      </c>
      <c r="W9" s="14" t="n">
        <f aca="false">IF(U9,(V9-Settings!$B$6)*24,0)</f>
        <v>0</v>
      </c>
    </row>
    <row r="10" customFormat="false" ht="15" hidden="false" customHeight="false" outlineLevel="0" collapsed="false">
      <c r="A10" s="29" t="n">
        <v>46026</v>
      </c>
      <c r="B10" s="30" t="str">
        <f aca="false">CHOOSE(WEEKDAY(A10),"Sun","Mon","Tue","Wed","Thu","Fri","Sat")</f>
        <v>Sun</v>
      </c>
      <c r="C10" s="30" t="str">
        <f aca="false">IF(IFERROR(INDEX(Holidays!$D$5:$D$60,MATCH(A10,Holidays!$A$5:$A$60,0)),"")="Holiday","Holiday",IF(WEEKDAY(A10)&gt;=6,"Weekend",IF(IFERROR(INDEX(Holidays!$D$5:$D$60,MATCH(A10,Holidays!$A$5:$A$60,0)),"")="Eve","Eve","Workday")))</f>
        <v>Workday</v>
      </c>
      <c r="D10" s="18" t="str">
        <f aca="false">IFERROR(INDEX(Holidays!$C$5:$C$60,MATCH(A10,Holidays!$A$5:$A$60,0)),"")</f>
        <v/>
      </c>
      <c r="E10" s="31"/>
      <c r="F10" s="32"/>
      <c r="G10" s="32"/>
      <c r="H10" s="32"/>
      <c r="I10" s="32"/>
      <c r="J10" s="31"/>
      <c r="K10" s="33" t="str">
        <f aca="false">IF(E10&lt;&gt;"",E10,IF(U10,"Present",IF(C10="Holiday","Holiday","Weekend")))</f>
        <v>Present</v>
      </c>
      <c r="L10" s="34" t="n">
        <f aca="false">IF(OR(K10="Present",K10="Manual Work",K10="Partial Vacation",K10="Partial Sick Leave"),IF(ISNUMBER(F10),F10,IF(AND(K10="Present",U10),Settings!$B$6,"")),"")</f>
        <v>0.333333333333333</v>
      </c>
      <c r="M10" s="34" t="n">
        <f aca="false">IF(OR(K10="Present",K10="Manual Work",K10="Partial Vacation",K10="Partial Sick Leave"),IF(ISNUMBER(G10),G10,IF(AND(K10="Present",U10),V10,"")),"")</f>
        <v>0.6875</v>
      </c>
      <c r="N10" s="14" t="n">
        <f aca="false">IF(AND(ISNUMBER(L10),ISNUMBER(M10)),MAX(0,(M10-L10)*24),0)</f>
        <v>8.5</v>
      </c>
      <c r="O10" s="14" t="n">
        <f aca="false">IF(NOT(U10),0,IF(K10="Vacation",IF(C10="Eve",Settings!$B$9*Settings!$B$11,W10),IF(K10="Partial Vacation",IF(AND(ISNUMBER(H10),ISNUMBER(I10)),MAX(0,(I10-H10)*24),0),0)))</f>
        <v>0</v>
      </c>
      <c r="P10" s="14" t="n">
        <f aca="false">IF(NOT(U10),0,IF(K10="Sick Leave",W10,IF(K10="Partial Sick Leave",IF(AND(ISNUMBER(H10),ISNUMBER(I10)),MAX(0,(I10-H10)*24),0),0)))</f>
        <v>0</v>
      </c>
      <c r="Q10" s="14" t="n">
        <f aca="false">IF(NOT(U10),0,IF(K10="Vacation",IF(C10="Eve",Settings!$B$11,1),IF(K10="Partial Vacation",O10/Settings!$B$9,0)))</f>
        <v>0</v>
      </c>
      <c r="R10" s="14" t="n">
        <f aca="false">IF(NOT(U10),0,IF(K10="Sick Leave",1,IF(K10="Partial Sick Leave",P10/Settings!$B$9,0)))</f>
        <v>0</v>
      </c>
      <c r="S10" s="35" t="str">
        <f aca="false">IF(AND(OR(E10="Vacation",E10="Sick Leave",E10="Partial Vacation",E10="Partial Sick Leave"),NOT(U10)),"Leave not allowed on this day",IF(AND(E10="Manual Work",OR(NOT(ISNUMBER(F10)),NOT(ISNUMBER(G10)))),"Enter start and end",IF(AND(OR(E10="Partial Vacation",E10="Partial Sick Leave"),OR(NOT(ISNUMBER(H10)),NOT(ISNUMBER(I10)))),"Enter leave from and to",IF(AND(ISNUMBER(F10),ISNUMBER(G10),G10&lt;=F10),"End is before start",IF(AND(ISNUMBER(H10),ISNUMBER(I10),I10&lt;=H10),"Leave end is before start",IF(AND(ISNUMBER(F10),ISNUMBER(G10),ISNUMBER(H10),ISNUMBER(I10),F10&lt;I10,H10&lt;G10),"Work and leave hours overlap",IF(AND(E10&lt;&gt;"",WEEKDAY(A10)=7),"Saturday - administrator only","")))))))</f>
        <v/>
      </c>
      <c r="T10" s="36" t="n">
        <f aca="false">MONTH(A10)</f>
        <v>1</v>
      </c>
      <c r="U10" s="37" t="b">
        <f aca="false">OR(C10="Workday",C10="Eve")</f>
        <v>1</v>
      </c>
      <c r="V10" s="34" t="n">
        <f aca="false">IF(C10="Eve",Settings!$B$8,Settings!$B$7)</f>
        <v>0.6875</v>
      </c>
      <c r="W10" s="14" t="n">
        <f aca="false">IF(U10,(V10-Settings!$B$6)*24,0)</f>
        <v>8.5</v>
      </c>
    </row>
    <row r="11" customFormat="false" ht="15" hidden="false" customHeight="false" outlineLevel="0" collapsed="false">
      <c r="A11" s="29" t="n">
        <v>46027</v>
      </c>
      <c r="B11" s="30" t="str">
        <f aca="false">CHOOSE(WEEKDAY(A11),"Sun","Mon","Tue","Wed","Thu","Fri","Sat")</f>
        <v>Mon</v>
      </c>
      <c r="C11" s="30" t="str">
        <f aca="false">IF(IFERROR(INDEX(Holidays!$D$5:$D$60,MATCH(A11,Holidays!$A$5:$A$60,0)),"")="Holiday","Holiday",IF(WEEKDAY(A11)&gt;=6,"Weekend",IF(IFERROR(INDEX(Holidays!$D$5:$D$60,MATCH(A11,Holidays!$A$5:$A$60,0)),"")="Eve","Eve","Workday")))</f>
        <v>Workday</v>
      </c>
      <c r="D11" s="18" t="str">
        <f aca="false">IFERROR(INDEX(Holidays!$C$5:$C$60,MATCH(A11,Holidays!$A$5:$A$60,0)),"")</f>
        <v/>
      </c>
      <c r="E11" s="31"/>
      <c r="F11" s="32"/>
      <c r="G11" s="32"/>
      <c r="H11" s="32"/>
      <c r="I11" s="32"/>
      <c r="J11" s="31"/>
      <c r="K11" s="33" t="str">
        <f aca="false">IF(E11&lt;&gt;"",E11,IF(U11,"Present",IF(C11="Holiday","Holiday","Weekend")))</f>
        <v>Present</v>
      </c>
      <c r="L11" s="34" t="n">
        <f aca="false">IF(OR(K11="Present",K11="Manual Work",K11="Partial Vacation",K11="Partial Sick Leave"),IF(ISNUMBER(F11),F11,IF(AND(K11="Present",U11),Settings!$B$6,"")),"")</f>
        <v>0.333333333333333</v>
      </c>
      <c r="M11" s="34" t="n">
        <f aca="false">IF(OR(K11="Present",K11="Manual Work",K11="Partial Vacation",K11="Partial Sick Leave"),IF(ISNUMBER(G11),G11,IF(AND(K11="Present",U11),V11,"")),"")</f>
        <v>0.6875</v>
      </c>
      <c r="N11" s="14" t="n">
        <f aca="false">IF(AND(ISNUMBER(L11),ISNUMBER(M11)),MAX(0,(M11-L11)*24),0)</f>
        <v>8.5</v>
      </c>
      <c r="O11" s="14" t="n">
        <f aca="false">IF(NOT(U11),0,IF(K11="Vacation",IF(C11="Eve",Settings!$B$9*Settings!$B$11,W11),IF(K11="Partial Vacation",IF(AND(ISNUMBER(H11),ISNUMBER(I11)),MAX(0,(I11-H11)*24),0),0)))</f>
        <v>0</v>
      </c>
      <c r="P11" s="14" t="n">
        <f aca="false">IF(NOT(U11),0,IF(K11="Sick Leave",W11,IF(K11="Partial Sick Leave",IF(AND(ISNUMBER(H11),ISNUMBER(I11)),MAX(0,(I11-H11)*24),0),0)))</f>
        <v>0</v>
      </c>
      <c r="Q11" s="14" t="n">
        <f aca="false">IF(NOT(U11),0,IF(K11="Vacation",IF(C11="Eve",Settings!$B$11,1),IF(K11="Partial Vacation",O11/Settings!$B$9,0)))</f>
        <v>0</v>
      </c>
      <c r="R11" s="14" t="n">
        <f aca="false">IF(NOT(U11),0,IF(K11="Sick Leave",1,IF(K11="Partial Sick Leave",P11/Settings!$B$9,0)))</f>
        <v>0</v>
      </c>
      <c r="S11" s="35" t="str">
        <f aca="false">IF(AND(OR(E11="Vacation",E11="Sick Leave",E11="Partial Vacation",E11="Partial Sick Leave"),NOT(U11)),"Leave not allowed on this day",IF(AND(E11="Manual Work",OR(NOT(ISNUMBER(F11)),NOT(ISNUMBER(G11)))),"Enter start and end",IF(AND(OR(E11="Partial Vacation",E11="Partial Sick Leave"),OR(NOT(ISNUMBER(H11)),NOT(ISNUMBER(I11)))),"Enter leave from and to",IF(AND(ISNUMBER(F11),ISNUMBER(G11),G11&lt;=F11),"End is before start",IF(AND(ISNUMBER(H11),ISNUMBER(I11),I11&lt;=H11),"Leave end is before start",IF(AND(ISNUMBER(F11),ISNUMBER(G11),ISNUMBER(H11),ISNUMBER(I11),F11&lt;I11,H11&lt;G11),"Work and leave hours overlap",IF(AND(E11&lt;&gt;"",WEEKDAY(A11)=7),"Saturday - administrator only","")))))))</f>
        <v/>
      </c>
      <c r="T11" s="36" t="n">
        <f aca="false">MONTH(A11)</f>
        <v>1</v>
      </c>
      <c r="U11" s="37" t="b">
        <f aca="false">OR(C11="Workday",C11="Eve")</f>
        <v>1</v>
      </c>
      <c r="V11" s="34" t="n">
        <f aca="false">IF(C11="Eve",Settings!$B$8,Settings!$B$7)</f>
        <v>0.6875</v>
      </c>
      <c r="W11" s="14" t="n">
        <f aca="false">IF(U11,(V11-Settings!$B$6)*24,0)</f>
        <v>8.5</v>
      </c>
    </row>
    <row r="12" customFormat="false" ht="15" hidden="false" customHeight="false" outlineLevel="0" collapsed="false">
      <c r="A12" s="29" t="n">
        <v>46028</v>
      </c>
      <c r="B12" s="30" t="str">
        <f aca="false">CHOOSE(WEEKDAY(A12),"Sun","Mon","Tue","Wed","Thu","Fri","Sat")</f>
        <v>Tue</v>
      </c>
      <c r="C12" s="30" t="str">
        <f aca="false">IF(IFERROR(INDEX(Holidays!$D$5:$D$60,MATCH(A12,Holidays!$A$5:$A$60,0)),"")="Holiday","Holiday",IF(WEEKDAY(A12)&gt;=6,"Weekend",IF(IFERROR(INDEX(Holidays!$D$5:$D$60,MATCH(A12,Holidays!$A$5:$A$60,0)),"")="Eve","Eve","Workday")))</f>
        <v>Workday</v>
      </c>
      <c r="D12" s="18" t="str">
        <f aca="false">IFERROR(INDEX(Holidays!$C$5:$C$60,MATCH(A12,Holidays!$A$5:$A$60,0)),"")</f>
        <v/>
      </c>
      <c r="E12" s="31"/>
      <c r="F12" s="32"/>
      <c r="G12" s="32"/>
      <c r="H12" s="32"/>
      <c r="I12" s="32"/>
      <c r="J12" s="31"/>
      <c r="K12" s="33" t="str">
        <f aca="false">IF(E12&lt;&gt;"",E12,IF(U12,"Present",IF(C12="Holiday","Holiday","Weekend")))</f>
        <v>Present</v>
      </c>
      <c r="L12" s="34" t="n">
        <f aca="false">IF(OR(K12="Present",K12="Manual Work",K12="Partial Vacation",K12="Partial Sick Leave"),IF(ISNUMBER(F12),F12,IF(AND(K12="Present",U12),Settings!$B$6,"")),"")</f>
        <v>0.333333333333333</v>
      </c>
      <c r="M12" s="34" t="n">
        <f aca="false">IF(OR(K12="Present",K12="Manual Work",K12="Partial Vacation",K12="Partial Sick Leave"),IF(ISNUMBER(G12),G12,IF(AND(K12="Present",U12),V12,"")),"")</f>
        <v>0.6875</v>
      </c>
      <c r="N12" s="14" t="n">
        <f aca="false">IF(AND(ISNUMBER(L12),ISNUMBER(M12)),MAX(0,(M12-L12)*24),0)</f>
        <v>8.5</v>
      </c>
      <c r="O12" s="14" t="n">
        <f aca="false">IF(NOT(U12),0,IF(K12="Vacation",IF(C12="Eve",Settings!$B$9*Settings!$B$11,W12),IF(K12="Partial Vacation",IF(AND(ISNUMBER(H12),ISNUMBER(I12)),MAX(0,(I12-H12)*24),0),0)))</f>
        <v>0</v>
      </c>
      <c r="P12" s="14" t="n">
        <f aca="false">IF(NOT(U12),0,IF(K12="Sick Leave",W12,IF(K12="Partial Sick Leave",IF(AND(ISNUMBER(H12),ISNUMBER(I12)),MAX(0,(I12-H12)*24),0),0)))</f>
        <v>0</v>
      </c>
      <c r="Q12" s="14" t="n">
        <f aca="false">IF(NOT(U12),0,IF(K12="Vacation",IF(C12="Eve",Settings!$B$11,1),IF(K12="Partial Vacation",O12/Settings!$B$9,0)))</f>
        <v>0</v>
      </c>
      <c r="R12" s="14" t="n">
        <f aca="false">IF(NOT(U12),0,IF(K12="Sick Leave",1,IF(K12="Partial Sick Leave",P12/Settings!$B$9,0)))</f>
        <v>0</v>
      </c>
      <c r="S12" s="35" t="str">
        <f aca="false">IF(AND(OR(E12="Vacation",E12="Sick Leave",E12="Partial Vacation",E12="Partial Sick Leave"),NOT(U12)),"Leave not allowed on this day",IF(AND(E12="Manual Work",OR(NOT(ISNUMBER(F12)),NOT(ISNUMBER(G12)))),"Enter start and end",IF(AND(OR(E12="Partial Vacation",E12="Partial Sick Leave"),OR(NOT(ISNUMBER(H12)),NOT(ISNUMBER(I12)))),"Enter leave from and to",IF(AND(ISNUMBER(F12),ISNUMBER(G12),G12&lt;=F12),"End is before start",IF(AND(ISNUMBER(H12),ISNUMBER(I12),I12&lt;=H12),"Leave end is before start",IF(AND(ISNUMBER(F12),ISNUMBER(G12),ISNUMBER(H12),ISNUMBER(I12),F12&lt;I12,H12&lt;G12),"Work and leave hours overlap",IF(AND(E12&lt;&gt;"",WEEKDAY(A12)=7),"Saturday - administrator only","")))))))</f>
        <v/>
      </c>
      <c r="T12" s="36" t="n">
        <f aca="false">MONTH(A12)</f>
        <v>1</v>
      </c>
      <c r="U12" s="37" t="b">
        <f aca="false">OR(C12="Workday",C12="Eve")</f>
        <v>1</v>
      </c>
      <c r="V12" s="34" t="n">
        <f aca="false">IF(C12="Eve",Settings!$B$8,Settings!$B$7)</f>
        <v>0.6875</v>
      </c>
      <c r="W12" s="14" t="n">
        <f aca="false">IF(U12,(V12-Settings!$B$6)*24,0)</f>
        <v>8.5</v>
      </c>
    </row>
    <row r="13" customFormat="false" ht="15" hidden="false" customHeight="false" outlineLevel="0" collapsed="false">
      <c r="A13" s="29" t="n">
        <v>46029</v>
      </c>
      <c r="B13" s="30" t="str">
        <f aca="false">CHOOSE(WEEKDAY(A13),"Sun","Mon","Tue","Wed","Thu","Fri","Sat")</f>
        <v>Wed</v>
      </c>
      <c r="C13" s="30" t="str">
        <f aca="false">IF(IFERROR(INDEX(Holidays!$D$5:$D$60,MATCH(A13,Holidays!$A$5:$A$60,0)),"")="Holiday","Holiday",IF(WEEKDAY(A13)&gt;=6,"Weekend",IF(IFERROR(INDEX(Holidays!$D$5:$D$60,MATCH(A13,Holidays!$A$5:$A$60,0)),"")="Eve","Eve","Workday")))</f>
        <v>Workday</v>
      </c>
      <c r="D13" s="18" t="str">
        <f aca="false">IFERROR(INDEX(Holidays!$C$5:$C$60,MATCH(A13,Holidays!$A$5:$A$60,0)),"")</f>
        <v/>
      </c>
      <c r="E13" s="31"/>
      <c r="F13" s="32"/>
      <c r="G13" s="32"/>
      <c r="H13" s="32"/>
      <c r="I13" s="32"/>
      <c r="J13" s="31"/>
      <c r="K13" s="33" t="str">
        <f aca="false">IF(E13&lt;&gt;"",E13,IF(U13,"Present",IF(C13="Holiday","Holiday","Weekend")))</f>
        <v>Present</v>
      </c>
      <c r="L13" s="34" t="n">
        <f aca="false">IF(OR(K13="Present",K13="Manual Work",K13="Partial Vacation",K13="Partial Sick Leave"),IF(ISNUMBER(F13),F13,IF(AND(K13="Present",U13),Settings!$B$6,"")),"")</f>
        <v>0.333333333333333</v>
      </c>
      <c r="M13" s="34" t="n">
        <f aca="false">IF(OR(K13="Present",K13="Manual Work",K13="Partial Vacation",K13="Partial Sick Leave"),IF(ISNUMBER(G13),G13,IF(AND(K13="Present",U13),V13,"")),"")</f>
        <v>0.6875</v>
      </c>
      <c r="N13" s="14" t="n">
        <f aca="false">IF(AND(ISNUMBER(L13),ISNUMBER(M13)),MAX(0,(M13-L13)*24),0)</f>
        <v>8.5</v>
      </c>
      <c r="O13" s="14" t="n">
        <f aca="false">IF(NOT(U13),0,IF(K13="Vacation",IF(C13="Eve",Settings!$B$9*Settings!$B$11,W13),IF(K13="Partial Vacation",IF(AND(ISNUMBER(H13),ISNUMBER(I13)),MAX(0,(I13-H13)*24),0),0)))</f>
        <v>0</v>
      </c>
      <c r="P13" s="14" t="n">
        <f aca="false">IF(NOT(U13),0,IF(K13="Sick Leave",W13,IF(K13="Partial Sick Leave",IF(AND(ISNUMBER(H13),ISNUMBER(I13)),MAX(0,(I13-H13)*24),0),0)))</f>
        <v>0</v>
      </c>
      <c r="Q13" s="14" t="n">
        <f aca="false">IF(NOT(U13),0,IF(K13="Vacation",IF(C13="Eve",Settings!$B$11,1),IF(K13="Partial Vacation",O13/Settings!$B$9,0)))</f>
        <v>0</v>
      </c>
      <c r="R13" s="14" t="n">
        <f aca="false">IF(NOT(U13),0,IF(K13="Sick Leave",1,IF(K13="Partial Sick Leave",P13/Settings!$B$9,0)))</f>
        <v>0</v>
      </c>
      <c r="S13" s="35" t="str">
        <f aca="false">IF(AND(OR(E13="Vacation",E13="Sick Leave",E13="Partial Vacation",E13="Partial Sick Leave"),NOT(U13)),"Leave not allowed on this day",IF(AND(E13="Manual Work",OR(NOT(ISNUMBER(F13)),NOT(ISNUMBER(G13)))),"Enter start and end",IF(AND(OR(E13="Partial Vacation",E13="Partial Sick Leave"),OR(NOT(ISNUMBER(H13)),NOT(ISNUMBER(I13)))),"Enter leave from and to",IF(AND(ISNUMBER(F13),ISNUMBER(G13),G13&lt;=F13),"End is before start",IF(AND(ISNUMBER(H13),ISNUMBER(I13),I13&lt;=H13),"Leave end is before start",IF(AND(ISNUMBER(F13),ISNUMBER(G13),ISNUMBER(H13),ISNUMBER(I13),F13&lt;I13,H13&lt;G13),"Work and leave hours overlap",IF(AND(E13&lt;&gt;"",WEEKDAY(A13)=7),"Saturday - administrator only","")))))))</f>
        <v/>
      </c>
      <c r="T13" s="36" t="n">
        <f aca="false">MONTH(A13)</f>
        <v>1</v>
      </c>
      <c r="U13" s="37" t="b">
        <f aca="false">OR(C13="Workday",C13="Eve")</f>
        <v>1</v>
      </c>
      <c r="V13" s="34" t="n">
        <f aca="false">IF(C13="Eve",Settings!$B$8,Settings!$B$7)</f>
        <v>0.6875</v>
      </c>
      <c r="W13" s="14" t="n">
        <f aca="false">IF(U13,(V13-Settings!$B$6)*24,0)</f>
        <v>8.5</v>
      </c>
    </row>
    <row r="14" customFormat="false" ht="15" hidden="false" customHeight="false" outlineLevel="0" collapsed="false">
      <c r="A14" s="29" t="n">
        <v>46030</v>
      </c>
      <c r="B14" s="30" t="str">
        <f aca="false">CHOOSE(WEEKDAY(A14),"Sun","Mon","Tue","Wed","Thu","Fri","Sat")</f>
        <v>Thu</v>
      </c>
      <c r="C14" s="30" t="str">
        <f aca="false">IF(IFERROR(INDEX(Holidays!$D$5:$D$60,MATCH(A14,Holidays!$A$5:$A$60,0)),"")="Holiday","Holiday",IF(WEEKDAY(A14)&gt;=6,"Weekend",IF(IFERROR(INDEX(Holidays!$D$5:$D$60,MATCH(A14,Holidays!$A$5:$A$60,0)),"")="Eve","Eve","Workday")))</f>
        <v>Workday</v>
      </c>
      <c r="D14" s="18" t="str">
        <f aca="false">IFERROR(INDEX(Holidays!$C$5:$C$60,MATCH(A14,Holidays!$A$5:$A$60,0)),"")</f>
        <v/>
      </c>
      <c r="E14" s="31"/>
      <c r="F14" s="32"/>
      <c r="G14" s="32"/>
      <c r="H14" s="32"/>
      <c r="I14" s="32"/>
      <c r="J14" s="31"/>
      <c r="K14" s="33" t="str">
        <f aca="false">IF(E14&lt;&gt;"",E14,IF(U14,"Present",IF(C14="Holiday","Holiday","Weekend")))</f>
        <v>Present</v>
      </c>
      <c r="L14" s="34" t="n">
        <f aca="false">IF(OR(K14="Present",K14="Manual Work",K14="Partial Vacation",K14="Partial Sick Leave"),IF(ISNUMBER(F14),F14,IF(AND(K14="Present",U14),Settings!$B$6,"")),"")</f>
        <v>0.333333333333333</v>
      </c>
      <c r="M14" s="34" t="n">
        <f aca="false">IF(OR(K14="Present",K14="Manual Work",K14="Partial Vacation",K14="Partial Sick Leave"),IF(ISNUMBER(G14),G14,IF(AND(K14="Present",U14),V14,"")),"")</f>
        <v>0.6875</v>
      </c>
      <c r="N14" s="14" t="n">
        <f aca="false">IF(AND(ISNUMBER(L14),ISNUMBER(M14)),MAX(0,(M14-L14)*24),0)</f>
        <v>8.5</v>
      </c>
      <c r="O14" s="14" t="n">
        <f aca="false">IF(NOT(U14),0,IF(K14="Vacation",IF(C14="Eve",Settings!$B$9*Settings!$B$11,W14),IF(K14="Partial Vacation",IF(AND(ISNUMBER(H14),ISNUMBER(I14)),MAX(0,(I14-H14)*24),0),0)))</f>
        <v>0</v>
      </c>
      <c r="P14" s="14" t="n">
        <f aca="false">IF(NOT(U14),0,IF(K14="Sick Leave",W14,IF(K14="Partial Sick Leave",IF(AND(ISNUMBER(H14),ISNUMBER(I14)),MAX(0,(I14-H14)*24),0),0)))</f>
        <v>0</v>
      </c>
      <c r="Q14" s="14" t="n">
        <f aca="false">IF(NOT(U14),0,IF(K14="Vacation",IF(C14="Eve",Settings!$B$11,1),IF(K14="Partial Vacation",O14/Settings!$B$9,0)))</f>
        <v>0</v>
      </c>
      <c r="R14" s="14" t="n">
        <f aca="false">IF(NOT(U14),0,IF(K14="Sick Leave",1,IF(K14="Partial Sick Leave",P14/Settings!$B$9,0)))</f>
        <v>0</v>
      </c>
      <c r="S14" s="35" t="str">
        <f aca="false">IF(AND(OR(E14="Vacation",E14="Sick Leave",E14="Partial Vacation",E14="Partial Sick Leave"),NOT(U14)),"Leave not allowed on this day",IF(AND(E14="Manual Work",OR(NOT(ISNUMBER(F14)),NOT(ISNUMBER(G14)))),"Enter start and end",IF(AND(OR(E14="Partial Vacation",E14="Partial Sick Leave"),OR(NOT(ISNUMBER(H14)),NOT(ISNUMBER(I14)))),"Enter leave from and to",IF(AND(ISNUMBER(F14),ISNUMBER(G14),G14&lt;=F14),"End is before start",IF(AND(ISNUMBER(H14),ISNUMBER(I14),I14&lt;=H14),"Leave end is before start",IF(AND(ISNUMBER(F14),ISNUMBER(G14),ISNUMBER(H14),ISNUMBER(I14),F14&lt;I14,H14&lt;G14),"Work and leave hours overlap",IF(AND(E14&lt;&gt;"",WEEKDAY(A14)=7),"Saturday - administrator only","")))))))</f>
        <v/>
      </c>
      <c r="T14" s="36" t="n">
        <f aca="false">MONTH(A14)</f>
        <v>1</v>
      </c>
      <c r="U14" s="37" t="b">
        <f aca="false">OR(C14="Workday",C14="Eve")</f>
        <v>1</v>
      </c>
      <c r="V14" s="34" t="n">
        <f aca="false">IF(C14="Eve",Settings!$B$8,Settings!$B$7)</f>
        <v>0.6875</v>
      </c>
      <c r="W14" s="14" t="n">
        <f aca="false">IF(U14,(V14-Settings!$B$6)*24,0)</f>
        <v>8.5</v>
      </c>
    </row>
    <row r="15" customFormat="false" ht="15" hidden="false" customHeight="false" outlineLevel="0" collapsed="false">
      <c r="A15" s="29" t="n">
        <v>46031</v>
      </c>
      <c r="B15" s="30" t="str">
        <f aca="false">CHOOSE(WEEKDAY(A15),"Sun","Mon","Tue","Wed","Thu","Fri","Sat")</f>
        <v>Fri</v>
      </c>
      <c r="C15" s="30" t="str">
        <f aca="false">IF(IFERROR(INDEX(Holidays!$D$5:$D$60,MATCH(A15,Holidays!$A$5:$A$60,0)),"")="Holiday","Holiday",IF(WEEKDAY(A15)&gt;=6,"Weekend",IF(IFERROR(INDEX(Holidays!$D$5:$D$60,MATCH(A15,Holidays!$A$5:$A$60,0)),"")="Eve","Eve","Workday")))</f>
        <v>Weekend</v>
      </c>
      <c r="D15" s="18" t="str">
        <f aca="false">IFERROR(INDEX(Holidays!$C$5:$C$60,MATCH(A15,Holidays!$A$5:$A$60,0)),"")</f>
        <v/>
      </c>
      <c r="E15" s="31"/>
      <c r="F15" s="32"/>
      <c r="G15" s="32"/>
      <c r="H15" s="32"/>
      <c r="I15" s="32"/>
      <c r="J15" s="31"/>
      <c r="K15" s="33" t="str">
        <f aca="false">IF(E15&lt;&gt;"",E15,IF(U15,"Present",IF(C15="Holiday","Holiday","Weekend")))</f>
        <v>Weekend</v>
      </c>
      <c r="L15" s="34" t="str">
        <f aca="false">IF(OR(K15="Present",K15="Manual Work",K15="Partial Vacation",K15="Partial Sick Leave"),IF(ISNUMBER(F15),F15,IF(AND(K15="Present",U15),Settings!$B$6,"")),"")</f>
        <v/>
      </c>
      <c r="M15" s="34" t="str">
        <f aca="false">IF(OR(K15="Present",K15="Manual Work",K15="Partial Vacation",K15="Partial Sick Leave"),IF(ISNUMBER(G15),G15,IF(AND(K15="Present",U15),V15,"")),"")</f>
        <v/>
      </c>
      <c r="N15" s="14" t="n">
        <f aca="false">IF(AND(ISNUMBER(L15),ISNUMBER(M15)),MAX(0,(M15-L15)*24),0)</f>
        <v>0</v>
      </c>
      <c r="O15" s="14" t="n">
        <f aca="false">IF(NOT(U15),0,IF(K15="Vacation",IF(C15="Eve",Settings!$B$9*Settings!$B$11,W15),IF(K15="Partial Vacation",IF(AND(ISNUMBER(H15),ISNUMBER(I15)),MAX(0,(I15-H15)*24),0),0)))</f>
        <v>0</v>
      </c>
      <c r="P15" s="14" t="n">
        <f aca="false">IF(NOT(U15),0,IF(K15="Sick Leave",W15,IF(K15="Partial Sick Leave",IF(AND(ISNUMBER(H15),ISNUMBER(I15)),MAX(0,(I15-H15)*24),0),0)))</f>
        <v>0</v>
      </c>
      <c r="Q15" s="14" t="n">
        <f aca="false">IF(NOT(U15),0,IF(K15="Vacation",IF(C15="Eve",Settings!$B$11,1),IF(K15="Partial Vacation",O15/Settings!$B$9,0)))</f>
        <v>0</v>
      </c>
      <c r="R15" s="14" t="n">
        <f aca="false">IF(NOT(U15),0,IF(K15="Sick Leave",1,IF(K15="Partial Sick Leave",P15/Settings!$B$9,0)))</f>
        <v>0</v>
      </c>
      <c r="S15" s="35" t="str">
        <f aca="false">IF(AND(OR(E15="Vacation",E15="Sick Leave",E15="Partial Vacation",E15="Partial Sick Leave"),NOT(U15)),"Leave not allowed on this day",IF(AND(E15="Manual Work",OR(NOT(ISNUMBER(F15)),NOT(ISNUMBER(G15)))),"Enter start and end",IF(AND(OR(E15="Partial Vacation",E15="Partial Sick Leave"),OR(NOT(ISNUMBER(H15)),NOT(ISNUMBER(I15)))),"Enter leave from and to",IF(AND(ISNUMBER(F15),ISNUMBER(G15),G15&lt;=F15),"End is before start",IF(AND(ISNUMBER(H15),ISNUMBER(I15),I15&lt;=H15),"Leave end is before start",IF(AND(ISNUMBER(F15),ISNUMBER(G15),ISNUMBER(H15),ISNUMBER(I15),F15&lt;I15,H15&lt;G15),"Work and leave hours overlap",IF(AND(E15&lt;&gt;"",WEEKDAY(A15)=7),"Saturday - administrator only","")))))))</f>
        <v/>
      </c>
      <c r="T15" s="36" t="n">
        <f aca="false">MONTH(A15)</f>
        <v>1</v>
      </c>
      <c r="U15" s="37" t="b">
        <f aca="false">OR(C15="Workday",C15="Eve")</f>
        <v>0</v>
      </c>
      <c r="V15" s="34" t="n">
        <f aca="false">IF(C15="Eve",Settings!$B$8,Settings!$B$7)</f>
        <v>0.6875</v>
      </c>
      <c r="W15" s="14" t="n">
        <f aca="false">IF(U15,(V15-Settings!$B$6)*24,0)</f>
        <v>0</v>
      </c>
    </row>
    <row r="16" customFormat="false" ht="15" hidden="false" customHeight="false" outlineLevel="0" collapsed="false">
      <c r="A16" s="29" t="n">
        <v>46032</v>
      </c>
      <c r="B16" s="30" t="str">
        <f aca="false">CHOOSE(WEEKDAY(A16),"Sun","Mon","Tue","Wed","Thu","Fri","Sat")</f>
        <v>Sat</v>
      </c>
      <c r="C16" s="30" t="str">
        <f aca="false">IF(IFERROR(INDEX(Holidays!$D$5:$D$60,MATCH(A16,Holidays!$A$5:$A$60,0)),"")="Holiday","Holiday",IF(WEEKDAY(A16)&gt;=6,"Weekend",IF(IFERROR(INDEX(Holidays!$D$5:$D$60,MATCH(A16,Holidays!$A$5:$A$60,0)),"")="Eve","Eve","Workday")))</f>
        <v>Weekend</v>
      </c>
      <c r="D16" s="18" t="str">
        <f aca="false">IFERROR(INDEX(Holidays!$C$5:$C$60,MATCH(A16,Holidays!$A$5:$A$60,0)),"")</f>
        <v/>
      </c>
      <c r="E16" s="31"/>
      <c r="F16" s="32"/>
      <c r="G16" s="32"/>
      <c r="H16" s="32"/>
      <c r="I16" s="32"/>
      <c r="J16" s="31"/>
      <c r="K16" s="33" t="str">
        <f aca="false">IF(E16&lt;&gt;"",E16,IF(U16,"Present",IF(C16="Holiday","Holiday","Weekend")))</f>
        <v>Weekend</v>
      </c>
      <c r="L16" s="34" t="str">
        <f aca="false">IF(OR(K16="Present",K16="Manual Work",K16="Partial Vacation",K16="Partial Sick Leave"),IF(ISNUMBER(F16),F16,IF(AND(K16="Present",U16),Settings!$B$6,"")),"")</f>
        <v/>
      </c>
      <c r="M16" s="34" t="str">
        <f aca="false">IF(OR(K16="Present",K16="Manual Work",K16="Partial Vacation",K16="Partial Sick Leave"),IF(ISNUMBER(G16),G16,IF(AND(K16="Present",U16),V16,"")),"")</f>
        <v/>
      </c>
      <c r="N16" s="14" t="n">
        <f aca="false">IF(AND(ISNUMBER(L16),ISNUMBER(M16)),MAX(0,(M16-L16)*24),0)</f>
        <v>0</v>
      </c>
      <c r="O16" s="14" t="n">
        <f aca="false">IF(NOT(U16),0,IF(K16="Vacation",IF(C16="Eve",Settings!$B$9*Settings!$B$11,W16),IF(K16="Partial Vacation",IF(AND(ISNUMBER(H16),ISNUMBER(I16)),MAX(0,(I16-H16)*24),0),0)))</f>
        <v>0</v>
      </c>
      <c r="P16" s="14" t="n">
        <f aca="false">IF(NOT(U16),0,IF(K16="Sick Leave",W16,IF(K16="Partial Sick Leave",IF(AND(ISNUMBER(H16),ISNUMBER(I16)),MAX(0,(I16-H16)*24),0),0)))</f>
        <v>0</v>
      </c>
      <c r="Q16" s="14" t="n">
        <f aca="false">IF(NOT(U16),0,IF(K16="Vacation",IF(C16="Eve",Settings!$B$11,1),IF(K16="Partial Vacation",O16/Settings!$B$9,0)))</f>
        <v>0</v>
      </c>
      <c r="R16" s="14" t="n">
        <f aca="false">IF(NOT(U16),0,IF(K16="Sick Leave",1,IF(K16="Partial Sick Leave",P16/Settings!$B$9,0)))</f>
        <v>0</v>
      </c>
      <c r="S16" s="35" t="str">
        <f aca="false">IF(AND(OR(E16="Vacation",E16="Sick Leave",E16="Partial Vacation",E16="Partial Sick Leave"),NOT(U16)),"Leave not allowed on this day",IF(AND(E16="Manual Work",OR(NOT(ISNUMBER(F16)),NOT(ISNUMBER(G16)))),"Enter start and end",IF(AND(OR(E16="Partial Vacation",E16="Partial Sick Leave"),OR(NOT(ISNUMBER(H16)),NOT(ISNUMBER(I16)))),"Enter leave from and to",IF(AND(ISNUMBER(F16),ISNUMBER(G16),G16&lt;=F16),"End is before start",IF(AND(ISNUMBER(H16),ISNUMBER(I16),I16&lt;=H16),"Leave end is before start",IF(AND(ISNUMBER(F16),ISNUMBER(G16),ISNUMBER(H16),ISNUMBER(I16),F16&lt;I16,H16&lt;G16),"Work and leave hours overlap",IF(AND(E16&lt;&gt;"",WEEKDAY(A16)=7),"Saturday - administrator only","")))))))</f>
        <v/>
      </c>
      <c r="T16" s="36" t="n">
        <f aca="false">MONTH(A16)</f>
        <v>1</v>
      </c>
      <c r="U16" s="37" t="b">
        <f aca="false">OR(C16="Workday",C16="Eve")</f>
        <v>0</v>
      </c>
      <c r="V16" s="34" t="n">
        <f aca="false">IF(C16="Eve",Settings!$B$8,Settings!$B$7)</f>
        <v>0.6875</v>
      </c>
      <c r="W16" s="14" t="n">
        <f aca="false">IF(U16,(V16-Settings!$B$6)*24,0)</f>
        <v>0</v>
      </c>
    </row>
    <row r="17" customFormat="false" ht="15" hidden="false" customHeight="false" outlineLevel="0" collapsed="false">
      <c r="A17" s="29" t="n">
        <v>46033</v>
      </c>
      <c r="B17" s="30" t="str">
        <f aca="false">CHOOSE(WEEKDAY(A17),"Sun","Mon","Tue","Wed","Thu","Fri","Sat")</f>
        <v>Sun</v>
      </c>
      <c r="C17" s="30" t="str">
        <f aca="false">IF(IFERROR(INDEX(Holidays!$D$5:$D$60,MATCH(A17,Holidays!$A$5:$A$60,0)),"")="Holiday","Holiday",IF(WEEKDAY(A17)&gt;=6,"Weekend",IF(IFERROR(INDEX(Holidays!$D$5:$D$60,MATCH(A17,Holidays!$A$5:$A$60,0)),"")="Eve","Eve","Workday")))</f>
        <v>Workday</v>
      </c>
      <c r="D17" s="18" t="str">
        <f aca="false">IFERROR(INDEX(Holidays!$C$5:$C$60,MATCH(A17,Holidays!$A$5:$A$60,0)),"")</f>
        <v/>
      </c>
      <c r="E17" s="31"/>
      <c r="F17" s="32"/>
      <c r="G17" s="32"/>
      <c r="H17" s="32"/>
      <c r="I17" s="32"/>
      <c r="J17" s="31"/>
      <c r="K17" s="33" t="str">
        <f aca="false">IF(E17&lt;&gt;"",E17,IF(U17,"Present",IF(C17="Holiday","Holiday","Weekend")))</f>
        <v>Present</v>
      </c>
      <c r="L17" s="34" t="n">
        <f aca="false">IF(OR(K17="Present",K17="Manual Work",K17="Partial Vacation",K17="Partial Sick Leave"),IF(ISNUMBER(F17),F17,IF(AND(K17="Present",U17),Settings!$B$6,"")),"")</f>
        <v>0.333333333333333</v>
      </c>
      <c r="M17" s="34" t="n">
        <f aca="false">IF(OR(K17="Present",K17="Manual Work",K17="Partial Vacation",K17="Partial Sick Leave"),IF(ISNUMBER(G17),G17,IF(AND(K17="Present",U17),V17,"")),"")</f>
        <v>0.6875</v>
      </c>
      <c r="N17" s="14" t="n">
        <f aca="false">IF(AND(ISNUMBER(L17),ISNUMBER(M17)),MAX(0,(M17-L17)*24),0)</f>
        <v>8.5</v>
      </c>
      <c r="O17" s="14" t="n">
        <f aca="false">IF(NOT(U17),0,IF(K17="Vacation",IF(C17="Eve",Settings!$B$9*Settings!$B$11,W17),IF(K17="Partial Vacation",IF(AND(ISNUMBER(H17),ISNUMBER(I17)),MAX(0,(I17-H17)*24),0),0)))</f>
        <v>0</v>
      </c>
      <c r="P17" s="14" t="n">
        <f aca="false">IF(NOT(U17),0,IF(K17="Sick Leave",W17,IF(K17="Partial Sick Leave",IF(AND(ISNUMBER(H17),ISNUMBER(I17)),MAX(0,(I17-H17)*24),0),0)))</f>
        <v>0</v>
      </c>
      <c r="Q17" s="14" t="n">
        <f aca="false">IF(NOT(U17),0,IF(K17="Vacation",IF(C17="Eve",Settings!$B$11,1),IF(K17="Partial Vacation",O17/Settings!$B$9,0)))</f>
        <v>0</v>
      </c>
      <c r="R17" s="14" t="n">
        <f aca="false">IF(NOT(U17),0,IF(K17="Sick Leave",1,IF(K17="Partial Sick Leave",P17/Settings!$B$9,0)))</f>
        <v>0</v>
      </c>
      <c r="S17" s="35" t="str">
        <f aca="false">IF(AND(OR(E17="Vacation",E17="Sick Leave",E17="Partial Vacation",E17="Partial Sick Leave"),NOT(U17)),"Leave not allowed on this day",IF(AND(E17="Manual Work",OR(NOT(ISNUMBER(F17)),NOT(ISNUMBER(G17)))),"Enter start and end",IF(AND(OR(E17="Partial Vacation",E17="Partial Sick Leave"),OR(NOT(ISNUMBER(H17)),NOT(ISNUMBER(I17)))),"Enter leave from and to",IF(AND(ISNUMBER(F17),ISNUMBER(G17),G17&lt;=F17),"End is before start",IF(AND(ISNUMBER(H17),ISNUMBER(I17),I17&lt;=H17),"Leave end is before start",IF(AND(ISNUMBER(F17),ISNUMBER(G17),ISNUMBER(H17),ISNUMBER(I17),F17&lt;I17,H17&lt;G17),"Work and leave hours overlap",IF(AND(E17&lt;&gt;"",WEEKDAY(A17)=7),"Saturday - administrator only","")))))))</f>
        <v/>
      </c>
      <c r="T17" s="36" t="n">
        <f aca="false">MONTH(A17)</f>
        <v>1</v>
      </c>
      <c r="U17" s="37" t="b">
        <f aca="false">OR(C17="Workday",C17="Eve")</f>
        <v>1</v>
      </c>
      <c r="V17" s="34" t="n">
        <f aca="false">IF(C17="Eve",Settings!$B$8,Settings!$B$7)</f>
        <v>0.6875</v>
      </c>
      <c r="W17" s="14" t="n">
        <f aca="false">IF(U17,(V17-Settings!$B$6)*24,0)</f>
        <v>8.5</v>
      </c>
    </row>
    <row r="18" customFormat="false" ht="15" hidden="false" customHeight="false" outlineLevel="0" collapsed="false">
      <c r="A18" s="29" t="n">
        <v>46034</v>
      </c>
      <c r="B18" s="30" t="str">
        <f aca="false">CHOOSE(WEEKDAY(A18),"Sun","Mon","Tue","Wed","Thu","Fri","Sat")</f>
        <v>Mon</v>
      </c>
      <c r="C18" s="30" t="str">
        <f aca="false">IF(IFERROR(INDEX(Holidays!$D$5:$D$60,MATCH(A18,Holidays!$A$5:$A$60,0)),"")="Holiday","Holiday",IF(WEEKDAY(A18)&gt;=6,"Weekend",IF(IFERROR(INDEX(Holidays!$D$5:$D$60,MATCH(A18,Holidays!$A$5:$A$60,0)),"")="Eve","Eve","Workday")))</f>
        <v>Workday</v>
      </c>
      <c r="D18" s="18" t="str">
        <f aca="false">IFERROR(INDEX(Holidays!$C$5:$C$60,MATCH(A18,Holidays!$A$5:$A$60,0)),"")</f>
        <v/>
      </c>
      <c r="E18" s="31"/>
      <c r="F18" s="32"/>
      <c r="G18" s="32"/>
      <c r="H18" s="32"/>
      <c r="I18" s="32"/>
      <c r="J18" s="31"/>
      <c r="K18" s="33" t="str">
        <f aca="false">IF(E18&lt;&gt;"",E18,IF(U18,"Present",IF(C18="Holiday","Holiday","Weekend")))</f>
        <v>Present</v>
      </c>
      <c r="L18" s="34" t="n">
        <f aca="false">IF(OR(K18="Present",K18="Manual Work",K18="Partial Vacation",K18="Partial Sick Leave"),IF(ISNUMBER(F18),F18,IF(AND(K18="Present",U18),Settings!$B$6,"")),"")</f>
        <v>0.333333333333333</v>
      </c>
      <c r="M18" s="34" t="n">
        <f aca="false">IF(OR(K18="Present",K18="Manual Work",K18="Partial Vacation",K18="Partial Sick Leave"),IF(ISNUMBER(G18),G18,IF(AND(K18="Present",U18),V18,"")),"")</f>
        <v>0.6875</v>
      </c>
      <c r="N18" s="14" t="n">
        <f aca="false">IF(AND(ISNUMBER(L18),ISNUMBER(M18)),MAX(0,(M18-L18)*24),0)</f>
        <v>8.5</v>
      </c>
      <c r="O18" s="14" t="n">
        <f aca="false">IF(NOT(U18),0,IF(K18="Vacation",IF(C18="Eve",Settings!$B$9*Settings!$B$11,W18),IF(K18="Partial Vacation",IF(AND(ISNUMBER(H18),ISNUMBER(I18)),MAX(0,(I18-H18)*24),0),0)))</f>
        <v>0</v>
      </c>
      <c r="P18" s="14" t="n">
        <f aca="false">IF(NOT(U18),0,IF(K18="Sick Leave",W18,IF(K18="Partial Sick Leave",IF(AND(ISNUMBER(H18),ISNUMBER(I18)),MAX(0,(I18-H18)*24),0),0)))</f>
        <v>0</v>
      </c>
      <c r="Q18" s="14" t="n">
        <f aca="false">IF(NOT(U18),0,IF(K18="Vacation",IF(C18="Eve",Settings!$B$11,1),IF(K18="Partial Vacation",O18/Settings!$B$9,0)))</f>
        <v>0</v>
      </c>
      <c r="R18" s="14" t="n">
        <f aca="false">IF(NOT(U18),0,IF(K18="Sick Leave",1,IF(K18="Partial Sick Leave",P18/Settings!$B$9,0)))</f>
        <v>0</v>
      </c>
      <c r="S18" s="35" t="str">
        <f aca="false">IF(AND(OR(E18="Vacation",E18="Sick Leave",E18="Partial Vacation",E18="Partial Sick Leave"),NOT(U18)),"Leave not allowed on this day",IF(AND(E18="Manual Work",OR(NOT(ISNUMBER(F18)),NOT(ISNUMBER(G18)))),"Enter start and end",IF(AND(OR(E18="Partial Vacation",E18="Partial Sick Leave"),OR(NOT(ISNUMBER(H18)),NOT(ISNUMBER(I18)))),"Enter leave from and to",IF(AND(ISNUMBER(F18),ISNUMBER(G18),G18&lt;=F18),"End is before start",IF(AND(ISNUMBER(H18),ISNUMBER(I18),I18&lt;=H18),"Leave end is before start",IF(AND(ISNUMBER(F18),ISNUMBER(G18),ISNUMBER(H18),ISNUMBER(I18),F18&lt;I18,H18&lt;G18),"Work and leave hours overlap",IF(AND(E18&lt;&gt;"",WEEKDAY(A18)=7),"Saturday - administrator only","")))))))</f>
        <v/>
      </c>
      <c r="T18" s="36" t="n">
        <f aca="false">MONTH(A18)</f>
        <v>1</v>
      </c>
      <c r="U18" s="37" t="b">
        <f aca="false">OR(C18="Workday",C18="Eve")</f>
        <v>1</v>
      </c>
      <c r="V18" s="34" t="n">
        <f aca="false">IF(C18="Eve",Settings!$B$8,Settings!$B$7)</f>
        <v>0.6875</v>
      </c>
      <c r="W18" s="14" t="n">
        <f aca="false">IF(U18,(V18-Settings!$B$6)*24,0)</f>
        <v>8.5</v>
      </c>
    </row>
    <row r="19" customFormat="false" ht="15" hidden="false" customHeight="false" outlineLevel="0" collapsed="false">
      <c r="A19" s="29" t="n">
        <v>46035</v>
      </c>
      <c r="B19" s="30" t="str">
        <f aca="false">CHOOSE(WEEKDAY(A19),"Sun","Mon","Tue","Wed","Thu","Fri","Sat")</f>
        <v>Tue</v>
      </c>
      <c r="C19" s="30" t="str">
        <f aca="false">IF(IFERROR(INDEX(Holidays!$D$5:$D$60,MATCH(A19,Holidays!$A$5:$A$60,0)),"")="Holiday","Holiday",IF(WEEKDAY(A19)&gt;=6,"Weekend",IF(IFERROR(INDEX(Holidays!$D$5:$D$60,MATCH(A19,Holidays!$A$5:$A$60,0)),"")="Eve","Eve","Workday")))</f>
        <v>Workday</v>
      </c>
      <c r="D19" s="18" t="str">
        <f aca="false">IFERROR(INDEX(Holidays!$C$5:$C$60,MATCH(A19,Holidays!$A$5:$A$60,0)),"")</f>
        <v/>
      </c>
      <c r="E19" s="31"/>
      <c r="F19" s="32"/>
      <c r="G19" s="32"/>
      <c r="H19" s="32"/>
      <c r="I19" s="32"/>
      <c r="J19" s="31"/>
      <c r="K19" s="33" t="str">
        <f aca="false">IF(E19&lt;&gt;"",E19,IF(U19,"Present",IF(C19="Holiday","Holiday","Weekend")))</f>
        <v>Present</v>
      </c>
      <c r="L19" s="34" t="n">
        <f aca="false">IF(OR(K19="Present",K19="Manual Work",K19="Partial Vacation",K19="Partial Sick Leave"),IF(ISNUMBER(F19),F19,IF(AND(K19="Present",U19),Settings!$B$6,"")),"")</f>
        <v>0.333333333333333</v>
      </c>
      <c r="M19" s="34" t="n">
        <f aca="false">IF(OR(K19="Present",K19="Manual Work",K19="Partial Vacation",K19="Partial Sick Leave"),IF(ISNUMBER(G19),G19,IF(AND(K19="Present",U19),V19,"")),"")</f>
        <v>0.6875</v>
      </c>
      <c r="N19" s="14" t="n">
        <f aca="false">IF(AND(ISNUMBER(L19),ISNUMBER(M19)),MAX(0,(M19-L19)*24),0)</f>
        <v>8.5</v>
      </c>
      <c r="O19" s="14" t="n">
        <f aca="false">IF(NOT(U19),0,IF(K19="Vacation",IF(C19="Eve",Settings!$B$9*Settings!$B$11,W19),IF(K19="Partial Vacation",IF(AND(ISNUMBER(H19),ISNUMBER(I19)),MAX(0,(I19-H19)*24),0),0)))</f>
        <v>0</v>
      </c>
      <c r="P19" s="14" t="n">
        <f aca="false">IF(NOT(U19),0,IF(K19="Sick Leave",W19,IF(K19="Partial Sick Leave",IF(AND(ISNUMBER(H19),ISNUMBER(I19)),MAX(0,(I19-H19)*24),0),0)))</f>
        <v>0</v>
      </c>
      <c r="Q19" s="14" t="n">
        <f aca="false">IF(NOT(U19),0,IF(K19="Vacation",IF(C19="Eve",Settings!$B$11,1),IF(K19="Partial Vacation",O19/Settings!$B$9,0)))</f>
        <v>0</v>
      </c>
      <c r="R19" s="14" t="n">
        <f aca="false">IF(NOT(U19),0,IF(K19="Sick Leave",1,IF(K19="Partial Sick Leave",P19/Settings!$B$9,0)))</f>
        <v>0</v>
      </c>
      <c r="S19" s="35" t="str">
        <f aca="false">IF(AND(OR(E19="Vacation",E19="Sick Leave",E19="Partial Vacation",E19="Partial Sick Leave"),NOT(U19)),"Leave not allowed on this day",IF(AND(E19="Manual Work",OR(NOT(ISNUMBER(F19)),NOT(ISNUMBER(G19)))),"Enter start and end",IF(AND(OR(E19="Partial Vacation",E19="Partial Sick Leave"),OR(NOT(ISNUMBER(H19)),NOT(ISNUMBER(I19)))),"Enter leave from and to",IF(AND(ISNUMBER(F19),ISNUMBER(G19),G19&lt;=F19),"End is before start",IF(AND(ISNUMBER(H19),ISNUMBER(I19),I19&lt;=H19),"Leave end is before start",IF(AND(ISNUMBER(F19),ISNUMBER(G19),ISNUMBER(H19),ISNUMBER(I19),F19&lt;I19,H19&lt;G19),"Work and leave hours overlap",IF(AND(E19&lt;&gt;"",WEEKDAY(A19)=7),"Saturday - administrator only","")))))))</f>
        <v/>
      </c>
      <c r="T19" s="36" t="n">
        <f aca="false">MONTH(A19)</f>
        <v>1</v>
      </c>
      <c r="U19" s="37" t="b">
        <f aca="false">OR(C19="Workday",C19="Eve")</f>
        <v>1</v>
      </c>
      <c r="V19" s="34" t="n">
        <f aca="false">IF(C19="Eve",Settings!$B$8,Settings!$B$7)</f>
        <v>0.6875</v>
      </c>
      <c r="W19" s="14" t="n">
        <f aca="false">IF(U19,(V19-Settings!$B$6)*24,0)</f>
        <v>8.5</v>
      </c>
    </row>
    <row r="20" customFormat="false" ht="15" hidden="false" customHeight="false" outlineLevel="0" collapsed="false">
      <c r="A20" s="29" t="n">
        <v>46036</v>
      </c>
      <c r="B20" s="30" t="str">
        <f aca="false">CHOOSE(WEEKDAY(A20),"Sun","Mon","Tue","Wed","Thu","Fri","Sat")</f>
        <v>Wed</v>
      </c>
      <c r="C20" s="30" t="str">
        <f aca="false">IF(IFERROR(INDEX(Holidays!$D$5:$D$60,MATCH(A20,Holidays!$A$5:$A$60,0)),"")="Holiday","Holiday",IF(WEEKDAY(A20)&gt;=6,"Weekend",IF(IFERROR(INDEX(Holidays!$D$5:$D$60,MATCH(A20,Holidays!$A$5:$A$60,0)),"")="Eve","Eve","Workday")))</f>
        <v>Workday</v>
      </c>
      <c r="D20" s="18" t="str">
        <f aca="false">IFERROR(INDEX(Holidays!$C$5:$C$60,MATCH(A20,Holidays!$A$5:$A$60,0)),"")</f>
        <v/>
      </c>
      <c r="E20" s="31"/>
      <c r="F20" s="32"/>
      <c r="G20" s="32"/>
      <c r="H20" s="32"/>
      <c r="I20" s="32"/>
      <c r="J20" s="31"/>
      <c r="K20" s="33" t="str">
        <f aca="false">IF(E20&lt;&gt;"",E20,IF(U20,"Present",IF(C20="Holiday","Holiday","Weekend")))</f>
        <v>Present</v>
      </c>
      <c r="L20" s="34" t="n">
        <f aca="false">IF(OR(K20="Present",K20="Manual Work",K20="Partial Vacation",K20="Partial Sick Leave"),IF(ISNUMBER(F20),F20,IF(AND(K20="Present",U20),Settings!$B$6,"")),"")</f>
        <v>0.333333333333333</v>
      </c>
      <c r="M20" s="34" t="n">
        <f aca="false">IF(OR(K20="Present",K20="Manual Work",K20="Partial Vacation",K20="Partial Sick Leave"),IF(ISNUMBER(G20),G20,IF(AND(K20="Present",U20),V20,"")),"")</f>
        <v>0.6875</v>
      </c>
      <c r="N20" s="14" t="n">
        <f aca="false">IF(AND(ISNUMBER(L20),ISNUMBER(M20)),MAX(0,(M20-L20)*24),0)</f>
        <v>8.5</v>
      </c>
      <c r="O20" s="14" t="n">
        <f aca="false">IF(NOT(U20),0,IF(K20="Vacation",IF(C20="Eve",Settings!$B$9*Settings!$B$11,W20),IF(K20="Partial Vacation",IF(AND(ISNUMBER(H20),ISNUMBER(I20)),MAX(0,(I20-H20)*24),0),0)))</f>
        <v>0</v>
      </c>
      <c r="P20" s="14" t="n">
        <f aca="false">IF(NOT(U20),0,IF(K20="Sick Leave",W20,IF(K20="Partial Sick Leave",IF(AND(ISNUMBER(H20),ISNUMBER(I20)),MAX(0,(I20-H20)*24),0),0)))</f>
        <v>0</v>
      </c>
      <c r="Q20" s="14" t="n">
        <f aca="false">IF(NOT(U20),0,IF(K20="Vacation",IF(C20="Eve",Settings!$B$11,1),IF(K20="Partial Vacation",O20/Settings!$B$9,0)))</f>
        <v>0</v>
      </c>
      <c r="R20" s="14" t="n">
        <f aca="false">IF(NOT(U20),0,IF(K20="Sick Leave",1,IF(K20="Partial Sick Leave",P20/Settings!$B$9,0)))</f>
        <v>0</v>
      </c>
      <c r="S20" s="35" t="str">
        <f aca="false">IF(AND(OR(E20="Vacation",E20="Sick Leave",E20="Partial Vacation",E20="Partial Sick Leave"),NOT(U20)),"Leave not allowed on this day",IF(AND(E20="Manual Work",OR(NOT(ISNUMBER(F20)),NOT(ISNUMBER(G20)))),"Enter start and end",IF(AND(OR(E20="Partial Vacation",E20="Partial Sick Leave"),OR(NOT(ISNUMBER(H20)),NOT(ISNUMBER(I20)))),"Enter leave from and to",IF(AND(ISNUMBER(F20),ISNUMBER(G20),G20&lt;=F20),"End is before start",IF(AND(ISNUMBER(H20),ISNUMBER(I20),I20&lt;=H20),"Leave end is before start",IF(AND(ISNUMBER(F20),ISNUMBER(G20),ISNUMBER(H20),ISNUMBER(I20),F20&lt;I20,H20&lt;G20),"Work and leave hours overlap",IF(AND(E20&lt;&gt;"",WEEKDAY(A20)=7),"Saturday - administrator only","")))))))</f>
        <v/>
      </c>
      <c r="T20" s="36" t="n">
        <f aca="false">MONTH(A20)</f>
        <v>1</v>
      </c>
      <c r="U20" s="37" t="b">
        <f aca="false">OR(C20="Workday",C20="Eve")</f>
        <v>1</v>
      </c>
      <c r="V20" s="34" t="n">
        <f aca="false">IF(C20="Eve",Settings!$B$8,Settings!$B$7)</f>
        <v>0.6875</v>
      </c>
      <c r="W20" s="14" t="n">
        <f aca="false">IF(U20,(V20-Settings!$B$6)*24,0)</f>
        <v>8.5</v>
      </c>
    </row>
    <row r="21" customFormat="false" ht="15" hidden="false" customHeight="false" outlineLevel="0" collapsed="false">
      <c r="A21" s="29" t="n">
        <v>46037</v>
      </c>
      <c r="B21" s="30" t="str">
        <f aca="false">CHOOSE(WEEKDAY(A21),"Sun","Mon","Tue","Wed","Thu","Fri","Sat")</f>
        <v>Thu</v>
      </c>
      <c r="C21" s="30" t="str">
        <f aca="false">IF(IFERROR(INDEX(Holidays!$D$5:$D$60,MATCH(A21,Holidays!$A$5:$A$60,0)),"")="Holiday","Holiday",IF(WEEKDAY(A21)&gt;=6,"Weekend",IF(IFERROR(INDEX(Holidays!$D$5:$D$60,MATCH(A21,Holidays!$A$5:$A$60,0)),"")="Eve","Eve","Workday")))</f>
        <v>Workday</v>
      </c>
      <c r="D21" s="18" t="str">
        <f aca="false">IFERROR(INDEX(Holidays!$C$5:$C$60,MATCH(A21,Holidays!$A$5:$A$60,0)),"")</f>
        <v/>
      </c>
      <c r="E21" s="31"/>
      <c r="F21" s="32"/>
      <c r="G21" s="32"/>
      <c r="H21" s="32"/>
      <c r="I21" s="32"/>
      <c r="J21" s="31"/>
      <c r="K21" s="33" t="str">
        <f aca="false">IF(E21&lt;&gt;"",E21,IF(U21,"Present",IF(C21="Holiday","Holiday","Weekend")))</f>
        <v>Present</v>
      </c>
      <c r="L21" s="34" t="n">
        <f aca="false">IF(OR(K21="Present",K21="Manual Work",K21="Partial Vacation",K21="Partial Sick Leave"),IF(ISNUMBER(F21),F21,IF(AND(K21="Present",U21),Settings!$B$6,"")),"")</f>
        <v>0.333333333333333</v>
      </c>
      <c r="M21" s="34" t="n">
        <f aca="false">IF(OR(K21="Present",K21="Manual Work",K21="Partial Vacation",K21="Partial Sick Leave"),IF(ISNUMBER(G21),G21,IF(AND(K21="Present",U21),V21,"")),"")</f>
        <v>0.6875</v>
      </c>
      <c r="N21" s="14" t="n">
        <f aca="false">IF(AND(ISNUMBER(L21),ISNUMBER(M21)),MAX(0,(M21-L21)*24),0)</f>
        <v>8.5</v>
      </c>
      <c r="O21" s="14" t="n">
        <f aca="false">IF(NOT(U21),0,IF(K21="Vacation",IF(C21="Eve",Settings!$B$9*Settings!$B$11,W21),IF(K21="Partial Vacation",IF(AND(ISNUMBER(H21),ISNUMBER(I21)),MAX(0,(I21-H21)*24),0),0)))</f>
        <v>0</v>
      </c>
      <c r="P21" s="14" t="n">
        <f aca="false">IF(NOT(U21),0,IF(K21="Sick Leave",W21,IF(K21="Partial Sick Leave",IF(AND(ISNUMBER(H21),ISNUMBER(I21)),MAX(0,(I21-H21)*24),0),0)))</f>
        <v>0</v>
      </c>
      <c r="Q21" s="14" t="n">
        <f aca="false">IF(NOT(U21),0,IF(K21="Vacation",IF(C21="Eve",Settings!$B$11,1),IF(K21="Partial Vacation",O21/Settings!$B$9,0)))</f>
        <v>0</v>
      </c>
      <c r="R21" s="14" t="n">
        <f aca="false">IF(NOT(U21),0,IF(K21="Sick Leave",1,IF(K21="Partial Sick Leave",P21/Settings!$B$9,0)))</f>
        <v>0</v>
      </c>
      <c r="S21" s="35" t="str">
        <f aca="false">IF(AND(OR(E21="Vacation",E21="Sick Leave",E21="Partial Vacation",E21="Partial Sick Leave"),NOT(U21)),"Leave not allowed on this day",IF(AND(E21="Manual Work",OR(NOT(ISNUMBER(F21)),NOT(ISNUMBER(G21)))),"Enter start and end",IF(AND(OR(E21="Partial Vacation",E21="Partial Sick Leave"),OR(NOT(ISNUMBER(H21)),NOT(ISNUMBER(I21)))),"Enter leave from and to",IF(AND(ISNUMBER(F21),ISNUMBER(G21),G21&lt;=F21),"End is before start",IF(AND(ISNUMBER(H21),ISNUMBER(I21),I21&lt;=H21),"Leave end is before start",IF(AND(ISNUMBER(F21),ISNUMBER(G21),ISNUMBER(H21),ISNUMBER(I21),F21&lt;I21,H21&lt;G21),"Work and leave hours overlap",IF(AND(E21&lt;&gt;"",WEEKDAY(A21)=7),"Saturday - administrator only","")))))))</f>
        <v/>
      </c>
      <c r="T21" s="36" t="n">
        <f aca="false">MONTH(A21)</f>
        <v>1</v>
      </c>
      <c r="U21" s="37" t="b">
        <f aca="false">OR(C21="Workday",C21="Eve")</f>
        <v>1</v>
      </c>
      <c r="V21" s="34" t="n">
        <f aca="false">IF(C21="Eve",Settings!$B$8,Settings!$B$7)</f>
        <v>0.6875</v>
      </c>
      <c r="W21" s="14" t="n">
        <f aca="false">IF(U21,(V21-Settings!$B$6)*24,0)</f>
        <v>8.5</v>
      </c>
    </row>
    <row r="22" customFormat="false" ht="15" hidden="false" customHeight="false" outlineLevel="0" collapsed="false">
      <c r="A22" s="29" t="n">
        <v>46038</v>
      </c>
      <c r="B22" s="30" t="str">
        <f aca="false">CHOOSE(WEEKDAY(A22),"Sun","Mon","Tue","Wed","Thu","Fri","Sat")</f>
        <v>Fri</v>
      </c>
      <c r="C22" s="30" t="str">
        <f aca="false">IF(IFERROR(INDEX(Holidays!$D$5:$D$60,MATCH(A22,Holidays!$A$5:$A$60,0)),"")="Holiday","Holiday",IF(WEEKDAY(A22)&gt;=6,"Weekend",IF(IFERROR(INDEX(Holidays!$D$5:$D$60,MATCH(A22,Holidays!$A$5:$A$60,0)),"")="Eve","Eve","Workday")))</f>
        <v>Weekend</v>
      </c>
      <c r="D22" s="18" t="str">
        <f aca="false">IFERROR(INDEX(Holidays!$C$5:$C$60,MATCH(A22,Holidays!$A$5:$A$60,0)),"")</f>
        <v/>
      </c>
      <c r="E22" s="31"/>
      <c r="F22" s="32"/>
      <c r="G22" s="32"/>
      <c r="H22" s="32"/>
      <c r="I22" s="32"/>
      <c r="J22" s="31"/>
      <c r="K22" s="33" t="str">
        <f aca="false">IF(E22&lt;&gt;"",E22,IF(U22,"Present",IF(C22="Holiday","Holiday","Weekend")))</f>
        <v>Weekend</v>
      </c>
      <c r="L22" s="34" t="str">
        <f aca="false">IF(OR(K22="Present",K22="Manual Work",K22="Partial Vacation",K22="Partial Sick Leave"),IF(ISNUMBER(F22),F22,IF(AND(K22="Present",U22),Settings!$B$6,"")),"")</f>
        <v/>
      </c>
      <c r="M22" s="34" t="str">
        <f aca="false">IF(OR(K22="Present",K22="Manual Work",K22="Partial Vacation",K22="Partial Sick Leave"),IF(ISNUMBER(G22),G22,IF(AND(K22="Present",U22),V22,"")),"")</f>
        <v/>
      </c>
      <c r="N22" s="14" t="n">
        <f aca="false">IF(AND(ISNUMBER(L22),ISNUMBER(M22)),MAX(0,(M22-L22)*24),0)</f>
        <v>0</v>
      </c>
      <c r="O22" s="14" t="n">
        <f aca="false">IF(NOT(U22),0,IF(K22="Vacation",IF(C22="Eve",Settings!$B$9*Settings!$B$11,W22),IF(K22="Partial Vacation",IF(AND(ISNUMBER(H22),ISNUMBER(I22)),MAX(0,(I22-H22)*24),0),0)))</f>
        <v>0</v>
      </c>
      <c r="P22" s="14" t="n">
        <f aca="false">IF(NOT(U22),0,IF(K22="Sick Leave",W22,IF(K22="Partial Sick Leave",IF(AND(ISNUMBER(H22),ISNUMBER(I22)),MAX(0,(I22-H22)*24),0),0)))</f>
        <v>0</v>
      </c>
      <c r="Q22" s="14" t="n">
        <f aca="false">IF(NOT(U22),0,IF(K22="Vacation",IF(C22="Eve",Settings!$B$11,1),IF(K22="Partial Vacation",O22/Settings!$B$9,0)))</f>
        <v>0</v>
      </c>
      <c r="R22" s="14" t="n">
        <f aca="false">IF(NOT(U22),0,IF(K22="Sick Leave",1,IF(K22="Partial Sick Leave",P22/Settings!$B$9,0)))</f>
        <v>0</v>
      </c>
      <c r="S22" s="35" t="str">
        <f aca="false">IF(AND(OR(E22="Vacation",E22="Sick Leave",E22="Partial Vacation",E22="Partial Sick Leave"),NOT(U22)),"Leave not allowed on this day",IF(AND(E22="Manual Work",OR(NOT(ISNUMBER(F22)),NOT(ISNUMBER(G22)))),"Enter start and end",IF(AND(OR(E22="Partial Vacation",E22="Partial Sick Leave"),OR(NOT(ISNUMBER(H22)),NOT(ISNUMBER(I22)))),"Enter leave from and to",IF(AND(ISNUMBER(F22),ISNUMBER(G22),G22&lt;=F22),"End is before start",IF(AND(ISNUMBER(H22),ISNUMBER(I22),I22&lt;=H22),"Leave end is before start",IF(AND(ISNUMBER(F22),ISNUMBER(G22),ISNUMBER(H22),ISNUMBER(I22),F22&lt;I22,H22&lt;G22),"Work and leave hours overlap",IF(AND(E22&lt;&gt;"",WEEKDAY(A22)=7),"Saturday - administrator only","")))))))</f>
        <v/>
      </c>
      <c r="T22" s="36" t="n">
        <f aca="false">MONTH(A22)</f>
        <v>1</v>
      </c>
      <c r="U22" s="37" t="b">
        <f aca="false">OR(C22="Workday",C22="Eve")</f>
        <v>0</v>
      </c>
      <c r="V22" s="34" t="n">
        <f aca="false">IF(C22="Eve",Settings!$B$8,Settings!$B$7)</f>
        <v>0.6875</v>
      </c>
      <c r="W22" s="14" t="n">
        <f aca="false">IF(U22,(V22-Settings!$B$6)*24,0)</f>
        <v>0</v>
      </c>
    </row>
    <row r="23" customFormat="false" ht="15" hidden="false" customHeight="false" outlineLevel="0" collapsed="false">
      <c r="A23" s="29" t="n">
        <v>46039</v>
      </c>
      <c r="B23" s="30" t="str">
        <f aca="false">CHOOSE(WEEKDAY(A23),"Sun","Mon","Tue","Wed","Thu","Fri","Sat")</f>
        <v>Sat</v>
      </c>
      <c r="C23" s="30" t="str">
        <f aca="false">IF(IFERROR(INDEX(Holidays!$D$5:$D$60,MATCH(A23,Holidays!$A$5:$A$60,0)),"")="Holiday","Holiday",IF(WEEKDAY(A23)&gt;=6,"Weekend",IF(IFERROR(INDEX(Holidays!$D$5:$D$60,MATCH(A23,Holidays!$A$5:$A$60,0)),"")="Eve","Eve","Workday")))</f>
        <v>Weekend</v>
      </c>
      <c r="D23" s="18" t="str">
        <f aca="false">IFERROR(INDEX(Holidays!$C$5:$C$60,MATCH(A23,Holidays!$A$5:$A$60,0)),"")</f>
        <v/>
      </c>
      <c r="E23" s="31"/>
      <c r="F23" s="32"/>
      <c r="G23" s="32"/>
      <c r="H23" s="32"/>
      <c r="I23" s="32"/>
      <c r="J23" s="31"/>
      <c r="K23" s="33" t="str">
        <f aca="false">IF(E23&lt;&gt;"",E23,IF(U23,"Present",IF(C23="Holiday","Holiday","Weekend")))</f>
        <v>Weekend</v>
      </c>
      <c r="L23" s="34" t="str">
        <f aca="false">IF(OR(K23="Present",K23="Manual Work",K23="Partial Vacation",K23="Partial Sick Leave"),IF(ISNUMBER(F23),F23,IF(AND(K23="Present",U23),Settings!$B$6,"")),"")</f>
        <v/>
      </c>
      <c r="M23" s="34" t="str">
        <f aca="false">IF(OR(K23="Present",K23="Manual Work",K23="Partial Vacation",K23="Partial Sick Leave"),IF(ISNUMBER(G23),G23,IF(AND(K23="Present",U23),V23,"")),"")</f>
        <v/>
      </c>
      <c r="N23" s="14" t="n">
        <f aca="false">IF(AND(ISNUMBER(L23),ISNUMBER(M23)),MAX(0,(M23-L23)*24),0)</f>
        <v>0</v>
      </c>
      <c r="O23" s="14" t="n">
        <f aca="false">IF(NOT(U23),0,IF(K23="Vacation",IF(C23="Eve",Settings!$B$9*Settings!$B$11,W23),IF(K23="Partial Vacation",IF(AND(ISNUMBER(H23),ISNUMBER(I23)),MAX(0,(I23-H23)*24),0),0)))</f>
        <v>0</v>
      </c>
      <c r="P23" s="14" t="n">
        <f aca="false">IF(NOT(U23),0,IF(K23="Sick Leave",W23,IF(K23="Partial Sick Leave",IF(AND(ISNUMBER(H23),ISNUMBER(I23)),MAX(0,(I23-H23)*24),0),0)))</f>
        <v>0</v>
      </c>
      <c r="Q23" s="14" t="n">
        <f aca="false">IF(NOT(U23),0,IF(K23="Vacation",IF(C23="Eve",Settings!$B$11,1),IF(K23="Partial Vacation",O23/Settings!$B$9,0)))</f>
        <v>0</v>
      </c>
      <c r="R23" s="14" t="n">
        <f aca="false">IF(NOT(U23),0,IF(K23="Sick Leave",1,IF(K23="Partial Sick Leave",P23/Settings!$B$9,0)))</f>
        <v>0</v>
      </c>
      <c r="S23" s="35" t="str">
        <f aca="false">IF(AND(OR(E23="Vacation",E23="Sick Leave",E23="Partial Vacation",E23="Partial Sick Leave"),NOT(U23)),"Leave not allowed on this day",IF(AND(E23="Manual Work",OR(NOT(ISNUMBER(F23)),NOT(ISNUMBER(G23)))),"Enter start and end",IF(AND(OR(E23="Partial Vacation",E23="Partial Sick Leave"),OR(NOT(ISNUMBER(H23)),NOT(ISNUMBER(I23)))),"Enter leave from and to",IF(AND(ISNUMBER(F23),ISNUMBER(G23),G23&lt;=F23),"End is before start",IF(AND(ISNUMBER(H23),ISNUMBER(I23),I23&lt;=H23),"Leave end is before start",IF(AND(ISNUMBER(F23),ISNUMBER(G23),ISNUMBER(H23),ISNUMBER(I23),F23&lt;I23,H23&lt;G23),"Work and leave hours overlap",IF(AND(E23&lt;&gt;"",WEEKDAY(A23)=7),"Saturday - administrator only","")))))))</f>
        <v/>
      </c>
      <c r="T23" s="36" t="n">
        <f aca="false">MONTH(A23)</f>
        <v>1</v>
      </c>
      <c r="U23" s="37" t="b">
        <f aca="false">OR(C23="Workday",C23="Eve")</f>
        <v>0</v>
      </c>
      <c r="V23" s="34" t="n">
        <f aca="false">IF(C23="Eve",Settings!$B$8,Settings!$B$7)</f>
        <v>0.6875</v>
      </c>
      <c r="W23" s="14" t="n">
        <f aca="false">IF(U23,(V23-Settings!$B$6)*24,0)</f>
        <v>0</v>
      </c>
    </row>
    <row r="24" customFormat="false" ht="15" hidden="false" customHeight="false" outlineLevel="0" collapsed="false">
      <c r="A24" s="29" t="n">
        <v>46040</v>
      </c>
      <c r="B24" s="30" t="str">
        <f aca="false">CHOOSE(WEEKDAY(A24),"Sun","Mon","Tue","Wed","Thu","Fri","Sat")</f>
        <v>Sun</v>
      </c>
      <c r="C24" s="30" t="str">
        <f aca="false">IF(IFERROR(INDEX(Holidays!$D$5:$D$60,MATCH(A24,Holidays!$A$5:$A$60,0)),"")="Holiday","Holiday",IF(WEEKDAY(A24)&gt;=6,"Weekend",IF(IFERROR(INDEX(Holidays!$D$5:$D$60,MATCH(A24,Holidays!$A$5:$A$60,0)),"")="Eve","Eve","Workday")))</f>
        <v>Workday</v>
      </c>
      <c r="D24" s="18" t="str">
        <f aca="false">IFERROR(INDEX(Holidays!$C$5:$C$60,MATCH(A24,Holidays!$A$5:$A$60,0)),"")</f>
        <v/>
      </c>
      <c r="E24" s="31"/>
      <c r="F24" s="32"/>
      <c r="G24" s="32"/>
      <c r="H24" s="32"/>
      <c r="I24" s="32"/>
      <c r="J24" s="31"/>
      <c r="K24" s="33" t="str">
        <f aca="false">IF(E24&lt;&gt;"",E24,IF(U24,"Present",IF(C24="Holiday","Holiday","Weekend")))</f>
        <v>Present</v>
      </c>
      <c r="L24" s="34" t="n">
        <f aca="false">IF(OR(K24="Present",K24="Manual Work",K24="Partial Vacation",K24="Partial Sick Leave"),IF(ISNUMBER(F24),F24,IF(AND(K24="Present",U24),Settings!$B$6,"")),"")</f>
        <v>0.333333333333333</v>
      </c>
      <c r="M24" s="34" t="n">
        <f aca="false">IF(OR(K24="Present",K24="Manual Work",K24="Partial Vacation",K24="Partial Sick Leave"),IF(ISNUMBER(G24),G24,IF(AND(K24="Present",U24),V24,"")),"")</f>
        <v>0.6875</v>
      </c>
      <c r="N24" s="14" t="n">
        <f aca="false">IF(AND(ISNUMBER(L24),ISNUMBER(M24)),MAX(0,(M24-L24)*24),0)</f>
        <v>8.5</v>
      </c>
      <c r="O24" s="14" t="n">
        <f aca="false">IF(NOT(U24),0,IF(K24="Vacation",IF(C24="Eve",Settings!$B$9*Settings!$B$11,W24),IF(K24="Partial Vacation",IF(AND(ISNUMBER(H24),ISNUMBER(I24)),MAX(0,(I24-H24)*24),0),0)))</f>
        <v>0</v>
      </c>
      <c r="P24" s="14" t="n">
        <f aca="false">IF(NOT(U24),0,IF(K24="Sick Leave",W24,IF(K24="Partial Sick Leave",IF(AND(ISNUMBER(H24),ISNUMBER(I24)),MAX(0,(I24-H24)*24),0),0)))</f>
        <v>0</v>
      </c>
      <c r="Q24" s="14" t="n">
        <f aca="false">IF(NOT(U24),0,IF(K24="Vacation",IF(C24="Eve",Settings!$B$11,1),IF(K24="Partial Vacation",O24/Settings!$B$9,0)))</f>
        <v>0</v>
      </c>
      <c r="R24" s="14" t="n">
        <f aca="false">IF(NOT(U24),0,IF(K24="Sick Leave",1,IF(K24="Partial Sick Leave",P24/Settings!$B$9,0)))</f>
        <v>0</v>
      </c>
      <c r="S24" s="35" t="str">
        <f aca="false">IF(AND(OR(E24="Vacation",E24="Sick Leave",E24="Partial Vacation",E24="Partial Sick Leave"),NOT(U24)),"Leave not allowed on this day",IF(AND(E24="Manual Work",OR(NOT(ISNUMBER(F24)),NOT(ISNUMBER(G24)))),"Enter start and end",IF(AND(OR(E24="Partial Vacation",E24="Partial Sick Leave"),OR(NOT(ISNUMBER(H24)),NOT(ISNUMBER(I24)))),"Enter leave from and to",IF(AND(ISNUMBER(F24),ISNUMBER(G24),G24&lt;=F24),"End is before start",IF(AND(ISNUMBER(H24),ISNUMBER(I24),I24&lt;=H24),"Leave end is before start",IF(AND(ISNUMBER(F24),ISNUMBER(G24),ISNUMBER(H24),ISNUMBER(I24),F24&lt;I24,H24&lt;G24),"Work and leave hours overlap",IF(AND(E24&lt;&gt;"",WEEKDAY(A24)=7),"Saturday - administrator only","")))))))</f>
        <v/>
      </c>
      <c r="T24" s="36" t="n">
        <f aca="false">MONTH(A24)</f>
        <v>1</v>
      </c>
      <c r="U24" s="37" t="b">
        <f aca="false">OR(C24="Workday",C24="Eve")</f>
        <v>1</v>
      </c>
      <c r="V24" s="34" t="n">
        <f aca="false">IF(C24="Eve",Settings!$B$8,Settings!$B$7)</f>
        <v>0.6875</v>
      </c>
      <c r="W24" s="14" t="n">
        <f aca="false">IF(U24,(V24-Settings!$B$6)*24,0)</f>
        <v>8.5</v>
      </c>
    </row>
    <row r="25" customFormat="false" ht="15" hidden="false" customHeight="false" outlineLevel="0" collapsed="false">
      <c r="A25" s="29" t="n">
        <v>46041</v>
      </c>
      <c r="B25" s="30" t="str">
        <f aca="false">CHOOSE(WEEKDAY(A25),"Sun","Mon","Tue","Wed","Thu","Fri","Sat")</f>
        <v>Mon</v>
      </c>
      <c r="C25" s="30" t="str">
        <f aca="false">IF(IFERROR(INDEX(Holidays!$D$5:$D$60,MATCH(A25,Holidays!$A$5:$A$60,0)),"")="Holiday","Holiday",IF(WEEKDAY(A25)&gt;=6,"Weekend",IF(IFERROR(INDEX(Holidays!$D$5:$D$60,MATCH(A25,Holidays!$A$5:$A$60,0)),"")="Eve","Eve","Workday")))</f>
        <v>Workday</v>
      </c>
      <c r="D25" s="18" t="str">
        <f aca="false">IFERROR(INDEX(Holidays!$C$5:$C$60,MATCH(A25,Holidays!$A$5:$A$60,0)),"")</f>
        <v/>
      </c>
      <c r="E25" s="31"/>
      <c r="F25" s="32"/>
      <c r="G25" s="32"/>
      <c r="H25" s="32"/>
      <c r="I25" s="32"/>
      <c r="J25" s="31"/>
      <c r="K25" s="33" t="str">
        <f aca="false">IF(E25&lt;&gt;"",E25,IF(U25,"Present",IF(C25="Holiday","Holiday","Weekend")))</f>
        <v>Present</v>
      </c>
      <c r="L25" s="34" t="n">
        <f aca="false">IF(OR(K25="Present",K25="Manual Work",K25="Partial Vacation",K25="Partial Sick Leave"),IF(ISNUMBER(F25),F25,IF(AND(K25="Present",U25),Settings!$B$6,"")),"")</f>
        <v>0.333333333333333</v>
      </c>
      <c r="M25" s="34" t="n">
        <f aca="false">IF(OR(K25="Present",K25="Manual Work",K25="Partial Vacation",K25="Partial Sick Leave"),IF(ISNUMBER(G25),G25,IF(AND(K25="Present",U25),V25,"")),"")</f>
        <v>0.6875</v>
      </c>
      <c r="N25" s="14" t="n">
        <f aca="false">IF(AND(ISNUMBER(L25),ISNUMBER(M25)),MAX(0,(M25-L25)*24),0)</f>
        <v>8.5</v>
      </c>
      <c r="O25" s="14" t="n">
        <f aca="false">IF(NOT(U25),0,IF(K25="Vacation",IF(C25="Eve",Settings!$B$9*Settings!$B$11,W25),IF(K25="Partial Vacation",IF(AND(ISNUMBER(H25),ISNUMBER(I25)),MAX(0,(I25-H25)*24),0),0)))</f>
        <v>0</v>
      </c>
      <c r="P25" s="14" t="n">
        <f aca="false">IF(NOT(U25),0,IF(K25="Sick Leave",W25,IF(K25="Partial Sick Leave",IF(AND(ISNUMBER(H25),ISNUMBER(I25)),MAX(0,(I25-H25)*24),0),0)))</f>
        <v>0</v>
      </c>
      <c r="Q25" s="14" t="n">
        <f aca="false">IF(NOT(U25),0,IF(K25="Vacation",IF(C25="Eve",Settings!$B$11,1),IF(K25="Partial Vacation",O25/Settings!$B$9,0)))</f>
        <v>0</v>
      </c>
      <c r="R25" s="14" t="n">
        <f aca="false">IF(NOT(U25),0,IF(K25="Sick Leave",1,IF(K25="Partial Sick Leave",P25/Settings!$B$9,0)))</f>
        <v>0</v>
      </c>
      <c r="S25" s="35" t="str">
        <f aca="false">IF(AND(OR(E25="Vacation",E25="Sick Leave",E25="Partial Vacation",E25="Partial Sick Leave"),NOT(U25)),"Leave not allowed on this day",IF(AND(E25="Manual Work",OR(NOT(ISNUMBER(F25)),NOT(ISNUMBER(G25)))),"Enter start and end",IF(AND(OR(E25="Partial Vacation",E25="Partial Sick Leave"),OR(NOT(ISNUMBER(H25)),NOT(ISNUMBER(I25)))),"Enter leave from and to",IF(AND(ISNUMBER(F25),ISNUMBER(G25),G25&lt;=F25),"End is before start",IF(AND(ISNUMBER(H25),ISNUMBER(I25),I25&lt;=H25),"Leave end is before start",IF(AND(ISNUMBER(F25),ISNUMBER(G25),ISNUMBER(H25),ISNUMBER(I25),F25&lt;I25,H25&lt;G25),"Work and leave hours overlap",IF(AND(E25&lt;&gt;"",WEEKDAY(A25)=7),"Saturday - administrator only","")))))))</f>
        <v/>
      </c>
      <c r="T25" s="36" t="n">
        <f aca="false">MONTH(A25)</f>
        <v>1</v>
      </c>
      <c r="U25" s="37" t="b">
        <f aca="false">OR(C25="Workday",C25="Eve")</f>
        <v>1</v>
      </c>
      <c r="V25" s="34" t="n">
        <f aca="false">IF(C25="Eve",Settings!$B$8,Settings!$B$7)</f>
        <v>0.6875</v>
      </c>
      <c r="W25" s="14" t="n">
        <f aca="false">IF(U25,(V25-Settings!$B$6)*24,0)</f>
        <v>8.5</v>
      </c>
    </row>
    <row r="26" customFormat="false" ht="15" hidden="false" customHeight="false" outlineLevel="0" collapsed="false">
      <c r="A26" s="29" t="n">
        <v>46042</v>
      </c>
      <c r="B26" s="30" t="str">
        <f aca="false">CHOOSE(WEEKDAY(A26),"Sun","Mon","Tue","Wed","Thu","Fri","Sat")</f>
        <v>Tue</v>
      </c>
      <c r="C26" s="30" t="str">
        <f aca="false">IF(IFERROR(INDEX(Holidays!$D$5:$D$60,MATCH(A26,Holidays!$A$5:$A$60,0)),"")="Holiday","Holiday",IF(WEEKDAY(A26)&gt;=6,"Weekend",IF(IFERROR(INDEX(Holidays!$D$5:$D$60,MATCH(A26,Holidays!$A$5:$A$60,0)),"")="Eve","Eve","Workday")))</f>
        <v>Workday</v>
      </c>
      <c r="D26" s="18" t="str">
        <f aca="false">IFERROR(INDEX(Holidays!$C$5:$C$60,MATCH(A26,Holidays!$A$5:$A$60,0)),"")</f>
        <v/>
      </c>
      <c r="E26" s="31"/>
      <c r="F26" s="32"/>
      <c r="G26" s="32"/>
      <c r="H26" s="32"/>
      <c r="I26" s="32"/>
      <c r="J26" s="31"/>
      <c r="K26" s="33" t="str">
        <f aca="false">IF(E26&lt;&gt;"",E26,IF(U26,"Present",IF(C26="Holiday","Holiday","Weekend")))</f>
        <v>Present</v>
      </c>
      <c r="L26" s="34" t="n">
        <f aca="false">IF(OR(K26="Present",K26="Manual Work",K26="Partial Vacation",K26="Partial Sick Leave"),IF(ISNUMBER(F26),F26,IF(AND(K26="Present",U26),Settings!$B$6,"")),"")</f>
        <v>0.333333333333333</v>
      </c>
      <c r="M26" s="34" t="n">
        <f aca="false">IF(OR(K26="Present",K26="Manual Work",K26="Partial Vacation",K26="Partial Sick Leave"),IF(ISNUMBER(G26),G26,IF(AND(K26="Present",U26),V26,"")),"")</f>
        <v>0.6875</v>
      </c>
      <c r="N26" s="14" t="n">
        <f aca="false">IF(AND(ISNUMBER(L26),ISNUMBER(M26)),MAX(0,(M26-L26)*24),0)</f>
        <v>8.5</v>
      </c>
      <c r="O26" s="14" t="n">
        <f aca="false">IF(NOT(U26),0,IF(K26="Vacation",IF(C26="Eve",Settings!$B$9*Settings!$B$11,W26),IF(K26="Partial Vacation",IF(AND(ISNUMBER(H26),ISNUMBER(I26)),MAX(0,(I26-H26)*24),0),0)))</f>
        <v>0</v>
      </c>
      <c r="P26" s="14" t="n">
        <f aca="false">IF(NOT(U26),0,IF(K26="Sick Leave",W26,IF(K26="Partial Sick Leave",IF(AND(ISNUMBER(H26),ISNUMBER(I26)),MAX(0,(I26-H26)*24),0),0)))</f>
        <v>0</v>
      </c>
      <c r="Q26" s="14" t="n">
        <f aca="false">IF(NOT(U26),0,IF(K26="Vacation",IF(C26="Eve",Settings!$B$11,1),IF(K26="Partial Vacation",O26/Settings!$B$9,0)))</f>
        <v>0</v>
      </c>
      <c r="R26" s="14" t="n">
        <f aca="false">IF(NOT(U26),0,IF(K26="Sick Leave",1,IF(K26="Partial Sick Leave",P26/Settings!$B$9,0)))</f>
        <v>0</v>
      </c>
      <c r="S26" s="35" t="str">
        <f aca="false">IF(AND(OR(E26="Vacation",E26="Sick Leave",E26="Partial Vacation",E26="Partial Sick Leave"),NOT(U26)),"Leave not allowed on this day",IF(AND(E26="Manual Work",OR(NOT(ISNUMBER(F26)),NOT(ISNUMBER(G26)))),"Enter start and end",IF(AND(OR(E26="Partial Vacation",E26="Partial Sick Leave"),OR(NOT(ISNUMBER(H26)),NOT(ISNUMBER(I26)))),"Enter leave from and to",IF(AND(ISNUMBER(F26),ISNUMBER(G26),G26&lt;=F26),"End is before start",IF(AND(ISNUMBER(H26),ISNUMBER(I26),I26&lt;=H26),"Leave end is before start",IF(AND(ISNUMBER(F26),ISNUMBER(G26),ISNUMBER(H26),ISNUMBER(I26),F26&lt;I26,H26&lt;G26),"Work and leave hours overlap",IF(AND(E26&lt;&gt;"",WEEKDAY(A26)=7),"Saturday - administrator only","")))))))</f>
        <v/>
      </c>
      <c r="T26" s="36" t="n">
        <f aca="false">MONTH(A26)</f>
        <v>1</v>
      </c>
      <c r="U26" s="37" t="b">
        <f aca="false">OR(C26="Workday",C26="Eve")</f>
        <v>1</v>
      </c>
      <c r="V26" s="34" t="n">
        <f aca="false">IF(C26="Eve",Settings!$B$8,Settings!$B$7)</f>
        <v>0.6875</v>
      </c>
      <c r="W26" s="14" t="n">
        <f aca="false">IF(U26,(V26-Settings!$B$6)*24,0)</f>
        <v>8.5</v>
      </c>
    </row>
    <row r="27" customFormat="false" ht="15" hidden="false" customHeight="false" outlineLevel="0" collapsed="false">
      <c r="A27" s="29" t="n">
        <v>46043</v>
      </c>
      <c r="B27" s="30" t="str">
        <f aca="false">CHOOSE(WEEKDAY(A27),"Sun","Mon","Tue","Wed","Thu","Fri","Sat")</f>
        <v>Wed</v>
      </c>
      <c r="C27" s="30" t="str">
        <f aca="false">IF(IFERROR(INDEX(Holidays!$D$5:$D$60,MATCH(A27,Holidays!$A$5:$A$60,0)),"")="Holiday","Holiday",IF(WEEKDAY(A27)&gt;=6,"Weekend",IF(IFERROR(INDEX(Holidays!$D$5:$D$60,MATCH(A27,Holidays!$A$5:$A$60,0)),"")="Eve","Eve","Workday")))</f>
        <v>Workday</v>
      </c>
      <c r="D27" s="18" t="str">
        <f aca="false">IFERROR(INDEX(Holidays!$C$5:$C$60,MATCH(A27,Holidays!$A$5:$A$60,0)),"")</f>
        <v/>
      </c>
      <c r="E27" s="31"/>
      <c r="F27" s="32"/>
      <c r="G27" s="32"/>
      <c r="H27" s="32"/>
      <c r="I27" s="32"/>
      <c r="J27" s="31"/>
      <c r="K27" s="33" t="str">
        <f aca="false">IF(E27&lt;&gt;"",E27,IF(U27,"Present",IF(C27="Holiday","Holiday","Weekend")))</f>
        <v>Present</v>
      </c>
      <c r="L27" s="34" t="n">
        <f aca="false">IF(OR(K27="Present",K27="Manual Work",K27="Partial Vacation",K27="Partial Sick Leave"),IF(ISNUMBER(F27),F27,IF(AND(K27="Present",U27),Settings!$B$6,"")),"")</f>
        <v>0.333333333333333</v>
      </c>
      <c r="M27" s="34" t="n">
        <f aca="false">IF(OR(K27="Present",K27="Manual Work",K27="Partial Vacation",K27="Partial Sick Leave"),IF(ISNUMBER(G27),G27,IF(AND(K27="Present",U27),V27,"")),"")</f>
        <v>0.6875</v>
      </c>
      <c r="N27" s="14" t="n">
        <f aca="false">IF(AND(ISNUMBER(L27),ISNUMBER(M27)),MAX(0,(M27-L27)*24),0)</f>
        <v>8.5</v>
      </c>
      <c r="O27" s="14" t="n">
        <f aca="false">IF(NOT(U27),0,IF(K27="Vacation",IF(C27="Eve",Settings!$B$9*Settings!$B$11,W27),IF(K27="Partial Vacation",IF(AND(ISNUMBER(H27),ISNUMBER(I27)),MAX(0,(I27-H27)*24),0),0)))</f>
        <v>0</v>
      </c>
      <c r="P27" s="14" t="n">
        <f aca="false">IF(NOT(U27),0,IF(K27="Sick Leave",W27,IF(K27="Partial Sick Leave",IF(AND(ISNUMBER(H27),ISNUMBER(I27)),MAX(0,(I27-H27)*24),0),0)))</f>
        <v>0</v>
      </c>
      <c r="Q27" s="14" t="n">
        <f aca="false">IF(NOT(U27),0,IF(K27="Vacation",IF(C27="Eve",Settings!$B$11,1),IF(K27="Partial Vacation",O27/Settings!$B$9,0)))</f>
        <v>0</v>
      </c>
      <c r="R27" s="14" t="n">
        <f aca="false">IF(NOT(U27),0,IF(K27="Sick Leave",1,IF(K27="Partial Sick Leave",P27/Settings!$B$9,0)))</f>
        <v>0</v>
      </c>
      <c r="S27" s="35" t="str">
        <f aca="false">IF(AND(OR(E27="Vacation",E27="Sick Leave",E27="Partial Vacation",E27="Partial Sick Leave"),NOT(U27)),"Leave not allowed on this day",IF(AND(E27="Manual Work",OR(NOT(ISNUMBER(F27)),NOT(ISNUMBER(G27)))),"Enter start and end",IF(AND(OR(E27="Partial Vacation",E27="Partial Sick Leave"),OR(NOT(ISNUMBER(H27)),NOT(ISNUMBER(I27)))),"Enter leave from and to",IF(AND(ISNUMBER(F27),ISNUMBER(G27),G27&lt;=F27),"End is before start",IF(AND(ISNUMBER(H27),ISNUMBER(I27),I27&lt;=H27),"Leave end is before start",IF(AND(ISNUMBER(F27),ISNUMBER(G27),ISNUMBER(H27),ISNUMBER(I27),F27&lt;I27,H27&lt;G27),"Work and leave hours overlap",IF(AND(E27&lt;&gt;"",WEEKDAY(A27)=7),"Saturday - administrator only","")))))))</f>
        <v/>
      </c>
      <c r="T27" s="36" t="n">
        <f aca="false">MONTH(A27)</f>
        <v>1</v>
      </c>
      <c r="U27" s="37" t="b">
        <f aca="false">OR(C27="Workday",C27="Eve")</f>
        <v>1</v>
      </c>
      <c r="V27" s="34" t="n">
        <f aca="false">IF(C27="Eve",Settings!$B$8,Settings!$B$7)</f>
        <v>0.6875</v>
      </c>
      <c r="W27" s="14" t="n">
        <f aca="false">IF(U27,(V27-Settings!$B$6)*24,0)</f>
        <v>8.5</v>
      </c>
    </row>
    <row r="28" customFormat="false" ht="15" hidden="false" customHeight="false" outlineLevel="0" collapsed="false">
      <c r="A28" s="29" t="n">
        <v>46044</v>
      </c>
      <c r="B28" s="30" t="str">
        <f aca="false">CHOOSE(WEEKDAY(A28),"Sun","Mon","Tue","Wed","Thu","Fri","Sat")</f>
        <v>Thu</v>
      </c>
      <c r="C28" s="30" t="str">
        <f aca="false">IF(IFERROR(INDEX(Holidays!$D$5:$D$60,MATCH(A28,Holidays!$A$5:$A$60,0)),"")="Holiday","Holiday",IF(WEEKDAY(A28)&gt;=6,"Weekend",IF(IFERROR(INDEX(Holidays!$D$5:$D$60,MATCH(A28,Holidays!$A$5:$A$60,0)),"")="Eve","Eve","Workday")))</f>
        <v>Workday</v>
      </c>
      <c r="D28" s="18" t="str">
        <f aca="false">IFERROR(INDEX(Holidays!$C$5:$C$60,MATCH(A28,Holidays!$A$5:$A$60,0)),"")</f>
        <v/>
      </c>
      <c r="E28" s="31"/>
      <c r="F28" s="32"/>
      <c r="G28" s="32"/>
      <c r="H28" s="32"/>
      <c r="I28" s="32"/>
      <c r="J28" s="31"/>
      <c r="K28" s="33" t="str">
        <f aca="false">IF(E28&lt;&gt;"",E28,IF(U28,"Present",IF(C28="Holiday","Holiday","Weekend")))</f>
        <v>Present</v>
      </c>
      <c r="L28" s="34" t="n">
        <f aca="false">IF(OR(K28="Present",K28="Manual Work",K28="Partial Vacation",K28="Partial Sick Leave"),IF(ISNUMBER(F28),F28,IF(AND(K28="Present",U28),Settings!$B$6,"")),"")</f>
        <v>0.333333333333333</v>
      </c>
      <c r="M28" s="34" t="n">
        <f aca="false">IF(OR(K28="Present",K28="Manual Work",K28="Partial Vacation",K28="Partial Sick Leave"),IF(ISNUMBER(G28),G28,IF(AND(K28="Present",U28),V28,"")),"")</f>
        <v>0.6875</v>
      </c>
      <c r="N28" s="14" t="n">
        <f aca="false">IF(AND(ISNUMBER(L28),ISNUMBER(M28)),MAX(0,(M28-L28)*24),0)</f>
        <v>8.5</v>
      </c>
      <c r="O28" s="14" t="n">
        <f aca="false">IF(NOT(U28),0,IF(K28="Vacation",IF(C28="Eve",Settings!$B$9*Settings!$B$11,W28),IF(K28="Partial Vacation",IF(AND(ISNUMBER(H28),ISNUMBER(I28)),MAX(0,(I28-H28)*24),0),0)))</f>
        <v>0</v>
      </c>
      <c r="P28" s="14" t="n">
        <f aca="false">IF(NOT(U28),0,IF(K28="Sick Leave",W28,IF(K28="Partial Sick Leave",IF(AND(ISNUMBER(H28),ISNUMBER(I28)),MAX(0,(I28-H28)*24),0),0)))</f>
        <v>0</v>
      </c>
      <c r="Q28" s="14" t="n">
        <f aca="false">IF(NOT(U28),0,IF(K28="Vacation",IF(C28="Eve",Settings!$B$11,1),IF(K28="Partial Vacation",O28/Settings!$B$9,0)))</f>
        <v>0</v>
      </c>
      <c r="R28" s="14" t="n">
        <f aca="false">IF(NOT(U28),0,IF(K28="Sick Leave",1,IF(K28="Partial Sick Leave",P28/Settings!$B$9,0)))</f>
        <v>0</v>
      </c>
      <c r="S28" s="35" t="str">
        <f aca="false">IF(AND(OR(E28="Vacation",E28="Sick Leave",E28="Partial Vacation",E28="Partial Sick Leave"),NOT(U28)),"Leave not allowed on this day",IF(AND(E28="Manual Work",OR(NOT(ISNUMBER(F28)),NOT(ISNUMBER(G28)))),"Enter start and end",IF(AND(OR(E28="Partial Vacation",E28="Partial Sick Leave"),OR(NOT(ISNUMBER(H28)),NOT(ISNUMBER(I28)))),"Enter leave from and to",IF(AND(ISNUMBER(F28),ISNUMBER(G28),G28&lt;=F28),"End is before start",IF(AND(ISNUMBER(H28),ISNUMBER(I28),I28&lt;=H28),"Leave end is before start",IF(AND(ISNUMBER(F28),ISNUMBER(G28),ISNUMBER(H28),ISNUMBER(I28),F28&lt;I28,H28&lt;G28),"Work and leave hours overlap",IF(AND(E28&lt;&gt;"",WEEKDAY(A28)=7),"Saturday - administrator only","")))))))</f>
        <v/>
      </c>
      <c r="T28" s="36" t="n">
        <f aca="false">MONTH(A28)</f>
        <v>1</v>
      </c>
      <c r="U28" s="37" t="b">
        <f aca="false">OR(C28="Workday",C28="Eve")</f>
        <v>1</v>
      </c>
      <c r="V28" s="34" t="n">
        <f aca="false">IF(C28="Eve",Settings!$B$8,Settings!$B$7)</f>
        <v>0.6875</v>
      </c>
      <c r="W28" s="14" t="n">
        <f aca="false">IF(U28,(V28-Settings!$B$6)*24,0)</f>
        <v>8.5</v>
      </c>
    </row>
    <row r="29" customFormat="false" ht="15" hidden="false" customHeight="false" outlineLevel="0" collapsed="false">
      <c r="A29" s="29" t="n">
        <v>46045</v>
      </c>
      <c r="B29" s="30" t="str">
        <f aca="false">CHOOSE(WEEKDAY(A29),"Sun","Mon","Tue","Wed","Thu","Fri","Sat")</f>
        <v>Fri</v>
      </c>
      <c r="C29" s="30" t="str">
        <f aca="false">IF(IFERROR(INDEX(Holidays!$D$5:$D$60,MATCH(A29,Holidays!$A$5:$A$60,0)),"")="Holiday","Holiday",IF(WEEKDAY(A29)&gt;=6,"Weekend",IF(IFERROR(INDEX(Holidays!$D$5:$D$60,MATCH(A29,Holidays!$A$5:$A$60,0)),"")="Eve","Eve","Workday")))</f>
        <v>Weekend</v>
      </c>
      <c r="D29" s="18" t="str">
        <f aca="false">IFERROR(INDEX(Holidays!$C$5:$C$60,MATCH(A29,Holidays!$A$5:$A$60,0)),"")</f>
        <v/>
      </c>
      <c r="E29" s="31"/>
      <c r="F29" s="32"/>
      <c r="G29" s="32"/>
      <c r="H29" s="32"/>
      <c r="I29" s="32"/>
      <c r="J29" s="31"/>
      <c r="K29" s="33" t="str">
        <f aca="false">IF(E29&lt;&gt;"",E29,IF(U29,"Present",IF(C29="Holiday","Holiday","Weekend")))</f>
        <v>Weekend</v>
      </c>
      <c r="L29" s="34" t="str">
        <f aca="false">IF(OR(K29="Present",K29="Manual Work",K29="Partial Vacation",K29="Partial Sick Leave"),IF(ISNUMBER(F29),F29,IF(AND(K29="Present",U29),Settings!$B$6,"")),"")</f>
        <v/>
      </c>
      <c r="M29" s="34" t="str">
        <f aca="false">IF(OR(K29="Present",K29="Manual Work",K29="Partial Vacation",K29="Partial Sick Leave"),IF(ISNUMBER(G29),G29,IF(AND(K29="Present",U29),V29,"")),"")</f>
        <v/>
      </c>
      <c r="N29" s="14" t="n">
        <f aca="false">IF(AND(ISNUMBER(L29),ISNUMBER(M29)),MAX(0,(M29-L29)*24),0)</f>
        <v>0</v>
      </c>
      <c r="O29" s="14" t="n">
        <f aca="false">IF(NOT(U29),0,IF(K29="Vacation",IF(C29="Eve",Settings!$B$9*Settings!$B$11,W29),IF(K29="Partial Vacation",IF(AND(ISNUMBER(H29),ISNUMBER(I29)),MAX(0,(I29-H29)*24),0),0)))</f>
        <v>0</v>
      </c>
      <c r="P29" s="14" t="n">
        <f aca="false">IF(NOT(U29),0,IF(K29="Sick Leave",W29,IF(K29="Partial Sick Leave",IF(AND(ISNUMBER(H29),ISNUMBER(I29)),MAX(0,(I29-H29)*24),0),0)))</f>
        <v>0</v>
      </c>
      <c r="Q29" s="14" t="n">
        <f aca="false">IF(NOT(U29),0,IF(K29="Vacation",IF(C29="Eve",Settings!$B$11,1),IF(K29="Partial Vacation",O29/Settings!$B$9,0)))</f>
        <v>0</v>
      </c>
      <c r="R29" s="14" t="n">
        <f aca="false">IF(NOT(U29),0,IF(K29="Sick Leave",1,IF(K29="Partial Sick Leave",P29/Settings!$B$9,0)))</f>
        <v>0</v>
      </c>
      <c r="S29" s="35" t="str">
        <f aca="false">IF(AND(OR(E29="Vacation",E29="Sick Leave",E29="Partial Vacation",E29="Partial Sick Leave"),NOT(U29)),"Leave not allowed on this day",IF(AND(E29="Manual Work",OR(NOT(ISNUMBER(F29)),NOT(ISNUMBER(G29)))),"Enter start and end",IF(AND(OR(E29="Partial Vacation",E29="Partial Sick Leave"),OR(NOT(ISNUMBER(H29)),NOT(ISNUMBER(I29)))),"Enter leave from and to",IF(AND(ISNUMBER(F29),ISNUMBER(G29),G29&lt;=F29),"End is before start",IF(AND(ISNUMBER(H29),ISNUMBER(I29),I29&lt;=H29),"Leave end is before start",IF(AND(ISNUMBER(F29),ISNUMBER(G29),ISNUMBER(H29),ISNUMBER(I29),F29&lt;I29,H29&lt;G29),"Work and leave hours overlap",IF(AND(E29&lt;&gt;"",WEEKDAY(A29)=7),"Saturday - administrator only","")))))))</f>
        <v/>
      </c>
      <c r="T29" s="36" t="n">
        <f aca="false">MONTH(A29)</f>
        <v>1</v>
      </c>
      <c r="U29" s="37" t="b">
        <f aca="false">OR(C29="Workday",C29="Eve")</f>
        <v>0</v>
      </c>
      <c r="V29" s="34" t="n">
        <f aca="false">IF(C29="Eve",Settings!$B$8,Settings!$B$7)</f>
        <v>0.6875</v>
      </c>
      <c r="W29" s="14" t="n">
        <f aca="false">IF(U29,(V29-Settings!$B$6)*24,0)</f>
        <v>0</v>
      </c>
    </row>
    <row r="30" customFormat="false" ht="15" hidden="false" customHeight="false" outlineLevel="0" collapsed="false">
      <c r="A30" s="29" t="n">
        <v>46046</v>
      </c>
      <c r="B30" s="30" t="str">
        <f aca="false">CHOOSE(WEEKDAY(A30),"Sun","Mon","Tue","Wed","Thu","Fri","Sat")</f>
        <v>Sat</v>
      </c>
      <c r="C30" s="30" t="str">
        <f aca="false">IF(IFERROR(INDEX(Holidays!$D$5:$D$60,MATCH(A30,Holidays!$A$5:$A$60,0)),"")="Holiday","Holiday",IF(WEEKDAY(A30)&gt;=6,"Weekend",IF(IFERROR(INDEX(Holidays!$D$5:$D$60,MATCH(A30,Holidays!$A$5:$A$60,0)),"")="Eve","Eve","Workday")))</f>
        <v>Weekend</v>
      </c>
      <c r="D30" s="18" t="str">
        <f aca="false">IFERROR(INDEX(Holidays!$C$5:$C$60,MATCH(A30,Holidays!$A$5:$A$60,0)),"")</f>
        <v/>
      </c>
      <c r="E30" s="31"/>
      <c r="F30" s="32"/>
      <c r="G30" s="32"/>
      <c r="H30" s="32"/>
      <c r="I30" s="32"/>
      <c r="J30" s="31"/>
      <c r="K30" s="33" t="str">
        <f aca="false">IF(E30&lt;&gt;"",E30,IF(U30,"Present",IF(C30="Holiday","Holiday","Weekend")))</f>
        <v>Weekend</v>
      </c>
      <c r="L30" s="34" t="str">
        <f aca="false">IF(OR(K30="Present",K30="Manual Work",K30="Partial Vacation",K30="Partial Sick Leave"),IF(ISNUMBER(F30),F30,IF(AND(K30="Present",U30),Settings!$B$6,"")),"")</f>
        <v/>
      </c>
      <c r="M30" s="34" t="str">
        <f aca="false">IF(OR(K30="Present",K30="Manual Work",K30="Partial Vacation",K30="Partial Sick Leave"),IF(ISNUMBER(G30),G30,IF(AND(K30="Present",U30),V30,"")),"")</f>
        <v/>
      </c>
      <c r="N30" s="14" t="n">
        <f aca="false">IF(AND(ISNUMBER(L30),ISNUMBER(M30)),MAX(0,(M30-L30)*24),0)</f>
        <v>0</v>
      </c>
      <c r="O30" s="14" t="n">
        <f aca="false">IF(NOT(U30),0,IF(K30="Vacation",IF(C30="Eve",Settings!$B$9*Settings!$B$11,W30),IF(K30="Partial Vacation",IF(AND(ISNUMBER(H30),ISNUMBER(I30)),MAX(0,(I30-H30)*24),0),0)))</f>
        <v>0</v>
      </c>
      <c r="P30" s="14" t="n">
        <f aca="false">IF(NOT(U30),0,IF(K30="Sick Leave",W30,IF(K30="Partial Sick Leave",IF(AND(ISNUMBER(H30),ISNUMBER(I30)),MAX(0,(I30-H30)*24),0),0)))</f>
        <v>0</v>
      </c>
      <c r="Q30" s="14" t="n">
        <f aca="false">IF(NOT(U30),0,IF(K30="Vacation",IF(C30="Eve",Settings!$B$11,1),IF(K30="Partial Vacation",O30/Settings!$B$9,0)))</f>
        <v>0</v>
      </c>
      <c r="R30" s="14" t="n">
        <f aca="false">IF(NOT(U30),0,IF(K30="Sick Leave",1,IF(K30="Partial Sick Leave",P30/Settings!$B$9,0)))</f>
        <v>0</v>
      </c>
      <c r="S30" s="35" t="str">
        <f aca="false">IF(AND(OR(E30="Vacation",E30="Sick Leave",E30="Partial Vacation",E30="Partial Sick Leave"),NOT(U30)),"Leave not allowed on this day",IF(AND(E30="Manual Work",OR(NOT(ISNUMBER(F30)),NOT(ISNUMBER(G30)))),"Enter start and end",IF(AND(OR(E30="Partial Vacation",E30="Partial Sick Leave"),OR(NOT(ISNUMBER(H30)),NOT(ISNUMBER(I30)))),"Enter leave from and to",IF(AND(ISNUMBER(F30),ISNUMBER(G30),G30&lt;=F30),"End is before start",IF(AND(ISNUMBER(H30),ISNUMBER(I30),I30&lt;=H30),"Leave end is before start",IF(AND(ISNUMBER(F30),ISNUMBER(G30),ISNUMBER(H30),ISNUMBER(I30),F30&lt;I30,H30&lt;G30),"Work and leave hours overlap",IF(AND(E30&lt;&gt;"",WEEKDAY(A30)=7),"Saturday - administrator only","")))))))</f>
        <v/>
      </c>
      <c r="T30" s="36" t="n">
        <f aca="false">MONTH(A30)</f>
        <v>1</v>
      </c>
      <c r="U30" s="37" t="b">
        <f aca="false">OR(C30="Workday",C30="Eve")</f>
        <v>0</v>
      </c>
      <c r="V30" s="34" t="n">
        <f aca="false">IF(C30="Eve",Settings!$B$8,Settings!$B$7)</f>
        <v>0.6875</v>
      </c>
      <c r="W30" s="14" t="n">
        <f aca="false">IF(U30,(V30-Settings!$B$6)*24,0)</f>
        <v>0</v>
      </c>
    </row>
    <row r="31" customFormat="false" ht="15" hidden="false" customHeight="false" outlineLevel="0" collapsed="false">
      <c r="A31" s="29" t="n">
        <v>46047</v>
      </c>
      <c r="B31" s="30" t="str">
        <f aca="false">CHOOSE(WEEKDAY(A31),"Sun","Mon","Tue","Wed","Thu","Fri","Sat")</f>
        <v>Sun</v>
      </c>
      <c r="C31" s="30" t="str">
        <f aca="false">IF(IFERROR(INDEX(Holidays!$D$5:$D$60,MATCH(A31,Holidays!$A$5:$A$60,0)),"")="Holiday","Holiday",IF(WEEKDAY(A31)&gt;=6,"Weekend",IF(IFERROR(INDEX(Holidays!$D$5:$D$60,MATCH(A31,Holidays!$A$5:$A$60,0)),"")="Eve","Eve","Workday")))</f>
        <v>Workday</v>
      </c>
      <c r="D31" s="18" t="str">
        <f aca="false">IFERROR(INDEX(Holidays!$C$5:$C$60,MATCH(A31,Holidays!$A$5:$A$60,0)),"")</f>
        <v/>
      </c>
      <c r="E31" s="31"/>
      <c r="F31" s="32"/>
      <c r="G31" s="32"/>
      <c r="H31" s="32"/>
      <c r="I31" s="32"/>
      <c r="J31" s="31"/>
      <c r="K31" s="33" t="str">
        <f aca="false">IF(E31&lt;&gt;"",E31,IF(U31,"Present",IF(C31="Holiday","Holiday","Weekend")))</f>
        <v>Present</v>
      </c>
      <c r="L31" s="34" t="n">
        <f aca="false">IF(OR(K31="Present",K31="Manual Work",K31="Partial Vacation",K31="Partial Sick Leave"),IF(ISNUMBER(F31),F31,IF(AND(K31="Present",U31),Settings!$B$6,"")),"")</f>
        <v>0.333333333333333</v>
      </c>
      <c r="M31" s="34" t="n">
        <f aca="false">IF(OR(K31="Present",K31="Manual Work",K31="Partial Vacation",K31="Partial Sick Leave"),IF(ISNUMBER(G31),G31,IF(AND(K31="Present",U31),V31,"")),"")</f>
        <v>0.6875</v>
      </c>
      <c r="N31" s="14" t="n">
        <f aca="false">IF(AND(ISNUMBER(L31),ISNUMBER(M31)),MAX(0,(M31-L31)*24),0)</f>
        <v>8.5</v>
      </c>
      <c r="O31" s="14" t="n">
        <f aca="false">IF(NOT(U31),0,IF(K31="Vacation",IF(C31="Eve",Settings!$B$9*Settings!$B$11,W31),IF(K31="Partial Vacation",IF(AND(ISNUMBER(H31),ISNUMBER(I31)),MAX(0,(I31-H31)*24),0),0)))</f>
        <v>0</v>
      </c>
      <c r="P31" s="14" t="n">
        <f aca="false">IF(NOT(U31),0,IF(K31="Sick Leave",W31,IF(K31="Partial Sick Leave",IF(AND(ISNUMBER(H31),ISNUMBER(I31)),MAX(0,(I31-H31)*24),0),0)))</f>
        <v>0</v>
      </c>
      <c r="Q31" s="14" t="n">
        <f aca="false">IF(NOT(U31),0,IF(K31="Vacation",IF(C31="Eve",Settings!$B$11,1),IF(K31="Partial Vacation",O31/Settings!$B$9,0)))</f>
        <v>0</v>
      </c>
      <c r="R31" s="14" t="n">
        <f aca="false">IF(NOT(U31),0,IF(K31="Sick Leave",1,IF(K31="Partial Sick Leave",P31/Settings!$B$9,0)))</f>
        <v>0</v>
      </c>
      <c r="S31" s="35" t="str">
        <f aca="false">IF(AND(OR(E31="Vacation",E31="Sick Leave",E31="Partial Vacation",E31="Partial Sick Leave"),NOT(U31)),"Leave not allowed on this day",IF(AND(E31="Manual Work",OR(NOT(ISNUMBER(F31)),NOT(ISNUMBER(G31)))),"Enter start and end",IF(AND(OR(E31="Partial Vacation",E31="Partial Sick Leave"),OR(NOT(ISNUMBER(H31)),NOT(ISNUMBER(I31)))),"Enter leave from and to",IF(AND(ISNUMBER(F31),ISNUMBER(G31),G31&lt;=F31),"End is before start",IF(AND(ISNUMBER(H31),ISNUMBER(I31),I31&lt;=H31),"Leave end is before start",IF(AND(ISNUMBER(F31),ISNUMBER(G31),ISNUMBER(H31),ISNUMBER(I31),F31&lt;I31,H31&lt;G31),"Work and leave hours overlap",IF(AND(E31&lt;&gt;"",WEEKDAY(A31)=7),"Saturday - administrator only","")))))))</f>
        <v/>
      </c>
      <c r="T31" s="36" t="n">
        <f aca="false">MONTH(A31)</f>
        <v>1</v>
      </c>
      <c r="U31" s="37" t="b">
        <f aca="false">OR(C31="Workday",C31="Eve")</f>
        <v>1</v>
      </c>
      <c r="V31" s="34" t="n">
        <f aca="false">IF(C31="Eve",Settings!$B$8,Settings!$B$7)</f>
        <v>0.6875</v>
      </c>
      <c r="W31" s="14" t="n">
        <f aca="false">IF(U31,(V31-Settings!$B$6)*24,0)</f>
        <v>8.5</v>
      </c>
    </row>
    <row r="32" customFormat="false" ht="15" hidden="false" customHeight="false" outlineLevel="0" collapsed="false">
      <c r="A32" s="29" t="n">
        <v>46048</v>
      </c>
      <c r="B32" s="30" t="str">
        <f aca="false">CHOOSE(WEEKDAY(A32),"Sun","Mon","Tue","Wed","Thu","Fri","Sat")</f>
        <v>Mon</v>
      </c>
      <c r="C32" s="30" t="str">
        <f aca="false">IF(IFERROR(INDEX(Holidays!$D$5:$D$60,MATCH(A32,Holidays!$A$5:$A$60,0)),"")="Holiday","Holiday",IF(WEEKDAY(A32)&gt;=6,"Weekend",IF(IFERROR(INDEX(Holidays!$D$5:$D$60,MATCH(A32,Holidays!$A$5:$A$60,0)),"")="Eve","Eve","Workday")))</f>
        <v>Workday</v>
      </c>
      <c r="D32" s="18" t="str">
        <f aca="false">IFERROR(INDEX(Holidays!$C$5:$C$60,MATCH(A32,Holidays!$A$5:$A$60,0)),"")</f>
        <v/>
      </c>
      <c r="E32" s="31"/>
      <c r="F32" s="32"/>
      <c r="G32" s="32"/>
      <c r="H32" s="32"/>
      <c r="I32" s="32"/>
      <c r="J32" s="31"/>
      <c r="K32" s="33" t="str">
        <f aca="false">IF(E32&lt;&gt;"",E32,IF(U32,"Present",IF(C32="Holiday","Holiday","Weekend")))</f>
        <v>Present</v>
      </c>
      <c r="L32" s="34" t="n">
        <f aca="false">IF(OR(K32="Present",K32="Manual Work",K32="Partial Vacation",K32="Partial Sick Leave"),IF(ISNUMBER(F32),F32,IF(AND(K32="Present",U32),Settings!$B$6,"")),"")</f>
        <v>0.333333333333333</v>
      </c>
      <c r="M32" s="34" t="n">
        <f aca="false">IF(OR(K32="Present",K32="Manual Work",K32="Partial Vacation",K32="Partial Sick Leave"),IF(ISNUMBER(G32),G32,IF(AND(K32="Present",U32),V32,"")),"")</f>
        <v>0.6875</v>
      </c>
      <c r="N32" s="14" t="n">
        <f aca="false">IF(AND(ISNUMBER(L32),ISNUMBER(M32)),MAX(0,(M32-L32)*24),0)</f>
        <v>8.5</v>
      </c>
      <c r="O32" s="14" t="n">
        <f aca="false">IF(NOT(U32),0,IF(K32="Vacation",IF(C32="Eve",Settings!$B$9*Settings!$B$11,W32),IF(K32="Partial Vacation",IF(AND(ISNUMBER(H32),ISNUMBER(I32)),MAX(0,(I32-H32)*24),0),0)))</f>
        <v>0</v>
      </c>
      <c r="P32" s="14" t="n">
        <f aca="false">IF(NOT(U32),0,IF(K32="Sick Leave",W32,IF(K32="Partial Sick Leave",IF(AND(ISNUMBER(H32),ISNUMBER(I32)),MAX(0,(I32-H32)*24),0),0)))</f>
        <v>0</v>
      </c>
      <c r="Q32" s="14" t="n">
        <f aca="false">IF(NOT(U32),0,IF(K32="Vacation",IF(C32="Eve",Settings!$B$11,1),IF(K32="Partial Vacation",O32/Settings!$B$9,0)))</f>
        <v>0</v>
      </c>
      <c r="R32" s="14" t="n">
        <f aca="false">IF(NOT(U32),0,IF(K32="Sick Leave",1,IF(K32="Partial Sick Leave",P32/Settings!$B$9,0)))</f>
        <v>0</v>
      </c>
      <c r="S32" s="35" t="str">
        <f aca="false">IF(AND(OR(E32="Vacation",E32="Sick Leave",E32="Partial Vacation",E32="Partial Sick Leave"),NOT(U32)),"Leave not allowed on this day",IF(AND(E32="Manual Work",OR(NOT(ISNUMBER(F32)),NOT(ISNUMBER(G32)))),"Enter start and end",IF(AND(OR(E32="Partial Vacation",E32="Partial Sick Leave"),OR(NOT(ISNUMBER(H32)),NOT(ISNUMBER(I32)))),"Enter leave from and to",IF(AND(ISNUMBER(F32),ISNUMBER(G32),G32&lt;=F32),"End is before start",IF(AND(ISNUMBER(H32),ISNUMBER(I32),I32&lt;=H32),"Leave end is before start",IF(AND(ISNUMBER(F32),ISNUMBER(G32),ISNUMBER(H32),ISNUMBER(I32),F32&lt;I32,H32&lt;G32),"Work and leave hours overlap",IF(AND(E32&lt;&gt;"",WEEKDAY(A32)=7),"Saturday - administrator only","")))))))</f>
        <v/>
      </c>
      <c r="T32" s="36" t="n">
        <f aca="false">MONTH(A32)</f>
        <v>1</v>
      </c>
      <c r="U32" s="37" t="b">
        <f aca="false">OR(C32="Workday",C32="Eve")</f>
        <v>1</v>
      </c>
      <c r="V32" s="34" t="n">
        <f aca="false">IF(C32="Eve",Settings!$B$8,Settings!$B$7)</f>
        <v>0.6875</v>
      </c>
      <c r="W32" s="14" t="n">
        <f aca="false">IF(U32,(V32-Settings!$B$6)*24,0)</f>
        <v>8.5</v>
      </c>
    </row>
    <row r="33" customFormat="false" ht="15" hidden="false" customHeight="false" outlineLevel="0" collapsed="false">
      <c r="A33" s="29" t="n">
        <v>46049</v>
      </c>
      <c r="B33" s="30" t="str">
        <f aca="false">CHOOSE(WEEKDAY(A33),"Sun","Mon","Tue","Wed","Thu","Fri","Sat")</f>
        <v>Tue</v>
      </c>
      <c r="C33" s="30" t="str">
        <f aca="false">IF(IFERROR(INDEX(Holidays!$D$5:$D$60,MATCH(A33,Holidays!$A$5:$A$60,0)),"")="Holiday","Holiday",IF(WEEKDAY(A33)&gt;=6,"Weekend",IF(IFERROR(INDEX(Holidays!$D$5:$D$60,MATCH(A33,Holidays!$A$5:$A$60,0)),"")="Eve","Eve","Workday")))</f>
        <v>Workday</v>
      </c>
      <c r="D33" s="18" t="str">
        <f aca="false">IFERROR(INDEX(Holidays!$C$5:$C$60,MATCH(A33,Holidays!$A$5:$A$60,0)),"")</f>
        <v/>
      </c>
      <c r="E33" s="31"/>
      <c r="F33" s="32"/>
      <c r="G33" s="32"/>
      <c r="H33" s="32"/>
      <c r="I33" s="32"/>
      <c r="J33" s="31"/>
      <c r="K33" s="33" t="str">
        <f aca="false">IF(E33&lt;&gt;"",E33,IF(U33,"Present",IF(C33="Holiday","Holiday","Weekend")))</f>
        <v>Present</v>
      </c>
      <c r="L33" s="34" t="n">
        <f aca="false">IF(OR(K33="Present",K33="Manual Work",K33="Partial Vacation",K33="Partial Sick Leave"),IF(ISNUMBER(F33),F33,IF(AND(K33="Present",U33),Settings!$B$6,"")),"")</f>
        <v>0.333333333333333</v>
      </c>
      <c r="M33" s="34" t="n">
        <f aca="false">IF(OR(K33="Present",K33="Manual Work",K33="Partial Vacation",K33="Partial Sick Leave"),IF(ISNUMBER(G33),G33,IF(AND(K33="Present",U33),V33,"")),"")</f>
        <v>0.6875</v>
      </c>
      <c r="N33" s="14" t="n">
        <f aca="false">IF(AND(ISNUMBER(L33),ISNUMBER(M33)),MAX(0,(M33-L33)*24),0)</f>
        <v>8.5</v>
      </c>
      <c r="O33" s="14" t="n">
        <f aca="false">IF(NOT(U33),0,IF(K33="Vacation",IF(C33="Eve",Settings!$B$9*Settings!$B$11,W33),IF(K33="Partial Vacation",IF(AND(ISNUMBER(H33),ISNUMBER(I33)),MAX(0,(I33-H33)*24),0),0)))</f>
        <v>0</v>
      </c>
      <c r="P33" s="14" t="n">
        <f aca="false">IF(NOT(U33),0,IF(K33="Sick Leave",W33,IF(K33="Partial Sick Leave",IF(AND(ISNUMBER(H33),ISNUMBER(I33)),MAX(0,(I33-H33)*24),0),0)))</f>
        <v>0</v>
      </c>
      <c r="Q33" s="14" t="n">
        <f aca="false">IF(NOT(U33),0,IF(K33="Vacation",IF(C33="Eve",Settings!$B$11,1),IF(K33="Partial Vacation",O33/Settings!$B$9,0)))</f>
        <v>0</v>
      </c>
      <c r="R33" s="14" t="n">
        <f aca="false">IF(NOT(U33),0,IF(K33="Sick Leave",1,IF(K33="Partial Sick Leave",P33/Settings!$B$9,0)))</f>
        <v>0</v>
      </c>
      <c r="S33" s="35" t="str">
        <f aca="false">IF(AND(OR(E33="Vacation",E33="Sick Leave",E33="Partial Vacation",E33="Partial Sick Leave"),NOT(U33)),"Leave not allowed on this day",IF(AND(E33="Manual Work",OR(NOT(ISNUMBER(F33)),NOT(ISNUMBER(G33)))),"Enter start and end",IF(AND(OR(E33="Partial Vacation",E33="Partial Sick Leave"),OR(NOT(ISNUMBER(H33)),NOT(ISNUMBER(I33)))),"Enter leave from and to",IF(AND(ISNUMBER(F33),ISNUMBER(G33),G33&lt;=F33),"End is before start",IF(AND(ISNUMBER(H33),ISNUMBER(I33),I33&lt;=H33),"Leave end is before start",IF(AND(ISNUMBER(F33),ISNUMBER(G33),ISNUMBER(H33),ISNUMBER(I33),F33&lt;I33,H33&lt;G33),"Work and leave hours overlap",IF(AND(E33&lt;&gt;"",WEEKDAY(A33)=7),"Saturday - administrator only","")))))))</f>
        <v/>
      </c>
      <c r="T33" s="36" t="n">
        <f aca="false">MONTH(A33)</f>
        <v>1</v>
      </c>
      <c r="U33" s="37" t="b">
        <f aca="false">OR(C33="Workday",C33="Eve")</f>
        <v>1</v>
      </c>
      <c r="V33" s="34" t="n">
        <f aca="false">IF(C33="Eve",Settings!$B$8,Settings!$B$7)</f>
        <v>0.6875</v>
      </c>
      <c r="W33" s="14" t="n">
        <f aca="false">IF(U33,(V33-Settings!$B$6)*24,0)</f>
        <v>8.5</v>
      </c>
    </row>
    <row r="34" customFormat="false" ht="15" hidden="false" customHeight="false" outlineLevel="0" collapsed="false">
      <c r="A34" s="29" t="n">
        <v>46050</v>
      </c>
      <c r="B34" s="30" t="str">
        <f aca="false">CHOOSE(WEEKDAY(A34),"Sun","Mon","Tue","Wed","Thu","Fri","Sat")</f>
        <v>Wed</v>
      </c>
      <c r="C34" s="30" t="str">
        <f aca="false">IF(IFERROR(INDEX(Holidays!$D$5:$D$60,MATCH(A34,Holidays!$A$5:$A$60,0)),"")="Holiday","Holiday",IF(WEEKDAY(A34)&gt;=6,"Weekend",IF(IFERROR(INDEX(Holidays!$D$5:$D$60,MATCH(A34,Holidays!$A$5:$A$60,0)),"")="Eve","Eve","Workday")))</f>
        <v>Workday</v>
      </c>
      <c r="D34" s="18" t="str">
        <f aca="false">IFERROR(INDEX(Holidays!$C$5:$C$60,MATCH(A34,Holidays!$A$5:$A$60,0)),"")</f>
        <v/>
      </c>
      <c r="E34" s="31"/>
      <c r="F34" s="32"/>
      <c r="G34" s="32"/>
      <c r="H34" s="32"/>
      <c r="I34" s="32"/>
      <c r="J34" s="31"/>
      <c r="K34" s="33" t="str">
        <f aca="false">IF(E34&lt;&gt;"",E34,IF(U34,"Present",IF(C34="Holiday","Holiday","Weekend")))</f>
        <v>Present</v>
      </c>
      <c r="L34" s="34" t="n">
        <f aca="false">IF(OR(K34="Present",K34="Manual Work",K34="Partial Vacation",K34="Partial Sick Leave"),IF(ISNUMBER(F34),F34,IF(AND(K34="Present",U34),Settings!$B$6,"")),"")</f>
        <v>0.333333333333333</v>
      </c>
      <c r="M34" s="34" t="n">
        <f aca="false">IF(OR(K34="Present",K34="Manual Work",K34="Partial Vacation",K34="Partial Sick Leave"),IF(ISNUMBER(G34),G34,IF(AND(K34="Present",U34),V34,"")),"")</f>
        <v>0.6875</v>
      </c>
      <c r="N34" s="14" t="n">
        <f aca="false">IF(AND(ISNUMBER(L34),ISNUMBER(M34)),MAX(0,(M34-L34)*24),0)</f>
        <v>8.5</v>
      </c>
      <c r="O34" s="14" t="n">
        <f aca="false">IF(NOT(U34),0,IF(K34="Vacation",IF(C34="Eve",Settings!$B$9*Settings!$B$11,W34),IF(K34="Partial Vacation",IF(AND(ISNUMBER(H34),ISNUMBER(I34)),MAX(0,(I34-H34)*24),0),0)))</f>
        <v>0</v>
      </c>
      <c r="P34" s="14" t="n">
        <f aca="false">IF(NOT(U34),0,IF(K34="Sick Leave",W34,IF(K34="Partial Sick Leave",IF(AND(ISNUMBER(H34),ISNUMBER(I34)),MAX(0,(I34-H34)*24),0),0)))</f>
        <v>0</v>
      </c>
      <c r="Q34" s="14" t="n">
        <f aca="false">IF(NOT(U34),0,IF(K34="Vacation",IF(C34="Eve",Settings!$B$11,1),IF(K34="Partial Vacation",O34/Settings!$B$9,0)))</f>
        <v>0</v>
      </c>
      <c r="R34" s="14" t="n">
        <f aca="false">IF(NOT(U34),0,IF(K34="Sick Leave",1,IF(K34="Partial Sick Leave",P34/Settings!$B$9,0)))</f>
        <v>0</v>
      </c>
      <c r="S34" s="35" t="str">
        <f aca="false">IF(AND(OR(E34="Vacation",E34="Sick Leave",E34="Partial Vacation",E34="Partial Sick Leave"),NOT(U34)),"Leave not allowed on this day",IF(AND(E34="Manual Work",OR(NOT(ISNUMBER(F34)),NOT(ISNUMBER(G34)))),"Enter start and end",IF(AND(OR(E34="Partial Vacation",E34="Partial Sick Leave"),OR(NOT(ISNUMBER(H34)),NOT(ISNUMBER(I34)))),"Enter leave from and to",IF(AND(ISNUMBER(F34),ISNUMBER(G34),G34&lt;=F34),"End is before start",IF(AND(ISNUMBER(H34),ISNUMBER(I34),I34&lt;=H34),"Leave end is before start",IF(AND(ISNUMBER(F34),ISNUMBER(G34),ISNUMBER(H34),ISNUMBER(I34),F34&lt;I34,H34&lt;G34),"Work and leave hours overlap",IF(AND(E34&lt;&gt;"",WEEKDAY(A34)=7),"Saturday - administrator only","")))))))</f>
        <v/>
      </c>
      <c r="T34" s="36" t="n">
        <f aca="false">MONTH(A34)</f>
        <v>1</v>
      </c>
      <c r="U34" s="37" t="b">
        <f aca="false">OR(C34="Workday",C34="Eve")</f>
        <v>1</v>
      </c>
      <c r="V34" s="34" t="n">
        <f aca="false">IF(C34="Eve",Settings!$B$8,Settings!$B$7)</f>
        <v>0.6875</v>
      </c>
      <c r="W34" s="14" t="n">
        <f aca="false">IF(U34,(V34-Settings!$B$6)*24,0)</f>
        <v>8.5</v>
      </c>
    </row>
    <row r="35" customFormat="false" ht="15" hidden="false" customHeight="false" outlineLevel="0" collapsed="false">
      <c r="A35" s="29" t="n">
        <v>46051</v>
      </c>
      <c r="B35" s="30" t="str">
        <f aca="false">CHOOSE(WEEKDAY(A35),"Sun","Mon","Tue","Wed","Thu","Fri","Sat")</f>
        <v>Thu</v>
      </c>
      <c r="C35" s="30" t="str">
        <f aca="false">IF(IFERROR(INDEX(Holidays!$D$5:$D$60,MATCH(A35,Holidays!$A$5:$A$60,0)),"")="Holiday","Holiday",IF(WEEKDAY(A35)&gt;=6,"Weekend",IF(IFERROR(INDEX(Holidays!$D$5:$D$60,MATCH(A35,Holidays!$A$5:$A$60,0)),"")="Eve","Eve","Workday")))</f>
        <v>Workday</v>
      </c>
      <c r="D35" s="18" t="str">
        <f aca="false">IFERROR(INDEX(Holidays!$C$5:$C$60,MATCH(A35,Holidays!$A$5:$A$60,0)),"")</f>
        <v/>
      </c>
      <c r="E35" s="31"/>
      <c r="F35" s="32"/>
      <c r="G35" s="32"/>
      <c r="H35" s="32"/>
      <c r="I35" s="32"/>
      <c r="J35" s="31"/>
      <c r="K35" s="33" t="str">
        <f aca="false">IF(E35&lt;&gt;"",E35,IF(U35,"Present",IF(C35="Holiday","Holiday","Weekend")))</f>
        <v>Present</v>
      </c>
      <c r="L35" s="34" t="n">
        <f aca="false">IF(OR(K35="Present",K35="Manual Work",K35="Partial Vacation",K35="Partial Sick Leave"),IF(ISNUMBER(F35),F35,IF(AND(K35="Present",U35),Settings!$B$6,"")),"")</f>
        <v>0.333333333333333</v>
      </c>
      <c r="M35" s="34" t="n">
        <f aca="false">IF(OR(K35="Present",K35="Manual Work",K35="Partial Vacation",K35="Partial Sick Leave"),IF(ISNUMBER(G35),G35,IF(AND(K35="Present",U35),V35,"")),"")</f>
        <v>0.6875</v>
      </c>
      <c r="N35" s="14" t="n">
        <f aca="false">IF(AND(ISNUMBER(L35),ISNUMBER(M35)),MAX(0,(M35-L35)*24),0)</f>
        <v>8.5</v>
      </c>
      <c r="O35" s="14" t="n">
        <f aca="false">IF(NOT(U35),0,IF(K35="Vacation",IF(C35="Eve",Settings!$B$9*Settings!$B$11,W35),IF(K35="Partial Vacation",IF(AND(ISNUMBER(H35),ISNUMBER(I35)),MAX(0,(I35-H35)*24),0),0)))</f>
        <v>0</v>
      </c>
      <c r="P35" s="14" t="n">
        <f aca="false">IF(NOT(U35),0,IF(K35="Sick Leave",W35,IF(K35="Partial Sick Leave",IF(AND(ISNUMBER(H35),ISNUMBER(I35)),MAX(0,(I35-H35)*24),0),0)))</f>
        <v>0</v>
      </c>
      <c r="Q35" s="14" t="n">
        <f aca="false">IF(NOT(U35),0,IF(K35="Vacation",IF(C35="Eve",Settings!$B$11,1),IF(K35="Partial Vacation",O35/Settings!$B$9,0)))</f>
        <v>0</v>
      </c>
      <c r="R35" s="14" t="n">
        <f aca="false">IF(NOT(U35),0,IF(K35="Sick Leave",1,IF(K35="Partial Sick Leave",P35/Settings!$B$9,0)))</f>
        <v>0</v>
      </c>
      <c r="S35" s="35" t="str">
        <f aca="false">IF(AND(OR(E35="Vacation",E35="Sick Leave",E35="Partial Vacation",E35="Partial Sick Leave"),NOT(U35)),"Leave not allowed on this day",IF(AND(E35="Manual Work",OR(NOT(ISNUMBER(F35)),NOT(ISNUMBER(G35)))),"Enter start and end",IF(AND(OR(E35="Partial Vacation",E35="Partial Sick Leave"),OR(NOT(ISNUMBER(H35)),NOT(ISNUMBER(I35)))),"Enter leave from and to",IF(AND(ISNUMBER(F35),ISNUMBER(G35),G35&lt;=F35),"End is before start",IF(AND(ISNUMBER(H35),ISNUMBER(I35),I35&lt;=H35),"Leave end is before start",IF(AND(ISNUMBER(F35),ISNUMBER(G35),ISNUMBER(H35),ISNUMBER(I35),F35&lt;I35,H35&lt;G35),"Work and leave hours overlap",IF(AND(E35&lt;&gt;"",WEEKDAY(A35)=7),"Saturday - administrator only","")))))))</f>
        <v/>
      </c>
      <c r="T35" s="36" t="n">
        <f aca="false">MONTH(A35)</f>
        <v>1</v>
      </c>
      <c r="U35" s="37" t="b">
        <f aca="false">OR(C35="Workday",C35="Eve")</f>
        <v>1</v>
      </c>
      <c r="V35" s="34" t="n">
        <f aca="false">IF(C35="Eve",Settings!$B$8,Settings!$B$7)</f>
        <v>0.6875</v>
      </c>
      <c r="W35" s="14" t="n">
        <f aca="false">IF(U35,(V35-Settings!$B$6)*24,0)</f>
        <v>8.5</v>
      </c>
    </row>
    <row r="36" customFormat="false" ht="15" hidden="false" customHeight="false" outlineLevel="0" collapsed="false">
      <c r="A36" s="29" t="n">
        <v>46052</v>
      </c>
      <c r="B36" s="30" t="str">
        <f aca="false">CHOOSE(WEEKDAY(A36),"Sun","Mon","Tue","Wed","Thu","Fri","Sat")</f>
        <v>Fri</v>
      </c>
      <c r="C36" s="30" t="str">
        <f aca="false">IF(IFERROR(INDEX(Holidays!$D$5:$D$60,MATCH(A36,Holidays!$A$5:$A$60,0)),"")="Holiday","Holiday",IF(WEEKDAY(A36)&gt;=6,"Weekend",IF(IFERROR(INDEX(Holidays!$D$5:$D$60,MATCH(A36,Holidays!$A$5:$A$60,0)),"")="Eve","Eve","Workday")))</f>
        <v>Weekend</v>
      </c>
      <c r="D36" s="18" t="str">
        <f aca="false">IFERROR(INDEX(Holidays!$C$5:$C$60,MATCH(A36,Holidays!$A$5:$A$60,0)),"")</f>
        <v/>
      </c>
      <c r="E36" s="31"/>
      <c r="F36" s="32"/>
      <c r="G36" s="32"/>
      <c r="H36" s="32"/>
      <c r="I36" s="32"/>
      <c r="J36" s="31"/>
      <c r="K36" s="33" t="str">
        <f aca="false">IF(E36&lt;&gt;"",E36,IF(U36,"Present",IF(C36="Holiday","Holiday","Weekend")))</f>
        <v>Weekend</v>
      </c>
      <c r="L36" s="34" t="str">
        <f aca="false">IF(OR(K36="Present",K36="Manual Work",K36="Partial Vacation",K36="Partial Sick Leave"),IF(ISNUMBER(F36),F36,IF(AND(K36="Present",U36),Settings!$B$6,"")),"")</f>
        <v/>
      </c>
      <c r="M36" s="34" t="str">
        <f aca="false">IF(OR(K36="Present",K36="Manual Work",K36="Partial Vacation",K36="Partial Sick Leave"),IF(ISNUMBER(G36),G36,IF(AND(K36="Present",U36),V36,"")),"")</f>
        <v/>
      </c>
      <c r="N36" s="14" t="n">
        <f aca="false">IF(AND(ISNUMBER(L36),ISNUMBER(M36)),MAX(0,(M36-L36)*24),0)</f>
        <v>0</v>
      </c>
      <c r="O36" s="14" t="n">
        <f aca="false">IF(NOT(U36),0,IF(K36="Vacation",IF(C36="Eve",Settings!$B$9*Settings!$B$11,W36),IF(K36="Partial Vacation",IF(AND(ISNUMBER(H36),ISNUMBER(I36)),MAX(0,(I36-H36)*24),0),0)))</f>
        <v>0</v>
      </c>
      <c r="P36" s="14" t="n">
        <f aca="false">IF(NOT(U36),0,IF(K36="Sick Leave",W36,IF(K36="Partial Sick Leave",IF(AND(ISNUMBER(H36),ISNUMBER(I36)),MAX(0,(I36-H36)*24),0),0)))</f>
        <v>0</v>
      </c>
      <c r="Q36" s="14" t="n">
        <f aca="false">IF(NOT(U36),0,IF(K36="Vacation",IF(C36="Eve",Settings!$B$11,1),IF(K36="Partial Vacation",O36/Settings!$B$9,0)))</f>
        <v>0</v>
      </c>
      <c r="R36" s="14" t="n">
        <f aca="false">IF(NOT(U36),0,IF(K36="Sick Leave",1,IF(K36="Partial Sick Leave",P36/Settings!$B$9,0)))</f>
        <v>0</v>
      </c>
      <c r="S36" s="35" t="str">
        <f aca="false">IF(AND(OR(E36="Vacation",E36="Sick Leave",E36="Partial Vacation",E36="Partial Sick Leave"),NOT(U36)),"Leave not allowed on this day",IF(AND(E36="Manual Work",OR(NOT(ISNUMBER(F36)),NOT(ISNUMBER(G36)))),"Enter start and end",IF(AND(OR(E36="Partial Vacation",E36="Partial Sick Leave"),OR(NOT(ISNUMBER(H36)),NOT(ISNUMBER(I36)))),"Enter leave from and to",IF(AND(ISNUMBER(F36),ISNUMBER(G36),G36&lt;=F36),"End is before start",IF(AND(ISNUMBER(H36),ISNUMBER(I36),I36&lt;=H36),"Leave end is before start",IF(AND(ISNUMBER(F36),ISNUMBER(G36),ISNUMBER(H36),ISNUMBER(I36),F36&lt;I36,H36&lt;G36),"Work and leave hours overlap",IF(AND(E36&lt;&gt;"",WEEKDAY(A36)=7),"Saturday - administrator only","")))))))</f>
        <v/>
      </c>
      <c r="T36" s="36" t="n">
        <f aca="false">MONTH(A36)</f>
        <v>1</v>
      </c>
      <c r="U36" s="37" t="b">
        <f aca="false">OR(C36="Workday",C36="Eve")</f>
        <v>0</v>
      </c>
      <c r="V36" s="34" t="n">
        <f aca="false">IF(C36="Eve",Settings!$B$8,Settings!$B$7)</f>
        <v>0.6875</v>
      </c>
      <c r="W36" s="14" t="n">
        <f aca="false">IF(U36,(V36-Settings!$B$6)*24,0)</f>
        <v>0</v>
      </c>
    </row>
    <row r="37" customFormat="false" ht="15" hidden="false" customHeight="false" outlineLevel="0" collapsed="false">
      <c r="A37" s="29" t="n">
        <v>46053</v>
      </c>
      <c r="B37" s="30" t="str">
        <f aca="false">CHOOSE(WEEKDAY(A37),"Sun","Mon","Tue","Wed","Thu","Fri","Sat")</f>
        <v>Sat</v>
      </c>
      <c r="C37" s="30" t="str">
        <f aca="false">IF(IFERROR(INDEX(Holidays!$D$5:$D$60,MATCH(A37,Holidays!$A$5:$A$60,0)),"")="Holiday","Holiday",IF(WEEKDAY(A37)&gt;=6,"Weekend",IF(IFERROR(INDEX(Holidays!$D$5:$D$60,MATCH(A37,Holidays!$A$5:$A$60,0)),"")="Eve","Eve","Workday")))</f>
        <v>Weekend</v>
      </c>
      <c r="D37" s="18" t="str">
        <f aca="false">IFERROR(INDEX(Holidays!$C$5:$C$60,MATCH(A37,Holidays!$A$5:$A$60,0)),"")</f>
        <v/>
      </c>
      <c r="E37" s="31"/>
      <c r="F37" s="32"/>
      <c r="G37" s="32"/>
      <c r="H37" s="32"/>
      <c r="I37" s="32"/>
      <c r="J37" s="31"/>
      <c r="K37" s="33" t="str">
        <f aca="false">IF(E37&lt;&gt;"",E37,IF(U37,"Present",IF(C37="Holiday","Holiday","Weekend")))</f>
        <v>Weekend</v>
      </c>
      <c r="L37" s="34" t="str">
        <f aca="false">IF(OR(K37="Present",K37="Manual Work",K37="Partial Vacation",K37="Partial Sick Leave"),IF(ISNUMBER(F37),F37,IF(AND(K37="Present",U37),Settings!$B$6,"")),"")</f>
        <v/>
      </c>
      <c r="M37" s="34" t="str">
        <f aca="false">IF(OR(K37="Present",K37="Manual Work",K37="Partial Vacation",K37="Partial Sick Leave"),IF(ISNUMBER(G37),G37,IF(AND(K37="Present",U37),V37,"")),"")</f>
        <v/>
      </c>
      <c r="N37" s="14" t="n">
        <f aca="false">IF(AND(ISNUMBER(L37),ISNUMBER(M37)),MAX(0,(M37-L37)*24),0)</f>
        <v>0</v>
      </c>
      <c r="O37" s="14" t="n">
        <f aca="false">IF(NOT(U37),0,IF(K37="Vacation",IF(C37="Eve",Settings!$B$9*Settings!$B$11,W37),IF(K37="Partial Vacation",IF(AND(ISNUMBER(H37),ISNUMBER(I37)),MAX(0,(I37-H37)*24),0),0)))</f>
        <v>0</v>
      </c>
      <c r="P37" s="14" t="n">
        <f aca="false">IF(NOT(U37),0,IF(K37="Sick Leave",W37,IF(K37="Partial Sick Leave",IF(AND(ISNUMBER(H37),ISNUMBER(I37)),MAX(0,(I37-H37)*24),0),0)))</f>
        <v>0</v>
      </c>
      <c r="Q37" s="14" t="n">
        <f aca="false">IF(NOT(U37),0,IF(K37="Vacation",IF(C37="Eve",Settings!$B$11,1),IF(K37="Partial Vacation",O37/Settings!$B$9,0)))</f>
        <v>0</v>
      </c>
      <c r="R37" s="14" t="n">
        <f aca="false">IF(NOT(U37),0,IF(K37="Sick Leave",1,IF(K37="Partial Sick Leave",P37/Settings!$B$9,0)))</f>
        <v>0</v>
      </c>
      <c r="S37" s="35" t="str">
        <f aca="false">IF(AND(OR(E37="Vacation",E37="Sick Leave",E37="Partial Vacation",E37="Partial Sick Leave"),NOT(U37)),"Leave not allowed on this day",IF(AND(E37="Manual Work",OR(NOT(ISNUMBER(F37)),NOT(ISNUMBER(G37)))),"Enter start and end",IF(AND(OR(E37="Partial Vacation",E37="Partial Sick Leave"),OR(NOT(ISNUMBER(H37)),NOT(ISNUMBER(I37)))),"Enter leave from and to",IF(AND(ISNUMBER(F37),ISNUMBER(G37),G37&lt;=F37),"End is before start",IF(AND(ISNUMBER(H37),ISNUMBER(I37),I37&lt;=H37),"Leave end is before start",IF(AND(ISNUMBER(F37),ISNUMBER(G37),ISNUMBER(H37),ISNUMBER(I37),F37&lt;I37,H37&lt;G37),"Work and leave hours overlap",IF(AND(E37&lt;&gt;"",WEEKDAY(A37)=7),"Saturday - administrator only","")))))))</f>
        <v/>
      </c>
      <c r="T37" s="36" t="n">
        <f aca="false">MONTH(A37)</f>
        <v>1</v>
      </c>
      <c r="U37" s="37" t="b">
        <f aca="false">OR(C37="Workday",C37="Eve")</f>
        <v>0</v>
      </c>
      <c r="V37" s="34" t="n">
        <f aca="false">IF(C37="Eve",Settings!$B$8,Settings!$B$7)</f>
        <v>0.6875</v>
      </c>
      <c r="W37" s="14" t="n">
        <f aca="false">IF(U37,(V37-Settings!$B$6)*24,0)</f>
        <v>0</v>
      </c>
    </row>
    <row r="38" customFormat="false" ht="15" hidden="false" customHeight="false" outlineLevel="0" collapsed="false">
      <c r="A38" s="29" t="n">
        <v>46054</v>
      </c>
      <c r="B38" s="30" t="str">
        <f aca="false">CHOOSE(WEEKDAY(A38),"Sun","Mon","Tue","Wed","Thu","Fri","Sat")</f>
        <v>Sun</v>
      </c>
      <c r="C38" s="30" t="str">
        <f aca="false">IF(IFERROR(INDEX(Holidays!$D$5:$D$60,MATCH(A38,Holidays!$A$5:$A$60,0)),"")="Holiday","Holiday",IF(WEEKDAY(A38)&gt;=6,"Weekend",IF(IFERROR(INDEX(Holidays!$D$5:$D$60,MATCH(A38,Holidays!$A$5:$A$60,0)),"")="Eve","Eve","Workday")))</f>
        <v>Workday</v>
      </c>
      <c r="D38" s="18" t="str">
        <f aca="false">IFERROR(INDEX(Holidays!$C$5:$C$60,MATCH(A38,Holidays!$A$5:$A$60,0)),"")</f>
        <v/>
      </c>
      <c r="E38" s="31"/>
      <c r="F38" s="32"/>
      <c r="G38" s="32"/>
      <c r="H38" s="32"/>
      <c r="I38" s="32"/>
      <c r="J38" s="31"/>
      <c r="K38" s="33" t="str">
        <f aca="false">IF(E38&lt;&gt;"",E38,IF(U38,"Present",IF(C38="Holiday","Holiday","Weekend")))</f>
        <v>Present</v>
      </c>
      <c r="L38" s="34" t="n">
        <f aca="false">IF(OR(K38="Present",K38="Manual Work",K38="Partial Vacation",K38="Partial Sick Leave"),IF(ISNUMBER(F38),F38,IF(AND(K38="Present",U38),Settings!$B$6,"")),"")</f>
        <v>0.333333333333333</v>
      </c>
      <c r="M38" s="34" t="n">
        <f aca="false">IF(OR(K38="Present",K38="Manual Work",K38="Partial Vacation",K38="Partial Sick Leave"),IF(ISNUMBER(G38),G38,IF(AND(K38="Present",U38),V38,"")),"")</f>
        <v>0.6875</v>
      </c>
      <c r="N38" s="14" t="n">
        <f aca="false">IF(AND(ISNUMBER(L38),ISNUMBER(M38)),MAX(0,(M38-L38)*24),0)</f>
        <v>8.5</v>
      </c>
      <c r="O38" s="14" t="n">
        <f aca="false">IF(NOT(U38),0,IF(K38="Vacation",IF(C38="Eve",Settings!$B$9*Settings!$B$11,W38),IF(K38="Partial Vacation",IF(AND(ISNUMBER(H38),ISNUMBER(I38)),MAX(0,(I38-H38)*24),0),0)))</f>
        <v>0</v>
      </c>
      <c r="P38" s="14" t="n">
        <f aca="false">IF(NOT(U38),0,IF(K38="Sick Leave",W38,IF(K38="Partial Sick Leave",IF(AND(ISNUMBER(H38),ISNUMBER(I38)),MAX(0,(I38-H38)*24),0),0)))</f>
        <v>0</v>
      </c>
      <c r="Q38" s="14" t="n">
        <f aca="false">IF(NOT(U38),0,IF(K38="Vacation",IF(C38="Eve",Settings!$B$11,1),IF(K38="Partial Vacation",O38/Settings!$B$9,0)))</f>
        <v>0</v>
      </c>
      <c r="R38" s="14" t="n">
        <f aca="false">IF(NOT(U38),0,IF(K38="Sick Leave",1,IF(K38="Partial Sick Leave",P38/Settings!$B$9,0)))</f>
        <v>0</v>
      </c>
      <c r="S38" s="35" t="str">
        <f aca="false">IF(AND(OR(E38="Vacation",E38="Sick Leave",E38="Partial Vacation",E38="Partial Sick Leave"),NOT(U38)),"Leave not allowed on this day",IF(AND(E38="Manual Work",OR(NOT(ISNUMBER(F38)),NOT(ISNUMBER(G38)))),"Enter start and end",IF(AND(OR(E38="Partial Vacation",E38="Partial Sick Leave"),OR(NOT(ISNUMBER(H38)),NOT(ISNUMBER(I38)))),"Enter leave from and to",IF(AND(ISNUMBER(F38),ISNUMBER(G38),G38&lt;=F38),"End is before start",IF(AND(ISNUMBER(H38),ISNUMBER(I38),I38&lt;=H38),"Leave end is before start",IF(AND(ISNUMBER(F38),ISNUMBER(G38),ISNUMBER(H38),ISNUMBER(I38),F38&lt;I38,H38&lt;G38),"Work and leave hours overlap",IF(AND(E38&lt;&gt;"",WEEKDAY(A38)=7),"Saturday - administrator only","")))))))</f>
        <v/>
      </c>
      <c r="T38" s="36" t="n">
        <f aca="false">MONTH(A38)</f>
        <v>2</v>
      </c>
      <c r="U38" s="37" t="b">
        <f aca="false">OR(C38="Workday",C38="Eve")</f>
        <v>1</v>
      </c>
      <c r="V38" s="34" t="n">
        <f aca="false">IF(C38="Eve",Settings!$B$8,Settings!$B$7)</f>
        <v>0.6875</v>
      </c>
      <c r="W38" s="14" t="n">
        <f aca="false">IF(U38,(V38-Settings!$B$6)*24,0)</f>
        <v>8.5</v>
      </c>
    </row>
    <row r="39" customFormat="false" ht="15" hidden="false" customHeight="false" outlineLevel="0" collapsed="false">
      <c r="A39" s="29" t="n">
        <v>46055</v>
      </c>
      <c r="B39" s="30" t="str">
        <f aca="false">CHOOSE(WEEKDAY(A39),"Sun","Mon","Tue","Wed","Thu","Fri","Sat")</f>
        <v>Mon</v>
      </c>
      <c r="C39" s="30" t="str">
        <f aca="false">IF(IFERROR(INDEX(Holidays!$D$5:$D$60,MATCH(A39,Holidays!$A$5:$A$60,0)),"")="Holiday","Holiday",IF(WEEKDAY(A39)&gt;=6,"Weekend",IF(IFERROR(INDEX(Holidays!$D$5:$D$60,MATCH(A39,Holidays!$A$5:$A$60,0)),"")="Eve","Eve","Workday")))</f>
        <v>Workday</v>
      </c>
      <c r="D39" s="18" t="str">
        <f aca="false">IFERROR(INDEX(Holidays!$C$5:$C$60,MATCH(A39,Holidays!$A$5:$A$60,0)),"")</f>
        <v/>
      </c>
      <c r="E39" s="31"/>
      <c r="F39" s="32"/>
      <c r="G39" s="32"/>
      <c r="H39" s="32"/>
      <c r="I39" s="32"/>
      <c r="J39" s="31"/>
      <c r="K39" s="33" t="str">
        <f aca="false">IF(E39&lt;&gt;"",E39,IF(U39,"Present",IF(C39="Holiday","Holiday","Weekend")))</f>
        <v>Present</v>
      </c>
      <c r="L39" s="34" t="n">
        <f aca="false">IF(OR(K39="Present",K39="Manual Work",K39="Partial Vacation",K39="Partial Sick Leave"),IF(ISNUMBER(F39),F39,IF(AND(K39="Present",U39),Settings!$B$6,"")),"")</f>
        <v>0.333333333333333</v>
      </c>
      <c r="M39" s="34" t="n">
        <f aca="false">IF(OR(K39="Present",K39="Manual Work",K39="Partial Vacation",K39="Partial Sick Leave"),IF(ISNUMBER(G39),G39,IF(AND(K39="Present",U39),V39,"")),"")</f>
        <v>0.6875</v>
      </c>
      <c r="N39" s="14" t="n">
        <f aca="false">IF(AND(ISNUMBER(L39),ISNUMBER(M39)),MAX(0,(M39-L39)*24),0)</f>
        <v>8.5</v>
      </c>
      <c r="O39" s="14" t="n">
        <f aca="false">IF(NOT(U39),0,IF(K39="Vacation",IF(C39="Eve",Settings!$B$9*Settings!$B$11,W39),IF(K39="Partial Vacation",IF(AND(ISNUMBER(H39),ISNUMBER(I39)),MAX(0,(I39-H39)*24),0),0)))</f>
        <v>0</v>
      </c>
      <c r="P39" s="14" t="n">
        <f aca="false">IF(NOT(U39),0,IF(K39="Sick Leave",W39,IF(K39="Partial Sick Leave",IF(AND(ISNUMBER(H39),ISNUMBER(I39)),MAX(0,(I39-H39)*24),0),0)))</f>
        <v>0</v>
      </c>
      <c r="Q39" s="14" t="n">
        <f aca="false">IF(NOT(U39),0,IF(K39="Vacation",IF(C39="Eve",Settings!$B$11,1),IF(K39="Partial Vacation",O39/Settings!$B$9,0)))</f>
        <v>0</v>
      </c>
      <c r="R39" s="14" t="n">
        <f aca="false">IF(NOT(U39),0,IF(K39="Sick Leave",1,IF(K39="Partial Sick Leave",P39/Settings!$B$9,0)))</f>
        <v>0</v>
      </c>
      <c r="S39" s="35" t="str">
        <f aca="false">IF(AND(OR(E39="Vacation",E39="Sick Leave",E39="Partial Vacation",E39="Partial Sick Leave"),NOT(U39)),"Leave not allowed on this day",IF(AND(E39="Manual Work",OR(NOT(ISNUMBER(F39)),NOT(ISNUMBER(G39)))),"Enter start and end",IF(AND(OR(E39="Partial Vacation",E39="Partial Sick Leave"),OR(NOT(ISNUMBER(H39)),NOT(ISNUMBER(I39)))),"Enter leave from and to",IF(AND(ISNUMBER(F39),ISNUMBER(G39),G39&lt;=F39),"End is before start",IF(AND(ISNUMBER(H39),ISNUMBER(I39),I39&lt;=H39),"Leave end is before start",IF(AND(ISNUMBER(F39),ISNUMBER(G39),ISNUMBER(H39),ISNUMBER(I39),F39&lt;I39,H39&lt;G39),"Work and leave hours overlap",IF(AND(E39&lt;&gt;"",WEEKDAY(A39)=7),"Saturday - administrator only","")))))))</f>
        <v/>
      </c>
      <c r="T39" s="36" t="n">
        <f aca="false">MONTH(A39)</f>
        <v>2</v>
      </c>
      <c r="U39" s="37" t="b">
        <f aca="false">OR(C39="Workday",C39="Eve")</f>
        <v>1</v>
      </c>
      <c r="V39" s="34" t="n">
        <f aca="false">IF(C39="Eve",Settings!$B$8,Settings!$B$7)</f>
        <v>0.6875</v>
      </c>
      <c r="W39" s="14" t="n">
        <f aca="false">IF(U39,(V39-Settings!$B$6)*24,0)</f>
        <v>8.5</v>
      </c>
    </row>
    <row r="40" customFormat="false" ht="15" hidden="false" customHeight="false" outlineLevel="0" collapsed="false">
      <c r="A40" s="29" t="n">
        <v>46056</v>
      </c>
      <c r="B40" s="30" t="str">
        <f aca="false">CHOOSE(WEEKDAY(A40),"Sun","Mon","Tue","Wed","Thu","Fri","Sat")</f>
        <v>Tue</v>
      </c>
      <c r="C40" s="30" t="str">
        <f aca="false">IF(IFERROR(INDEX(Holidays!$D$5:$D$60,MATCH(A40,Holidays!$A$5:$A$60,0)),"")="Holiday","Holiday",IF(WEEKDAY(A40)&gt;=6,"Weekend",IF(IFERROR(INDEX(Holidays!$D$5:$D$60,MATCH(A40,Holidays!$A$5:$A$60,0)),"")="Eve","Eve","Workday")))</f>
        <v>Workday</v>
      </c>
      <c r="D40" s="18" t="str">
        <f aca="false">IFERROR(INDEX(Holidays!$C$5:$C$60,MATCH(A40,Holidays!$A$5:$A$60,0)),"")</f>
        <v/>
      </c>
      <c r="E40" s="31"/>
      <c r="F40" s="32"/>
      <c r="G40" s="32"/>
      <c r="H40" s="32"/>
      <c r="I40" s="32"/>
      <c r="J40" s="31"/>
      <c r="K40" s="33" t="str">
        <f aca="false">IF(E40&lt;&gt;"",E40,IF(U40,"Present",IF(C40="Holiday","Holiday","Weekend")))</f>
        <v>Present</v>
      </c>
      <c r="L40" s="34" t="n">
        <f aca="false">IF(OR(K40="Present",K40="Manual Work",K40="Partial Vacation",K40="Partial Sick Leave"),IF(ISNUMBER(F40),F40,IF(AND(K40="Present",U40),Settings!$B$6,"")),"")</f>
        <v>0.333333333333333</v>
      </c>
      <c r="M40" s="34" t="n">
        <f aca="false">IF(OR(K40="Present",K40="Manual Work",K40="Partial Vacation",K40="Partial Sick Leave"),IF(ISNUMBER(G40),G40,IF(AND(K40="Present",U40),V40,"")),"")</f>
        <v>0.6875</v>
      </c>
      <c r="N40" s="14" t="n">
        <f aca="false">IF(AND(ISNUMBER(L40),ISNUMBER(M40)),MAX(0,(M40-L40)*24),0)</f>
        <v>8.5</v>
      </c>
      <c r="O40" s="14" t="n">
        <f aca="false">IF(NOT(U40),0,IF(K40="Vacation",IF(C40="Eve",Settings!$B$9*Settings!$B$11,W40),IF(K40="Partial Vacation",IF(AND(ISNUMBER(H40),ISNUMBER(I40)),MAX(0,(I40-H40)*24),0),0)))</f>
        <v>0</v>
      </c>
      <c r="P40" s="14" t="n">
        <f aca="false">IF(NOT(U40),0,IF(K40="Sick Leave",W40,IF(K40="Partial Sick Leave",IF(AND(ISNUMBER(H40),ISNUMBER(I40)),MAX(0,(I40-H40)*24),0),0)))</f>
        <v>0</v>
      </c>
      <c r="Q40" s="14" t="n">
        <f aca="false">IF(NOT(U40),0,IF(K40="Vacation",IF(C40="Eve",Settings!$B$11,1),IF(K40="Partial Vacation",O40/Settings!$B$9,0)))</f>
        <v>0</v>
      </c>
      <c r="R40" s="14" t="n">
        <f aca="false">IF(NOT(U40),0,IF(K40="Sick Leave",1,IF(K40="Partial Sick Leave",P40/Settings!$B$9,0)))</f>
        <v>0</v>
      </c>
      <c r="S40" s="35" t="str">
        <f aca="false">IF(AND(OR(E40="Vacation",E40="Sick Leave",E40="Partial Vacation",E40="Partial Sick Leave"),NOT(U40)),"Leave not allowed on this day",IF(AND(E40="Manual Work",OR(NOT(ISNUMBER(F40)),NOT(ISNUMBER(G40)))),"Enter start and end",IF(AND(OR(E40="Partial Vacation",E40="Partial Sick Leave"),OR(NOT(ISNUMBER(H40)),NOT(ISNUMBER(I40)))),"Enter leave from and to",IF(AND(ISNUMBER(F40),ISNUMBER(G40),G40&lt;=F40),"End is before start",IF(AND(ISNUMBER(H40),ISNUMBER(I40),I40&lt;=H40),"Leave end is before start",IF(AND(ISNUMBER(F40),ISNUMBER(G40),ISNUMBER(H40),ISNUMBER(I40),F40&lt;I40,H40&lt;G40),"Work and leave hours overlap",IF(AND(E40&lt;&gt;"",WEEKDAY(A40)=7),"Saturday - administrator only","")))))))</f>
        <v/>
      </c>
      <c r="T40" s="36" t="n">
        <f aca="false">MONTH(A40)</f>
        <v>2</v>
      </c>
      <c r="U40" s="37" t="b">
        <f aca="false">OR(C40="Workday",C40="Eve")</f>
        <v>1</v>
      </c>
      <c r="V40" s="34" t="n">
        <f aca="false">IF(C40="Eve",Settings!$B$8,Settings!$B$7)</f>
        <v>0.6875</v>
      </c>
      <c r="W40" s="14" t="n">
        <f aca="false">IF(U40,(V40-Settings!$B$6)*24,0)</f>
        <v>8.5</v>
      </c>
    </row>
    <row r="41" customFormat="false" ht="15" hidden="false" customHeight="false" outlineLevel="0" collapsed="false">
      <c r="A41" s="29" t="n">
        <v>46057</v>
      </c>
      <c r="B41" s="30" t="str">
        <f aca="false">CHOOSE(WEEKDAY(A41),"Sun","Mon","Tue","Wed","Thu","Fri","Sat")</f>
        <v>Wed</v>
      </c>
      <c r="C41" s="30" t="str">
        <f aca="false">IF(IFERROR(INDEX(Holidays!$D$5:$D$60,MATCH(A41,Holidays!$A$5:$A$60,0)),"")="Holiday","Holiday",IF(WEEKDAY(A41)&gt;=6,"Weekend",IF(IFERROR(INDEX(Holidays!$D$5:$D$60,MATCH(A41,Holidays!$A$5:$A$60,0)),"")="Eve","Eve","Workday")))</f>
        <v>Workday</v>
      </c>
      <c r="D41" s="18" t="str">
        <f aca="false">IFERROR(INDEX(Holidays!$C$5:$C$60,MATCH(A41,Holidays!$A$5:$A$60,0)),"")</f>
        <v/>
      </c>
      <c r="E41" s="31"/>
      <c r="F41" s="32"/>
      <c r="G41" s="32"/>
      <c r="H41" s="32"/>
      <c r="I41" s="32"/>
      <c r="J41" s="31"/>
      <c r="K41" s="33" t="str">
        <f aca="false">IF(E41&lt;&gt;"",E41,IF(U41,"Present",IF(C41="Holiday","Holiday","Weekend")))</f>
        <v>Present</v>
      </c>
      <c r="L41" s="34" t="n">
        <f aca="false">IF(OR(K41="Present",K41="Manual Work",K41="Partial Vacation",K41="Partial Sick Leave"),IF(ISNUMBER(F41),F41,IF(AND(K41="Present",U41),Settings!$B$6,"")),"")</f>
        <v>0.333333333333333</v>
      </c>
      <c r="M41" s="34" t="n">
        <f aca="false">IF(OR(K41="Present",K41="Manual Work",K41="Partial Vacation",K41="Partial Sick Leave"),IF(ISNUMBER(G41),G41,IF(AND(K41="Present",U41),V41,"")),"")</f>
        <v>0.6875</v>
      </c>
      <c r="N41" s="14" t="n">
        <f aca="false">IF(AND(ISNUMBER(L41),ISNUMBER(M41)),MAX(0,(M41-L41)*24),0)</f>
        <v>8.5</v>
      </c>
      <c r="O41" s="14" t="n">
        <f aca="false">IF(NOT(U41),0,IF(K41="Vacation",IF(C41="Eve",Settings!$B$9*Settings!$B$11,W41),IF(K41="Partial Vacation",IF(AND(ISNUMBER(H41),ISNUMBER(I41)),MAX(0,(I41-H41)*24),0),0)))</f>
        <v>0</v>
      </c>
      <c r="P41" s="14" t="n">
        <f aca="false">IF(NOT(U41),0,IF(K41="Sick Leave",W41,IF(K41="Partial Sick Leave",IF(AND(ISNUMBER(H41),ISNUMBER(I41)),MAX(0,(I41-H41)*24),0),0)))</f>
        <v>0</v>
      </c>
      <c r="Q41" s="14" t="n">
        <f aca="false">IF(NOT(U41),0,IF(K41="Vacation",IF(C41="Eve",Settings!$B$11,1),IF(K41="Partial Vacation",O41/Settings!$B$9,0)))</f>
        <v>0</v>
      </c>
      <c r="R41" s="14" t="n">
        <f aca="false">IF(NOT(U41),0,IF(K41="Sick Leave",1,IF(K41="Partial Sick Leave",P41/Settings!$B$9,0)))</f>
        <v>0</v>
      </c>
      <c r="S41" s="35" t="str">
        <f aca="false">IF(AND(OR(E41="Vacation",E41="Sick Leave",E41="Partial Vacation",E41="Partial Sick Leave"),NOT(U41)),"Leave not allowed on this day",IF(AND(E41="Manual Work",OR(NOT(ISNUMBER(F41)),NOT(ISNUMBER(G41)))),"Enter start and end",IF(AND(OR(E41="Partial Vacation",E41="Partial Sick Leave"),OR(NOT(ISNUMBER(H41)),NOT(ISNUMBER(I41)))),"Enter leave from and to",IF(AND(ISNUMBER(F41),ISNUMBER(G41),G41&lt;=F41),"End is before start",IF(AND(ISNUMBER(H41),ISNUMBER(I41),I41&lt;=H41),"Leave end is before start",IF(AND(ISNUMBER(F41),ISNUMBER(G41),ISNUMBER(H41),ISNUMBER(I41),F41&lt;I41,H41&lt;G41),"Work and leave hours overlap",IF(AND(E41&lt;&gt;"",WEEKDAY(A41)=7),"Saturday - administrator only","")))))))</f>
        <v/>
      </c>
      <c r="T41" s="36" t="n">
        <f aca="false">MONTH(A41)</f>
        <v>2</v>
      </c>
      <c r="U41" s="37" t="b">
        <f aca="false">OR(C41="Workday",C41="Eve")</f>
        <v>1</v>
      </c>
      <c r="V41" s="34" t="n">
        <f aca="false">IF(C41="Eve",Settings!$B$8,Settings!$B$7)</f>
        <v>0.6875</v>
      </c>
      <c r="W41" s="14" t="n">
        <f aca="false">IF(U41,(V41-Settings!$B$6)*24,0)</f>
        <v>8.5</v>
      </c>
    </row>
    <row r="42" customFormat="false" ht="15" hidden="false" customHeight="false" outlineLevel="0" collapsed="false">
      <c r="A42" s="29" t="n">
        <v>46058</v>
      </c>
      <c r="B42" s="30" t="str">
        <f aca="false">CHOOSE(WEEKDAY(A42),"Sun","Mon","Tue","Wed","Thu","Fri","Sat")</f>
        <v>Thu</v>
      </c>
      <c r="C42" s="30" t="str">
        <f aca="false">IF(IFERROR(INDEX(Holidays!$D$5:$D$60,MATCH(A42,Holidays!$A$5:$A$60,0)),"")="Holiday","Holiday",IF(WEEKDAY(A42)&gt;=6,"Weekend",IF(IFERROR(INDEX(Holidays!$D$5:$D$60,MATCH(A42,Holidays!$A$5:$A$60,0)),"")="Eve","Eve","Workday")))</f>
        <v>Workday</v>
      </c>
      <c r="D42" s="18" t="str">
        <f aca="false">IFERROR(INDEX(Holidays!$C$5:$C$60,MATCH(A42,Holidays!$A$5:$A$60,0)),"")</f>
        <v/>
      </c>
      <c r="E42" s="31"/>
      <c r="F42" s="32"/>
      <c r="G42" s="32"/>
      <c r="H42" s="32"/>
      <c r="I42" s="32"/>
      <c r="J42" s="31"/>
      <c r="K42" s="33" t="str">
        <f aca="false">IF(E42&lt;&gt;"",E42,IF(U42,"Present",IF(C42="Holiday","Holiday","Weekend")))</f>
        <v>Present</v>
      </c>
      <c r="L42" s="34" t="n">
        <f aca="false">IF(OR(K42="Present",K42="Manual Work",K42="Partial Vacation",K42="Partial Sick Leave"),IF(ISNUMBER(F42),F42,IF(AND(K42="Present",U42),Settings!$B$6,"")),"")</f>
        <v>0.333333333333333</v>
      </c>
      <c r="M42" s="34" t="n">
        <f aca="false">IF(OR(K42="Present",K42="Manual Work",K42="Partial Vacation",K42="Partial Sick Leave"),IF(ISNUMBER(G42),G42,IF(AND(K42="Present",U42),V42,"")),"")</f>
        <v>0.6875</v>
      </c>
      <c r="N42" s="14" t="n">
        <f aca="false">IF(AND(ISNUMBER(L42),ISNUMBER(M42)),MAX(0,(M42-L42)*24),0)</f>
        <v>8.5</v>
      </c>
      <c r="O42" s="14" t="n">
        <f aca="false">IF(NOT(U42),0,IF(K42="Vacation",IF(C42="Eve",Settings!$B$9*Settings!$B$11,W42),IF(K42="Partial Vacation",IF(AND(ISNUMBER(H42),ISNUMBER(I42)),MAX(0,(I42-H42)*24),0),0)))</f>
        <v>0</v>
      </c>
      <c r="P42" s="14" t="n">
        <f aca="false">IF(NOT(U42),0,IF(K42="Sick Leave",W42,IF(K42="Partial Sick Leave",IF(AND(ISNUMBER(H42),ISNUMBER(I42)),MAX(0,(I42-H42)*24),0),0)))</f>
        <v>0</v>
      </c>
      <c r="Q42" s="14" t="n">
        <f aca="false">IF(NOT(U42),0,IF(K42="Vacation",IF(C42="Eve",Settings!$B$11,1),IF(K42="Partial Vacation",O42/Settings!$B$9,0)))</f>
        <v>0</v>
      </c>
      <c r="R42" s="14" t="n">
        <f aca="false">IF(NOT(U42),0,IF(K42="Sick Leave",1,IF(K42="Partial Sick Leave",P42/Settings!$B$9,0)))</f>
        <v>0</v>
      </c>
      <c r="S42" s="35" t="str">
        <f aca="false">IF(AND(OR(E42="Vacation",E42="Sick Leave",E42="Partial Vacation",E42="Partial Sick Leave"),NOT(U42)),"Leave not allowed on this day",IF(AND(E42="Manual Work",OR(NOT(ISNUMBER(F42)),NOT(ISNUMBER(G42)))),"Enter start and end",IF(AND(OR(E42="Partial Vacation",E42="Partial Sick Leave"),OR(NOT(ISNUMBER(H42)),NOT(ISNUMBER(I42)))),"Enter leave from and to",IF(AND(ISNUMBER(F42),ISNUMBER(G42),G42&lt;=F42),"End is before start",IF(AND(ISNUMBER(H42),ISNUMBER(I42),I42&lt;=H42),"Leave end is before start",IF(AND(ISNUMBER(F42),ISNUMBER(G42),ISNUMBER(H42),ISNUMBER(I42),F42&lt;I42,H42&lt;G42),"Work and leave hours overlap",IF(AND(E42&lt;&gt;"",WEEKDAY(A42)=7),"Saturday - administrator only","")))))))</f>
        <v/>
      </c>
      <c r="T42" s="36" t="n">
        <f aca="false">MONTH(A42)</f>
        <v>2</v>
      </c>
      <c r="U42" s="37" t="b">
        <f aca="false">OR(C42="Workday",C42="Eve")</f>
        <v>1</v>
      </c>
      <c r="V42" s="34" t="n">
        <f aca="false">IF(C42="Eve",Settings!$B$8,Settings!$B$7)</f>
        <v>0.6875</v>
      </c>
      <c r="W42" s="14" t="n">
        <f aca="false">IF(U42,(V42-Settings!$B$6)*24,0)</f>
        <v>8.5</v>
      </c>
    </row>
    <row r="43" customFormat="false" ht="15" hidden="false" customHeight="false" outlineLevel="0" collapsed="false">
      <c r="A43" s="29" t="n">
        <v>46059</v>
      </c>
      <c r="B43" s="30" t="str">
        <f aca="false">CHOOSE(WEEKDAY(A43),"Sun","Mon","Tue","Wed","Thu","Fri","Sat")</f>
        <v>Fri</v>
      </c>
      <c r="C43" s="30" t="str">
        <f aca="false">IF(IFERROR(INDEX(Holidays!$D$5:$D$60,MATCH(A43,Holidays!$A$5:$A$60,0)),"")="Holiday","Holiday",IF(WEEKDAY(A43)&gt;=6,"Weekend",IF(IFERROR(INDEX(Holidays!$D$5:$D$60,MATCH(A43,Holidays!$A$5:$A$60,0)),"")="Eve","Eve","Workday")))</f>
        <v>Weekend</v>
      </c>
      <c r="D43" s="18" t="str">
        <f aca="false">IFERROR(INDEX(Holidays!$C$5:$C$60,MATCH(A43,Holidays!$A$5:$A$60,0)),"")</f>
        <v/>
      </c>
      <c r="E43" s="31"/>
      <c r="F43" s="32"/>
      <c r="G43" s="32"/>
      <c r="H43" s="32"/>
      <c r="I43" s="32"/>
      <c r="J43" s="31"/>
      <c r="K43" s="33" t="str">
        <f aca="false">IF(E43&lt;&gt;"",E43,IF(U43,"Present",IF(C43="Holiday","Holiday","Weekend")))</f>
        <v>Weekend</v>
      </c>
      <c r="L43" s="34" t="str">
        <f aca="false">IF(OR(K43="Present",K43="Manual Work",K43="Partial Vacation",K43="Partial Sick Leave"),IF(ISNUMBER(F43),F43,IF(AND(K43="Present",U43),Settings!$B$6,"")),"")</f>
        <v/>
      </c>
      <c r="M43" s="34" t="str">
        <f aca="false">IF(OR(K43="Present",K43="Manual Work",K43="Partial Vacation",K43="Partial Sick Leave"),IF(ISNUMBER(G43),G43,IF(AND(K43="Present",U43),V43,"")),"")</f>
        <v/>
      </c>
      <c r="N43" s="14" t="n">
        <f aca="false">IF(AND(ISNUMBER(L43),ISNUMBER(M43)),MAX(0,(M43-L43)*24),0)</f>
        <v>0</v>
      </c>
      <c r="O43" s="14" t="n">
        <f aca="false">IF(NOT(U43),0,IF(K43="Vacation",IF(C43="Eve",Settings!$B$9*Settings!$B$11,W43),IF(K43="Partial Vacation",IF(AND(ISNUMBER(H43),ISNUMBER(I43)),MAX(0,(I43-H43)*24),0),0)))</f>
        <v>0</v>
      </c>
      <c r="P43" s="14" t="n">
        <f aca="false">IF(NOT(U43),0,IF(K43="Sick Leave",W43,IF(K43="Partial Sick Leave",IF(AND(ISNUMBER(H43),ISNUMBER(I43)),MAX(0,(I43-H43)*24),0),0)))</f>
        <v>0</v>
      </c>
      <c r="Q43" s="14" t="n">
        <f aca="false">IF(NOT(U43),0,IF(K43="Vacation",IF(C43="Eve",Settings!$B$11,1),IF(K43="Partial Vacation",O43/Settings!$B$9,0)))</f>
        <v>0</v>
      </c>
      <c r="R43" s="14" t="n">
        <f aca="false">IF(NOT(U43),0,IF(K43="Sick Leave",1,IF(K43="Partial Sick Leave",P43/Settings!$B$9,0)))</f>
        <v>0</v>
      </c>
      <c r="S43" s="35" t="str">
        <f aca="false">IF(AND(OR(E43="Vacation",E43="Sick Leave",E43="Partial Vacation",E43="Partial Sick Leave"),NOT(U43)),"Leave not allowed on this day",IF(AND(E43="Manual Work",OR(NOT(ISNUMBER(F43)),NOT(ISNUMBER(G43)))),"Enter start and end",IF(AND(OR(E43="Partial Vacation",E43="Partial Sick Leave"),OR(NOT(ISNUMBER(H43)),NOT(ISNUMBER(I43)))),"Enter leave from and to",IF(AND(ISNUMBER(F43),ISNUMBER(G43),G43&lt;=F43),"End is before start",IF(AND(ISNUMBER(H43),ISNUMBER(I43),I43&lt;=H43),"Leave end is before start",IF(AND(ISNUMBER(F43),ISNUMBER(G43),ISNUMBER(H43),ISNUMBER(I43),F43&lt;I43,H43&lt;G43),"Work and leave hours overlap",IF(AND(E43&lt;&gt;"",WEEKDAY(A43)=7),"Saturday - administrator only","")))))))</f>
        <v/>
      </c>
      <c r="T43" s="36" t="n">
        <f aca="false">MONTH(A43)</f>
        <v>2</v>
      </c>
      <c r="U43" s="37" t="b">
        <f aca="false">OR(C43="Workday",C43="Eve")</f>
        <v>0</v>
      </c>
      <c r="V43" s="34" t="n">
        <f aca="false">IF(C43="Eve",Settings!$B$8,Settings!$B$7)</f>
        <v>0.6875</v>
      </c>
      <c r="W43" s="14" t="n">
        <f aca="false">IF(U43,(V43-Settings!$B$6)*24,0)</f>
        <v>0</v>
      </c>
    </row>
    <row r="44" customFormat="false" ht="15" hidden="false" customHeight="false" outlineLevel="0" collapsed="false">
      <c r="A44" s="29" t="n">
        <v>46060</v>
      </c>
      <c r="B44" s="30" t="str">
        <f aca="false">CHOOSE(WEEKDAY(A44),"Sun","Mon","Tue","Wed","Thu","Fri","Sat")</f>
        <v>Sat</v>
      </c>
      <c r="C44" s="30" t="str">
        <f aca="false">IF(IFERROR(INDEX(Holidays!$D$5:$D$60,MATCH(A44,Holidays!$A$5:$A$60,0)),"")="Holiday","Holiday",IF(WEEKDAY(A44)&gt;=6,"Weekend",IF(IFERROR(INDEX(Holidays!$D$5:$D$60,MATCH(A44,Holidays!$A$5:$A$60,0)),"")="Eve","Eve","Workday")))</f>
        <v>Weekend</v>
      </c>
      <c r="D44" s="18" t="str">
        <f aca="false">IFERROR(INDEX(Holidays!$C$5:$C$60,MATCH(A44,Holidays!$A$5:$A$60,0)),"")</f>
        <v/>
      </c>
      <c r="E44" s="31"/>
      <c r="F44" s="32"/>
      <c r="G44" s="32"/>
      <c r="H44" s="32"/>
      <c r="I44" s="32"/>
      <c r="J44" s="31"/>
      <c r="K44" s="33" t="str">
        <f aca="false">IF(E44&lt;&gt;"",E44,IF(U44,"Present",IF(C44="Holiday","Holiday","Weekend")))</f>
        <v>Weekend</v>
      </c>
      <c r="L44" s="34" t="str">
        <f aca="false">IF(OR(K44="Present",K44="Manual Work",K44="Partial Vacation",K44="Partial Sick Leave"),IF(ISNUMBER(F44),F44,IF(AND(K44="Present",U44),Settings!$B$6,"")),"")</f>
        <v/>
      </c>
      <c r="M44" s="34" t="str">
        <f aca="false">IF(OR(K44="Present",K44="Manual Work",K44="Partial Vacation",K44="Partial Sick Leave"),IF(ISNUMBER(G44),G44,IF(AND(K44="Present",U44),V44,"")),"")</f>
        <v/>
      </c>
      <c r="N44" s="14" t="n">
        <f aca="false">IF(AND(ISNUMBER(L44),ISNUMBER(M44)),MAX(0,(M44-L44)*24),0)</f>
        <v>0</v>
      </c>
      <c r="O44" s="14" t="n">
        <f aca="false">IF(NOT(U44),0,IF(K44="Vacation",IF(C44="Eve",Settings!$B$9*Settings!$B$11,W44),IF(K44="Partial Vacation",IF(AND(ISNUMBER(H44),ISNUMBER(I44)),MAX(0,(I44-H44)*24),0),0)))</f>
        <v>0</v>
      </c>
      <c r="P44" s="14" t="n">
        <f aca="false">IF(NOT(U44),0,IF(K44="Sick Leave",W44,IF(K44="Partial Sick Leave",IF(AND(ISNUMBER(H44),ISNUMBER(I44)),MAX(0,(I44-H44)*24),0),0)))</f>
        <v>0</v>
      </c>
      <c r="Q44" s="14" t="n">
        <f aca="false">IF(NOT(U44),0,IF(K44="Vacation",IF(C44="Eve",Settings!$B$11,1),IF(K44="Partial Vacation",O44/Settings!$B$9,0)))</f>
        <v>0</v>
      </c>
      <c r="R44" s="14" t="n">
        <f aca="false">IF(NOT(U44),0,IF(K44="Sick Leave",1,IF(K44="Partial Sick Leave",P44/Settings!$B$9,0)))</f>
        <v>0</v>
      </c>
      <c r="S44" s="35" t="str">
        <f aca="false">IF(AND(OR(E44="Vacation",E44="Sick Leave",E44="Partial Vacation",E44="Partial Sick Leave"),NOT(U44)),"Leave not allowed on this day",IF(AND(E44="Manual Work",OR(NOT(ISNUMBER(F44)),NOT(ISNUMBER(G44)))),"Enter start and end",IF(AND(OR(E44="Partial Vacation",E44="Partial Sick Leave"),OR(NOT(ISNUMBER(H44)),NOT(ISNUMBER(I44)))),"Enter leave from and to",IF(AND(ISNUMBER(F44),ISNUMBER(G44),G44&lt;=F44),"End is before start",IF(AND(ISNUMBER(H44),ISNUMBER(I44),I44&lt;=H44),"Leave end is before start",IF(AND(ISNUMBER(F44),ISNUMBER(G44),ISNUMBER(H44),ISNUMBER(I44),F44&lt;I44,H44&lt;G44),"Work and leave hours overlap",IF(AND(E44&lt;&gt;"",WEEKDAY(A44)=7),"Saturday - administrator only","")))))))</f>
        <v/>
      </c>
      <c r="T44" s="36" t="n">
        <f aca="false">MONTH(A44)</f>
        <v>2</v>
      </c>
      <c r="U44" s="37" t="b">
        <f aca="false">OR(C44="Workday",C44="Eve")</f>
        <v>0</v>
      </c>
      <c r="V44" s="34" t="n">
        <f aca="false">IF(C44="Eve",Settings!$B$8,Settings!$B$7)</f>
        <v>0.6875</v>
      </c>
      <c r="W44" s="14" t="n">
        <f aca="false">IF(U44,(V44-Settings!$B$6)*24,0)</f>
        <v>0</v>
      </c>
    </row>
    <row r="45" customFormat="false" ht="15" hidden="false" customHeight="false" outlineLevel="0" collapsed="false">
      <c r="A45" s="29" t="n">
        <v>46061</v>
      </c>
      <c r="B45" s="30" t="str">
        <f aca="false">CHOOSE(WEEKDAY(A45),"Sun","Mon","Tue","Wed","Thu","Fri","Sat")</f>
        <v>Sun</v>
      </c>
      <c r="C45" s="30" t="str">
        <f aca="false">IF(IFERROR(INDEX(Holidays!$D$5:$D$60,MATCH(A45,Holidays!$A$5:$A$60,0)),"")="Holiday","Holiday",IF(WEEKDAY(A45)&gt;=6,"Weekend",IF(IFERROR(INDEX(Holidays!$D$5:$D$60,MATCH(A45,Holidays!$A$5:$A$60,0)),"")="Eve","Eve","Workday")))</f>
        <v>Workday</v>
      </c>
      <c r="D45" s="18" t="str">
        <f aca="false">IFERROR(INDEX(Holidays!$C$5:$C$60,MATCH(A45,Holidays!$A$5:$A$60,0)),"")</f>
        <v/>
      </c>
      <c r="E45" s="31"/>
      <c r="F45" s="32"/>
      <c r="G45" s="32"/>
      <c r="H45" s="32"/>
      <c r="I45" s="32"/>
      <c r="J45" s="31"/>
      <c r="K45" s="33" t="str">
        <f aca="false">IF(E45&lt;&gt;"",E45,IF(U45,"Present",IF(C45="Holiday","Holiday","Weekend")))</f>
        <v>Present</v>
      </c>
      <c r="L45" s="34" t="n">
        <f aca="false">IF(OR(K45="Present",K45="Manual Work",K45="Partial Vacation",K45="Partial Sick Leave"),IF(ISNUMBER(F45),F45,IF(AND(K45="Present",U45),Settings!$B$6,"")),"")</f>
        <v>0.333333333333333</v>
      </c>
      <c r="M45" s="34" t="n">
        <f aca="false">IF(OR(K45="Present",K45="Manual Work",K45="Partial Vacation",K45="Partial Sick Leave"),IF(ISNUMBER(G45),G45,IF(AND(K45="Present",U45),V45,"")),"")</f>
        <v>0.6875</v>
      </c>
      <c r="N45" s="14" t="n">
        <f aca="false">IF(AND(ISNUMBER(L45),ISNUMBER(M45)),MAX(0,(M45-L45)*24),0)</f>
        <v>8.5</v>
      </c>
      <c r="O45" s="14" t="n">
        <f aca="false">IF(NOT(U45),0,IF(K45="Vacation",IF(C45="Eve",Settings!$B$9*Settings!$B$11,W45),IF(K45="Partial Vacation",IF(AND(ISNUMBER(H45),ISNUMBER(I45)),MAX(0,(I45-H45)*24),0),0)))</f>
        <v>0</v>
      </c>
      <c r="P45" s="14" t="n">
        <f aca="false">IF(NOT(U45),0,IF(K45="Sick Leave",W45,IF(K45="Partial Sick Leave",IF(AND(ISNUMBER(H45),ISNUMBER(I45)),MAX(0,(I45-H45)*24),0),0)))</f>
        <v>0</v>
      </c>
      <c r="Q45" s="14" t="n">
        <f aca="false">IF(NOT(U45),0,IF(K45="Vacation",IF(C45="Eve",Settings!$B$11,1),IF(K45="Partial Vacation",O45/Settings!$B$9,0)))</f>
        <v>0</v>
      </c>
      <c r="R45" s="14" t="n">
        <f aca="false">IF(NOT(U45),0,IF(K45="Sick Leave",1,IF(K45="Partial Sick Leave",P45/Settings!$B$9,0)))</f>
        <v>0</v>
      </c>
      <c r="S45" s="35" t="str">
        <f aca="false">IF(AND(OR(E45="Vacation",E45="Sick Leave",E45="Partial Vacation",E45="Partial Sick Leave"),NOT(U45)),"Leave not allowed on this day",IF(AND(E45="Manual Work",OR(NOT(ISNUMBER(F45)),NOT(ISNUMBER(G45)))),"Enter start and end",IF(AND(OR(E45="Partial Vacation",E45="Partial Sick Leave"),OR(NOT(ISNUMBER(H45)),NOT(ISNUMBER(I45)))),"Enter leave from and to",IF(AND(ISNUMBER(F45),ISNUMBER(G45),G45&lt;=F45),"End is before start",IF(AND(ISNUMBER(H45),ISNUMBER(I45),I45&lt;=H45),"Leave end is before start",IF(AND(ISNUMBER(F45),ISNUMBER(G45),ISNUMBER(H45),ISNUMBER(I45),F45&lt;I45,H45&lt;G45),"Work and leave hours overlap",IF(AND(E45&lt;&gt;"",WEEKDAY(A45)=7),"Saturday - administrator only","")))))))</f>
        <v/>
      </c>
      <c r="T45" s="36" t="n">
        <f aca="false">MONTH(A45)</f>
        <v>2</v>
      </c>
      <c r="U45" s="37" t="b">
        <f aca="false">OR(C45="Workday",C45="Eve")</f>
        <v>1</v>
      </c>
      <c r="V45" s="34" t="n">
        <f aca="false">IF(C45="Eve",Settings!$B$8,Settings!$B$7)</f>
        <v>0.6875</v>
      </c>
      <c r="W45" s="14" t="n">
        <f aca="false">IF(U45,(V45-Settings!$B$6)*24,0)</f>
        <v>8.5</v>
      </c>
    </row>
    <row r="46" customFormat="false" ht="15" hidden="false" customHeight="false" outlineLevel="0" collapsed="false">
      <c r="A46" s="29" t="n">
        <v>46062</v>
      </c>
      <c r="B46" s="30" t="str">
        <f aca="false">CHOOSE(WEEKDAY(A46),"Sun","Mon","Tue","Wed","Thu","Fri","Sat")</f>
        <v>Mon</v>
      </c>
      <c r="C46" s="30" t="str">
        <f aca="false">IF(IFERROR(INDEX(Holidays!$D$5:$D$60,MATCH(A46,Holidays!$A$5:$A$60,0)),"")="Holiday","Holiday",IF(WEEKDAY(A46)&gt;=6,"Weekend",IF(IFERROR(INDEX(Holidays!$D$5:$D$60,MATCH(A46,Holidays!$A$5:$A$60,0)),"")="Eve","Eve","Workday")))</f>
        <v>Workday</v>
      </c>
      <c r="D46" s="18" t="str">
        <f aca="false">IFERROR(INDEX(Holidays!$C$5:$C$60,MATCH(A46,Holidays!$A$5:$A$60,0)),"")</f>
        <v/>
      </c>
      <c r="E46" s="31"/>
      <c r="F46" s="32"/>
      <c r="G46" s="32"/>
      <c r="H46" s="32"/>
      <c r="I46" s="32"/>
      <c r="J46" s="31"/>
      <c r="K46" s="33" t="str">
        <f aca="false">IF(E46&lt;&gt;"",E46,IF(U46,"Present",IF(C46="Holiday","Holiday","Weekend")))</f>
        <v>Present</v>
      </c>
      <c r="L46" s="34" t="n">
        <f aca="false">IF(OR(K46="Present",K46="Manual Work",K46="Partial Vacation",K46="Partial Sick Leave"),IF(ISNUMBER(F46),F46,IF(AND(K46="Present",U46),Settings!$B$6,"")),"")</f>
        <v>0.333333333333333</v>
      </c>
      <c r="M46" s="34" t="n">
        <f aca="false">IF(OR(K46="Present",K46="Manual Work",K46="Partial Vacation",K46="Partial Sick Leave"),IF(ISNUMBER(G46),G46,IF(AND(K46="Present",U46),V46,"")),"")</f>
        <v>0.6875</v>
      </c>
      <c r="N46" s="14" t="n">
        <f aca="false">IF(AND(ISNUMBER(L46),ISNUMBER(M46)),MAX(0,(M46-L46)*24),0)</f>
        <v>8.5</v>
      </c>
      <c r="O46" s="14" t="n">
        <f aca="false">IF(NOT(U46),0,IF(K46="Vacation",IF(C46="Eve",Settings!$B$9*Settings!$B$11,W46),IF(K46="Partial Vacation",IF(AND(ISNUMBER(H46),ISNUMBER(I46)),MAX(0,(I46-H46)*24),0),0)))</f>
        <v>0</v>
      </c>
      <c r="P46" s="14" t="n">
        <f aca="false">IF(NOT(U46),0,IF(K46="Sick Leave",W46,IF(K46="Partial Sick Leave",IF(AND(ISNUMBER(H46),ISNUMBER(I46)),MAX(0,(I46-H46)*24),0),0)))</f>
        <v>0</v>
      </c>
      <c r="Q46" s="14" t="n">
        <f aca="false">IF(NOT(U46),0,IF(K46="Vacation",IF(C46="Eve",Settings!$B$11,1),IF(K46="Partial Vacation",O46/Settings!$B$9,0)))</f>
        <v>0</v>
      </c>
      <c r="R46" s="14" t="n">
        <f aca="false">IF(NOT(U46),0,IF(K46="Sick Leave",1,IF(K46="Partial Sick Leave",P46/Settings!$B$9,0)))</f>
        <v>0</v>
      </c>
      <c r="S46" s="35" t="str">
        <f aca="false">IF(AND(OR(E46="Vacation",E46="Sick Leave",E46="Partial Vacation",E46="Partial Sick Leave"),NOT(U46)),"Leave not allowed on this day",IF(AND(E46="Manual Work",OR(NOT(ISNUMBER(F46)),NOT(ISNUMBER(G46)))),"Enter start and end",IF(AND(OR(E46="Partial Vacation",E46="Partial Sick Leave"),OR(NOT(ISNUMBER(H46)),NOT(ISNUMBER(I46)))),"Enter leave from and to",IF(AND(ISNUMBER(F46),ISNUMBER(G46),G46&lt;=F46),"End is before start",IF(AND(ISNUMBER(H46),ISNUMBER(I46),I46&lt;=H46),"Leave end is before start",IF(AND(ISNUMBER(F46),ISNUMBER(G46),ISNUMBER(H46),ISNUMBER(I46),F46&lt;I46,H46&lt;G46),"Work and leave hours overlap",IF(AND(E46&lt;&gt;"",WEEKDAY(A46)=7),"Saturday - administrator only","")))))))</f>
        <v/>
      </c>
      <c r="T46" s="36" t="n">
        <f aca="false">MONTH(A46)</f>
        <v>2</v>
      </c>
      <c r="U46" s="37" t="b">
        <f aca="false">OR(C46="Workday",C46="Eve")</f>
        <v>1</v>
      </c>
      <c r="V46" s="34" t="n">
        <f aca="false">IF(C46="Eve",Settings!$B$8,Settings!$B$7)</f>
        <v>0.6875</v>
      </c>
      <c r="W46" s="14" t="n">
        <f aca="false">IF(U46,(V46-Settings!$B$6)*24,0)</f>
        <v>8.5</v>
      </c>
    </row>
    <row r="47" customFormat="false" ht="15" hidden="false" customHeight="false" outlineLevel="0" collapsed="false">
      <c r="A47" s="29" t="n">
        <v>46063</v>
      </c>
      <c r="B47" s="30" t="str">
        <f aca="false">CHOOSE(WEEKDAY(A47),"Sun","Mon","Tue","Wed","Thu","Fri","Sat")</f>
        <v>Tue</v>
      </c>
      <c r="C47" s="30" t="str">
        <f aca="false">IF(IFERROR(INDEX(Holidays!$D$5:$D$60,MATCH(A47,Holidays!$A$5:$A$60,0)),"")="Holiday","Holiday",IF(WEEKDAY(A47)&gt;=6,"Weekend",IF(IFERROR(INDEX(Holidays!$D$5:$D$60,MATCH(A47,Holidays!$A$5:$A$60,0)),"")="Eve","Eve","Workday")))</f>
        <v>Workday</v>
      </c>
      <c r="D47" s="18" t="str">
        <f aca="false">IFERROR(INDEX(Holidays!$C$5:$C$60,MATCH(A47,Holidays!$A$5:$A$60,0)),"")</f>
        <v/>
      </c>
      <c r="E47" s="31"/>
      <c r="F47" s="32"/>
      <c r="G47" s="32"/>
      <c r="H47" s="32"/>
      <c r="I47" s="32"/>
      <c r="J47" s="31"/>
      <c r="K47" s="33" t="str">
        <f aca="false">IF(E47&lt;&gt;"",E47,IF(U47,"Present",IF(C47="Holiday","Holiday","Weekend")))</f>
        <v>Present</v>
      </c>
      <c r="L47" s="34" t="n">
        <f aca="false">IF(OR(K47="Present",K47="Manual Work",K47="Partial Vacation",K47="Partial Sick Leave"),IF(ISNUMBER(F47),F47,IF(AND(K47="Present",U47),Settings!$B$6,"")),"")</f>
        <v>0.333333333333333</v>
      </c>
      <c r="M47" s="34" t="n">
        <f aca="false">IF(OR(K47="Present",K47="Manual Work",K47="Partial Vacation",K47="Partial Sick Leave"),IF(ISNUMBER(G47),G47,IF(AND(K47="Present",U47),V47,"")),"")</f>
        <v>0.6875</v>
      </c>
      <c r="N47" s="14" t="n">
        <f aca="false">IF(AND(ISNUMBER(L47),ISNUMBER(M47)),MAX(0,(M47-L47)*24),0)</f>
        <v>8.5</v>
      </c>
      <c r="O47" s="14" t="n">
        <f aca="false">IF(NOT(U47),0,IF(K47="Vacation",IF(C47="Eve",Settings!$B$9*Settings!$B$11,W47),IF(K47="Partial Vacation",IF(AND(ISNUMBER(H47),ISNUMBER(I47)),MAX(0,(I47-H47)*24),0),0)))</f>
        <v>0</v>
      </c>
      <c r="P47" s="14" t="n">
        <f aca="false">IF(NOT(U47),0,IF(K47="Sick Leave",W47,IF(K47="Partial Sick Leave",IF(AND(ISNUMBER(H47),ISNUMBER(I47)),MAX(0,(I47-H47)*24),0),0)))</f>
        <v>0</v>
      </c>
      <c r="Q47" s="14" t="n">
        <f aca="false">IF(NOT(U47),0,IF(K47="Vacation",IF(C47="Eve",Settings!$B$11,1),IF(K47="Partial Vacation",O47/Settings!$B$9,0)))</f>
        <v>0</v>
      </c>
      <c r="R47" s="14" t="n">
        <f aca="false">IF(NOT(U47),0,IF(K47="Sick Leave",1,IF(K47="Partial Sick Leave",P47/Settings!$B$9,0)))</f>
        <v>0</v>
      </c>
      <c r="S47" s="35" t="str">
        <f aca="false">IF(AND(OR(E47="Vacation",E47="Sick Leave",E47="Partial Vacation",E47="Partial Sick Leave"),NOT(U47)),"Leave not allowed on this day",IF(AND(E47="Manual Work",OR(NOT(ISNUMBER(F47)),NOT(ISNUMBER(G47)))),"Enter start and end",IF(AND(OR(E47="Partial Vacation",E47="Partial Sick Leave"),OR(NOT(ISNUMBER(H47)),NOT(ISNUMBER(I47)))),"Enter leave from and to",IF(AND(ISNUMBER(F47),ISNUMBER(G47),G47&lt;=F47),"End is before start",IF(AND(ISNUMBER(H47),ISNUMBER(I47),I47&lt;=H47),"Leave end is before start",IF(AND(ISNUMBER(F47),ISNUMBER(G47),ISNUMBER(H47),ISNUMBER(I47),F47&lt;I47,H47&lt;G47),"Work and leave hours overlap",IF(AND(E47&lt;&gt;"",WEEKDAY(A47)=7),"Saturday - administrator only","")))))))</f>
        <v/>
      </c>
      <c r="T47" s="36" t="n">
        <f aca="false">MONTH(A47)</f>
        <v>2</v>
      </c>
      <c r="U47" s="37" t="b">
        <f aca="false">OR(C47="Workday",C47="Eve")</f>
        <v>1</v>
      </c>
      <c r="V47" s="34" t="n">
        <f aca="false">IF(C47="Eve",Settings!$B$8,Settings!$B$7)</f>
        <v>0.6875</v>
      </c>
      <c r="W47" s="14" t="n">
        <f aca="false">IF(U47,(V47-Settings!$B$6)*24,0)</f>
        <v>8.5</v>
      </c>
    </row>
    <row r="48" customFormat="false" ht="15" hidden="false" customHeight="false" outlineLevel="0" collapsed="false">
      <c r="A48" s="29" t="n">
        <v>46064</v>
      </c>
      <c r="B48" s="30" t="str">
        <f aca="false">CHOOSE(WEEKDAY(A48),"Sun","Mon","Tue","Wed","Thu","Fri","Sat")</f>
        <v>Wed</v>
      </c>
      <c r="C48" s="30" t="str">
        <f aca="false">IF(IFERROR(INDEX(Holidays!$D$5:$D$60,MATCH(A48,Holidays!$A$5:$A$60,0)),"")="Holiday","Holiday",IF(WEEKDAY(A48)&gt;=6,"Weekend",IF(IFERROR(INDEX(Holidays!$D$5:$D$60,MATCH(A48,Holidays!$A$5:$A$60,0)),"")="Eve","Eve","Workday")))</f>
        <v>Workday</v>
      </c>
      <c r="D48" s="18" t="str">
        <f aca="false">IFERROR(INDEX(Holidays!$C$5:$C$60,MATCH(A48,Holidays!$A$5:$A$60,0)),"")</f>
        <v/>
      </c>
      <c r="E48" s="31"/>
      <c r="F48" s="32"/>
      <c r="G48" s="32"/>
      <c r="H48" s="32"/>
      <c r="I48" s="32"/>
      <c r="J48" s="31"/>
      <c r="K48" s="33" t="str">
        <f aca="false">IF(E48&lt;&gt;"",E48,IF(U48,"Present",IF(C48="Holiday","Holiday","Weekend")))</f>
        <v>Present</v>
      </c>
      <c r="L48" s="34" t="n">
        <f aca="false">IF(OR(K48="Present",K48="Manual Work",K48="Partial Vacation",K48="Partial Sick Leave"),IF(ISNUMBER(F48),F48,IF(AND(K48="Present",U48),Settings!$B$6,"")),"")</f>
        <v>0.333333333333333</v>
      </c>
      <c r="M48" s="34" t="n">
        <f aca="false">IF(OR(K48="Present",K48="Manual Work",K48="Partial Vacation",K48="Partial Sick Leave"),IF(ISNUMBER(G48),G48,IF(AND(K48="Present",U48),V48,"")),"")</f>
        <v>0.6875</v>
      </c>
      <c r="N48" s="14" t="n">
        <f aca="false">IF(AND(ISNUMBER(L48),ISNUMBER(M48)),MAX(0,(M48-L48)*24),0)</f>
        <v>8.5</v>
      </c>
      <c r="O48" s="14" t="n">
        <f aca="false">IF(NOT(U48),0,IF(K48="Vacation",IF(C48="Eve",Settings!$B$9*Settings!$B$11,W48),IF(K48="Partial Vacation",IF(AND(ISNUMBER(H48),ISNUMBER(I48)),MAX(0,(I48-H48)*24),0),0)))</f>
        <v>0</v>
      </c>
      <c r="P48" s="14" t="n">
        <f aca="false">IF(NOT(U48),0,IF(K48="Sick Leave",W48,IF(K48="Partial Sick Leave",IF(AND(ISNUMBER(H48),ISNUMBER(I48)),MAX(0,(I48-H48)*24),0),0)))</f>
        <v>0</v>
      </c>
      <c r="Q48" s="14" t="n">
        <f aca="false">IF(NOT(U48),0,IF(K48="Vacation",IF(C48="Eve",Settings!$B$11,1),IF(K48="Partial Vacation",O48/Settings!$B$9,0)))</f>
        <v>0</v>
      </c>
      <c r="R48" s="14" t="n">
        <f aca="false">IF(NOT(U48),0,IF(K48="Sick Leave",1,IF(K48="Partial Sick Leave",P48/Settings!$B$9,0)))</f>
        <v>0</v>
      </c>
      <c r="S48" s="35" t="str">
        <f aca="false">IF(AND(OR(E48="Vacation",E48="Sick Leave",E48="Partial Vacation",E48="Partial Sick Leave"),NOT(U48)),"Leave not allowed on this day",IF(AND(E48="Manual Work",OR(NOT(ISNUMBER(F48)),NOT(ISNUMBER(G48)))),"Enter start and end",IF(AND(OR(E48="Partial Vacation",E48="Partial Sick Leave"),OR(NOT(ISNUMBER(H48)),NOT(ISNUMBER(I48)))),"Enter leave from and to",IF(AND(ISNUMBER(F48),ISNUMBER(G48),G48&lt;=F48),"End is before start",IF(AND(ISNUMBER(H48),ISNUMBER(I48),I48&lt;=H48),"Leave end is before start",IF(AND(ISNUMBER(F48),ISNUMBER(G48),ISNUMBER(H48),ISNUMBER(I48),F48&lt;I48,H48&lt;G48),"Work and leave hours overlap",IF(AND(E48&lt;&gt;"",WEEKDAY(A48)=7),"Saturday - administrator only","")))))))</f>
        <v/>
      </c>
      <c r="T48" s="36" t="n">
        <f aca="false">MONTH(A48)</f>
        <v>2</v>
      </c>
      <c r="U48" s="37" t="b">
        <f aca="false">OR(C48="Workday",C48="Eve")</f>
        <v>1</v>
      </c>
      <c r="V48" s="34" t="n">
        <f aca="false">IF(C48="Eve",Settings!$B$8,Settings!$B$7)</f>
        <v>0.6875</v>
      </c>
      <c r="W48" s="14" t="n">
        <f aca="false">IF(U48,(V48-Settings!$B$6)*24,0)</f>
        <v>8.5</v>
      </c>
    </row>
    <row r="49" customFormat="false" ht="15" hidden="false" customHeight="false" outlineLevel="0" collapsed="false">
      <c r="A49" s="29" t="n">
        <v>46065</v>
      </c>
      <c r="B49" s="30" t="str">
        <f aca="false">CHOOSE(WEEKDAY(A49),"Sun","Mon","Tue","Wed","Thu","Fri","Sat")</f>
        <v>Thu</v>
      </c>
      <c r="C49" s="30" t="str">
        <f aca="false">IF(IFERROR(INDEX(Holidays!$D$5:$D$60,MATCH(A49,Holidays!$A$5:$A$60,0)),"")="Holiday","Holiday",IF(WEEKDAY(A49)&gt;=6,"Weekend",IF(IFERROR(INDEX(Holidays!$D$5:$D$60,MATCH(A49,Holidays!$A$5:$A$60,0)),"")="Eve","Eve","Workday")))</f>
        <v>Workday</v>
      </c>
      <c r="D49" s="18" t="str">
        <f aca="false">IFERROR(INDEX(Holidays!$C$5:$C$60,MATCH(A49,Holidays!$A$5:$A$60,0)),"")</f>
        <v/>
      </c>
      <c r="E49" s="31"/>
      <c r="F49" s="32"/>
      <c r="G49" s="32"/>
      <c r="H49" s="32"/>
      <c r="I49" s="32"/>
      <c r="J49" s="31"/>
      <c r="K49" s="33" t="str">
        <f aca="false">IF(E49&lt;&gt;"",E49,IF(U49,"Present",IF(C49="Holiday","Holiday","Weekend")))</f>
        <v>Present</v>
      </c>
      <c r="L49" s="34" t="n">
        <f aca="false">IF(OR(K49="Present",K49="Manual Work",K49="Partial Vacation",K49="Partial Sick Leave"),IF(ISNUMBER(F49),F49,IF(AND(K49="Present",U49),Settings!$B$6,"")),"")</f>
        <v>0.333333333333333</v>
      </c>
      <c r="M49" s="34" t="n">
        <f aca="false">IF(OR(K49="Present",K49="Manual Work",K49="Partial Vacation",K49="Partial Sick Leave"),IF(ISNUMBER(G49),G49,IF(AND(K49="Present",U49),V49,"")),"")</f>
        <v>0.6875</v>
      </c>
      <c r="N49" s="14" t="n">
        <f aca="false">IF(AND(ISNUMBER(L49),ISNUMBER(M49)),MAX(0,(M49-L49)*24),0)</f>
        <v>8.5</v>
      </c>
      <c r="O49" s="14" t="n">
        <f aca="false">IF(NOT(U49),0,IF(K49="Vacation",IF(C49="Eve",Settings!$B$9*Settings!$B$11,W49),IF(K49="Partial Vacation",IF(AND(ISNUMBER(H49),ISNUMBER(I49)),MAX(0,(I49-H49)*24),0),0)))</f>
        <v>0</v>
      </c>
      <c r="P49" s="14" t="n">
        <f aca="false">IF(NOT(U49),0,IF(K49="Sick Leave",W49,IF(K49="Partial Sick Leave",IF(AND(ISNUMBER(H49),ISNUMBER(I49)),MAX(0,(I49-H49)*24),0),0)))</f>
        <v>0</v>
      </c>
      <c r="Q49" s="14" t="n">
        <f aca="false">IF(NOT(U49),0,IF(K49="Vacation",IF(C49="Eve",Settings!$B$11,1),IF(K49="Partial Vacation",O49/Settings!$B$9,0)))</f>
        <v>0</v>
      </c>
      <c r="R49" s="14" t="n">
        <f aca="false">IF(NOT(U49),0,IF(K49="Sick Leave",1,IF(K49="Partial Sick Leave",P49/Settings!$B$9,0)))</f>
        <v>0</v>
      </c>
      <c r="S49" s="35" t="str">
        <f aca="false">IF(AND(OR(E49="Vacation",E49="Sick Leave",E49="Partial Vacation",E49="Partial Sick Leave"),NOT(U49)),"Leave not allowed on this day",IF(AND(E49="Manual Work",OR(NOT(ISNUMBER(F49)),NOT(ISNUMBER(G49)))),"Enter start and end",IF(AND(OR(E49="Partial Vacation",E49="Partial Sick Leave"),OR(NOT(ISNUMBER(H49)),NOT(ISNUMBER(I49)))),"Enter leave from and to",IF(AND(ISNUMBER(F49),ISNUMBER(G49),G49&lt;=F49),"End is before start",IF(AND(ISNUMBER(H49),ISNUMBER(I49),I49&lt;=H49),"Leave end is before start",IF(AND(ISNUMBER(F49),ISNUMBER(G49),ISNUMBER(H49),ISNUMBER(I49),F49&lt;I49,H49&lt;G49),"Work and leave hours overlap",IF(AND(E49&lt;&gt;"",WEEKDAY(A49)=7),"Saturday - administrator only","")))))))</f>
        <v/>
      </c>
      <c r="T49" s="36" t="n">
        <f aca="false">MONTH(A49)</f>
        <v>2</v>
      </c>
      <c r="U49" s="37" t="b">
        <f aca="false">OR(C49="Workday",C49="Eve")</f>
        <v>1</v>
      </c>
      <c r="V49" s="34" t="n">
        <f aca="false">IF(C49="Eve",Settings!$B$8,Settings!$B$7)</f>
        <v>0.6875</v>
      </c>
      <c r="W49" s="14" t="n">
        <f aca="false">IF(U49,(V49-Settings!$B$6)*24,0)</f>
        <v>8.5</v>
      </c>
    </row>
    <row r="50" customFormat="false" ht="15" hidden="false" customHeight="false" outlineLevel="0" collapsed="false">
      <c r="A50" s="29" t="n">
        <v>46066</v>
      </c>
      <c r="B50" s="30" t="str">
        <f aca="false">CHOOSE(WEEKDAY(A50),"Sun","Mon","Tue","Wed","Thu","Fri","Sat")</f>
        <v>Fri</v>
      </c>
      <c r="C50" s="30" t="str">
        <f aca="false">IF(IFERROR(INDEX(Holidays!$D$5:$D$60,MATCH(A50,Holidays!$A$5:$A$60,0)),"")="Holiday","Holiday",IF(WEEKDAY(A50)&gt;=6,"Weekend",IF(IFERROR(INDEX(Holidays!$D$5:$D$60,MATCH(A50,Holidays!$A$5:$A$60,0)),"")="Eve","Eve","Workday")))</f>
        <v>Weekend</v>
      </c>
      <c r="D50" s="18" t="str">
        <f aca="false">IFERROR(INDEX(Holidays!$C$5:$C$60,MATCH(A50,Holidays!$A$5:$A$60,0)),"")</f>
        <v/>
      </c>
      <c r="E50" s="31"/>
      <c r="F50" s="32"/>
      <c r="G50" s="32"/>
      <c r="H50" s="32"/>
      <c r="I50" s="32"/>
      <c r="J50" s="31"/>
      <c r="K50" s="33" t="str">
        <f aca="false">IF(E50&lt;&gt;"",E50,IF(U50,"Present",IF(C50="Holiday","Holiday","Weekend")))</f>
        <v>Weekend</v>
      </c>
      <c r="L50" s="34" t="str">
        <f aca="false">IF(OR(K50="Present",K50="Manual Work",K50="Partial Vacation",K50="Partial Sick Leave"),IF(ISNUMBER(F50),F50,IF(AND(K50="Present",U50),Settings!$B$6,"")),"")</f>
        <v/>
      </c>
      <c r="M50" s="34" t="str">
        <f aca="false">IF(OR(K50="Present",K50="Manual Work",K50="Partial Vacation",K50="Partial Sick Leave"),IF(ISNUMBER(G50),G50,IF(AND(K50="Present",U50),V50,"")),"")</f>
        <v/>
      </c>
      <c r="N50" s="14" t="n">
        <f aca="false">IF(AND(ISNUMBER(L50),ISNUMBER(M50)),MAX(0,(M50-L50)*24),0)</f>
        <v>0</v>
      </c>
      <c r="O50" s="14" t="n">
        <f aca="false">IF(NOT(U50),0,IF(K50="Vacation",IF(C50="Eve",Settings!$B$9*Settings!$B$11,W50),IF(K50="Partial Vacation",IF(AND(ISNUMBER(H50),ISNUMBER(I50)),MAX(0,(I50-H50)*24),0),0)))</f>
        <v>0</v>
      </c>
      <c r="P50" s="14" t="n">
        <f aca="false">IF(NOT(U50),0,IF(K50="Sick Leave",W50,IF(K50="Partial Sick Leave",IF(AND(ISNUMBER(H50),ISNUMBER(I50)),MAX(0,(I50-H50)*24),0),0)))</f>
        <v>0</v>
      </c>
      <c r="Q50" s="14" t="n">
        <f aca="false">IF(NOT(U50),0,IF(K50="Vacation",IF(C50="Eve",Settings!$B$11,1),IF(K50="Partial Vacation",O50/Settings!$B$9,0)))</f>
        <v>0</v>
      </c>
      <c r="R50" s="14" t="n">
        <f aca="false">IF(NOT(U50),0,IF(K50="Sick Leave",1,IF(K50="Partial Sick Leave",P50/Settings!$B$9,0)))</f>
        <v>0</v>
      </c>
      <c r="S50" s="35" t="str">
        <f aca="false">IF(AND(OR(E50="Vacation",E50="Sick Leave",E50="Partial Vacation",E50="Partial Sick Leave"),NOT(U50)),"Leave not allowed on this day",IF(AND(E50="Manual Work",OR(NOT(ISNUMBER(F50)),NOT(ISNUMBER(G50)))),"Enter start and end",IF(AND(OR(E50="Partial Vacation",E50="Partial Sick Leave"),OR(NOT(ISNUMBER(H50)),NOT(ISNUMBER(I50)))),"Enter leave from and to",IF(AND(ISNUMBER(F50),ISNUMBER(G50),G50&lt;=F50),"End is before start",IF(AND(ISNUMBER(H50),ISNUMBER(I50),I50&lt;=H50),"Leave end is before start",IF(AND(ISNUMBER(F50),ISNUMBER(G50),ISNUMBER(H50),ISNUMBER(I50),F50&lt;I50,H50&lt;G50),"Work and leave hours overlap",IF(AND(E50&lt;&gt;"",WEEKDAY(A50)=7),"Saturday - administrator only","")))))))</f>
        <v/>
      </c>
      <c r="T50" s="36" t="n">
        <f aca="false">MONTH(A50)</f>
        <v>2</v>
      </c>
      <c r="U50" s="37" t="b">
        <f aca="false">OR(C50="Workday",C50="Eve")</f>
        <v>0</v>
      </c>
      <c r="V50" s="34" t="n">
        <f aca="false">IF(C50="Eve",Settings!$B$8,Settings!$B$7)</f>
        <v>0.6875</v>
      </c>
      <c r="W50" s="14" t="n">
        <f aca="false">IF(U50,(V50-Settings!$B$6)*24,0)</f>
        <v>0</v>
      </c>
    </row>
    <row r="51" customFormat="false" ht="15" hidden="false" customHeight="false" outlineLevel="0" collapsed="false">
      <c r="A51" s="29" t="n">
        <v>46067</v>
      </c>
      <c r="B51" s="30" t="str">
        <f aca="false">CHOOSE(WEEKDAY(A51),"Sun","Mon","Tue","Wed","Thu","Fri","Sat")</f>
        <v>Sat</v>
      </c>
      <c r="C51" s="30" t="str">
        <f aca="false">IF(IFERROR(INDEX(Holidays!$D$5:$D$60,MATCH(A51,Holidays!$A$5:$A$60,0)),"")="Holiday","Holiday",IF(WEEKDAY(A51)&gt;=6,"Weekend",IF(IFERROR(INDEX(Holidays!$D$5:$D$60,MATCH(A51,Holidays!$A$5:$A$60,0)),"")="Eve","Eve","Workday")))</f>
        <v>Weekend</v>
      </c>
      <c r="D51" s="18" t="str">
        <f aca="false">IFERROR(INDEX(Holidays!$C$5:$C$60,MATCH(A51,Holidays!$A$5:$A$60,0)),"")</f>
        <v/>
      </c>
      <c r="E51" s="31"/>
      <c r="F51" s="32"/>
      <c r="G51" s="32"/>
      <c r="H51" s="32"/>
      <c r="I51" s="32"/>
      <c r="J51" s="31"/>
      <c r="K51" s="33" t="str">
        <f aca="false">IF(E51&lt;&gt;"",E51,IF(U51,"Present",IF(C51="Holiday","Holiday","Weekend")))</f>
        <v>Weekend</v>
      </c>
      <c r="L51" s="34" t="str">
        <f aca="false">IF(OR(K51="Present",K51="Manual Work",K51="Partial Vacation",K51="Partial Sick Leave"),IF(ISNUMBER(F51),F51,IF(AND(K51="Present",U51),Settings!$B$6,"")),"")</f>
        <v/>
      </c>
      <c r="M51" s="34" t="str">
        <f aca="false">IF(OR(K51="Present",K51="Manual Work",K51="Partial Vacation",K51="Partial Sick Leave"),IF(ISNUMBER(G51),G51,IF(AND(K51="Present",U51),V51,"")),"")</f>
        <v/>
      </c>
      <c r="N51" s="14" t="n">
        <f aca="false">IF(AND(ISNUMBER(L51),ISNUMBER(M51)),MAX(0,(M51-L51)*24),0)</f>
        <v>0</v>
      </c>
      <c r="O51" s="14" t="n">
        <f aca="false">IF(NOT(U51),0,IF(K51="Vacation",IF(C51="Eve",Settings!$B$9*Settings!$B$11,W51),IF(K51="Partial Vacation",IF(AND(ISNUMBER(H51),ISNUMBER(I51)),MAX(0,(I51-H51)*24),0),0)))</f>
        <v>0</v>
      </c>
      <c r="P51" s="14" t="n">
        <f aca="false">IF(NOT(U51),0,IF(K51="Sick Leave",W51,IF(K51="Partial Sick Leave",IF(AND(ISNUMBER(H51),ISNUMBER(I51)),MAX(0,(I51-H51)*24),0),0)))</f>
        <v>0</v>
      </c>
      <c r="Q51" s="14" t="n">
        <f aca="false">IF(NOT(U51),0,IF(K51="Vacation",IF(C51="Eve",Settings!$B$11,1),IF(K51="Partial Vacation",O51/Settings!$B$9,0)))</f>
        <v>0</v>
      </c>
      <c r="R51" s="14" t="n">
        <f aca="false">IF(NOT(U51),0,IF(K51="Sick Leave",1,IF(K51="Partial Sick Leave",P51/Settings!$B$9,0)))</f>
        <v>0</v>
      </c>
      <c r="S51" s="35" t="str">
        <f aca="false">IF(AND(OR(E51="Vacation",E51="Sick Leave",E51="Partial Vacation",E51="Partial Sick Leave"),NOT(U51)),"Leave not allowed on this day",IF(AND(E51="Manual Work",OR(NOT(ISNUMBER(F51)),NOT(ISNUMBER(G51)))),"Enter start and end",IF(AND(OR(E51="Partial Vacation",E51="Partial Sick Leave"),OR(NOT(ISNUMBER(H51)),NOT(ISNUMBER(I51)))),"Enter leave from and to",IF(AND(ISNUMBER(F51),ISNUMBER(G51),G51&lt;=F51),"End is before start",IF(AND(ISNUMBER(H51),ISNUMBER(I51),I51&lt;=H51),"Leave end is before start",IF(AND(ISNUMBER(F51),ISNUMBER(G51),ISNUMBER(H51),ISNUMBER(I51),F51&lt;I51,H51&lt;G51),"Work and leave hours overlap",IF(AND(E51&lt;&gt;"",WEEKDAY(A51)=7),"Saturday - administrator only","")))))))</f>
        <v/>
      </c>
      <c r="T51" s="36" t="n">
        <f aca="false">MONTH(A51)</f>
        <v>2</v>
      </c>
      <c r="U51" s="37" t="b">
        <f aca="false">OR(C51="Workday",C51="Eve")</f>
        <v>0</v>
      </c>
      <c r="V51" s="34" t="n">
        <f aca="false">IF(C51="Eve",Settings!$B$8,Settings!$B$7)</f>
        <v>0.6875</v>
      </c>
      <c r="W51" s="14" t="n">
        <f aca="false">IF(U51,(V51-Settings!$B$6)*24,0)</f>
        <v>0</v>
      </c>
    </row>
    <row r="52" customFormat="false" ht="15" hidden="false" customHeight="false" outlineLevel="0" collapsed="false">
      <c r="A52" s="29" t="n">
        <v>46068</v>
      </c>
      <c r="B52" s="30" t="str">
        <f aca="false">CHOOSE(WEEKDAY(A52),"Sun","Mon","Tue","Wed","Thu","Fri","Sat")</f>
        <v>Sun</v>
      </c>
      <c r="C52" s="30" t="str">
        <f aca="false">IF(IFERROR(INDEX(Holidays!$D$5:$D$60,MATCH(A52,Holidays!$A$5:$A$60,0)),"")="Holiday","Holiday",IF(WEEKDAY(A52)&gt;=6,"Weekend",IF(IFERROR(INDEX(Holidays!$D$5:$D$60,MATCH(A52,Holidays!$A$5:$A$60,0)),"")="Eve","Eve","Workday")))</f>
        <v>Workday</v>
      </c>
      <c r="D52" s="18" t="str">
        <f aca="false">IFERROR(INDEX(Holidays!$C$5:$C$60,MATCH(A52,Holidays!$A$5:$A$60,0)),"")</f>
        <v/>
      </c>
      <c r="E52" s="31"/>
      <c r="F52" s="32"/>
      <c r="G52" s="32"/>
      <c r="H52" s="32"/>
      <c r="I52" s="32"/>
      <c r="J52" s="31"/>
      <c r="K52" s="33" t="str">
        <f aca="false">IF(E52&lt;&gt;"",E52,IF(U52,"Present",IF(C52="Holiday","Holiday","Weekend")))</f>
        <v>Present</v>
      </c>
      <c r="L52" s="34" t="n">
        <f aca="false">IF(OR(K52="Present",K52="Manual Work",K52="Partial Vacation",K52="Partial Sick Leave"),IF(ISNUMBER(F52),F52,IF(AND(K52="Present",U52),Settings!$B$6,"")),"")</f>
        <v>0.333333333333333</v>
      </c>
      <c r="M52" s="34" t="n">
        <f aca="false">IF(OR(K52="Present",K52="Manual Work",K52="Partial Vacation",K52="Partial Sick Leave"),IF(ISNUMBER(G52),G52,IF(AND(K52="Present",U52),V52,"")),"")</f>
        <v>0.6875</v>
      </c>
      <c r="N52" s="14" t="n">
        <f aca="false">IF(AND(ISNUMBER(L52),ISNUMBER(M52)),MAX(0,(M52-L52)*24),0)</f>
        <v>8.5</v>
      </c>
      <c r="O52" s="14" t="n">
        <f aca="false">IF(NOT(U52),0,IF(K52="Vacation",IF(C52="Eve",Settings!$B$9*Settings!$B$11,W52),IF(K52="Partial Vacation",IF(AND(ISNUMBER(H52),ISNUMBER(I52)),MAX(0,(I52-H52)*24),0),0)))</f>
        <v>0</v>
      </c>
      <c r="P52" s="14" t="n">
        <f aca="false">IF(NOT(U52),0,IF(K52="Sick Leave",W52,IF(K52="Partial Sick Leave",IF(AND(ISNUMBER(H52),ISNUMBER(I52)),MAX(0,(I52-H52)*24),0),0)))</f>
        <v>0</v>
      </c>
      <c r="Q52" s="14" t="n">
        <f aca="false">IF(NOT(U52),0,IF(K52="Vacation",IF(C52="Eve",Settings!$B$11,1),IF(K52="Partial Vacation",O52/Settings!$B$9,0)))</f>
        <v>0</v>
      </c>
      <c r="R52" s="14" t="n">
        <f aca="false">IF(NOT(U52),0,IF(K52="Sick Leave",1,IF(K52="Partial Sick Leave",P52/Settings!$B$9,0)))</f>
        <v>0</v>
      </c>
      <c r="S52" s="35" t="str">
        <f aca="false">IF(AND(OR(E52="Vacation",E52="Sick Leave",E52="Partial Vacation",E52="Partial Sick Leave"),NOT(U52)),"Leave not allowed on this day",IF(AND(E52="Manual Work",OR(NOT(ISNUMBER(F52)),NOT(ISNUMBER(G52)))),"Enter start and end",IF(AND(OR(E52="Partial Vacation",E52="Partial Sick Leave"),OR(NOT(ISNUMBER(H52)),NOT(ISNUMBER(I52)))),"Enter leave from and to",IF(AND(ISNUMBER(F52),ISNUMBER(G52),G52&lt;=F52),"End is before start",IF(AND(ISNUMBER(H52),ISNUMBER(I52),I52&lt;=H52),"Leave end is before start",IF(AND(ISNUMBER(F52),ISNUMBER(G52),ISNUMBER(H52),ISNUMBER(I52),F52&lt;I52,H52&lt;G52),"Work and leave hours overlap",IF(AND(E52&lt;&gt;"",WEEKDAY(A52)=7),"Saturday - administrator only","")))))))</f>
        <v/>
      </c>
      <c r="T52" s="36" t="n">
        <f aca="false">MONTH(A52)</f>
        <v>2</v>
      </c>
      <c r="U52" s="37" t="b">
        <f aca="false">OR(C52="Workday",C52="Eve")</f>
        <v>1</v>
      </c>
      <c r="V52" s="34" t="n">
        <f aca="false">IF(C52="Eve",Settings!$B$8,Settings!$B$7)</f>
        <v>0.6875</v>
      </c>
      <c r="W52" s="14" t="n">
        <f aca="false">IF(U52,(V52-Settings!$B$6)*24,0)</f>
        <v>8.5</v>
      </c>
    </row>
    <row r="53" customFormat="false" ht="15" hidden="false" customHeight="false" outlineLevel="0" collapsed="false">
      <c r="A53" s="29" t="n">
        <v>46069</v>
      </c>
      <c r="B53" s="30" t="str">
        <f aca="false">CHOOSE(WEEKDAY(A53),"Sun","Mon","Tue","Wed","Thu","Fri","Sat")</f>
        <v>Mon</v>
      </c>
      <c r="C53" s="30" t="str">
        <f aca="false">IF(IFERROR(INDEX(Holidays!$D$5:$D$60,MATCH(A53,Holidays!$A$5:$A$60,0)),"")="Holiday","Holiday",IF(WEEKDAY(A53)&gt;=6,"Weekend",IF(IFERROR(INDEX(Holidays!$D$5:$D$60,MATCH(A53,Holidays!$A$5:$A$60,0)),"")="Eve","Eve","Workday")))</f>
        <v>Workday</v>
      </c>
      <c r="D53" s="18" t="str">
        <f aca="false">IFERROR(INDEX(Holidays!$C$5:$C$60,MATCH(A53,Holidays!$A$5:$A$60,0)),"")</f>
        <v/>
      </c>
      <c r="E53" s="31"/>
      <c r="F53" s="32"/>
      <c r="G53" s="32"/>
      <c r="H53" s="32"/>
      <c r="I53" s="32"/>
      <c r="J53" s="31"/>
      <c r="K53" s="33" t="str">
        <f aca="false">IF(E53&lt;&gt;"",E53,IF(U53,"Present",IF(C53="Holiday","Holiday","Weekend")))</f>
        <v>Present</v>
      </c>
      <c r="L53" s="34" t="n">
        <f aca="false">IF(OR(K53="Present",K53="Manual Work",K53="Partial Vacation",K53="Partial Sick Leave"),IF(ISNUMBER(F53),F53,IF(AND(K53="Present",U53),Settings!$B$6,"")),"")</f>
        <v>0.333333333333333</v>
      </c>
      <c r="M53" s="34" t="n">
        <f aca="false">IF(OR(K53="Present",K53="Manual Work",K53="Partial Vacation",K53="Partial Sick Leave"),IF(ISNUMBER(G53),G53,IF(AND(K53="Present",U53),V53,"")),"")</f>
        <v>0.6875</v>
      </c>
      <c r="N53" s="14" t="n">
        <f aca="false">IF(AND(ISNUMBER(L53),ISNUMBER(M53)),MAX(0,(M53-L53)*24),0)</f>
        <v>8.5</v>
      </c>
      <c r="O53" s="14" t="n">
        <f aca="false">IF(NOT(U53),0,IF(K53="Vacation",IF(C53="Eve",Settings!$B$9*Settings!$B$11,W53),IF(K53="Partial Vacation",IF(AND(ISNUMBER(H53),ISNUMBER(I53)),MAX(0,(I53-H53)*24),0),0)))</f>
        <v>0</v>
      </c>
      <c r="P53" s="14" t="n">
        <f aca="false">IF(NOT(U53),0,IF(K53="Sick Leave",W53,IF(K53="Partial Sick Leave",IF(AND(ISNUMBER(H53),ISNUMBER(I53)),MAX(0,(I53-H53)*24),0),0)))</f>
        <v>0</v>
      </c>
      <c r="Q53" s="14" t="n">
        <f aca="false">IF(NOT(U53),0,IF(K53="Vacation",IF(C53="Eve",Settings!$B$11,1),IF(K53="Partial Vacation",O53/Settings!$B$9,0)))</f>
        <v>0</v>
      </c>
      <c r="R53" s="14" t="n">
        <f aca="false">IF(NOT(U53),0,IF(K53="Sick Leave",1,IF(K53="Partial Sick Leave",P53/Settings!$B$9,0)))</f>
        <v>0</v>
      </c>
      <c r="S53" s="35" t="str">
        <f aca="false">IF(AND(OR(E53="Vacation",E53="Sick Leave",E53="Partial Vacation",E53="Partial Sick Leave"),NOT(U53)),"Leave not allowed on this day",IF(AND(E53="Manual Work",OR(NOT(ISNUMBER(F53)),NOT(ISNUMBER(G53)))),"Enter start and end",IF(AND(OR(E53="Partial Vacation",E53="Partial Sick Leave"),OR(NOT(ISNUMBER(H53)),NOT(ISNUMBER(I53)))),"Enter leave from and to",IF(AND(ISNUMBER(F53),ISNUMBER(G53),G53&lt;=F53),"End is before start",IF(AND(ISNUMBER(H53),ISNUMBER(I53),I53&lt;=H53),"Leave end is before start",IF(AND(ISNUMBER(F53),ISNUMBER(G53),ISNUMBER(H53),ISNUMBER(I53),F53&lt;I53,H53&lt;G53),"Work and leave hours overlap",IF(AND(E53&lt;&gt;"",WEEKDAY(A53)=7),"Saturday - administrator only","")))))))</f>
        <v/>
      </c>
      <c r="T53" s="36" t="n">
        <f aca="false">MONTH(A53)</f>
        <v>2</v>
      </c>
      <c r="U53" s="37" t="b">
        <f aca="false">OR(C53="Workday",C53="Eve")</f>
        <v>1</v>
      </c>
      <c r="V53" s="34" t="n">
        <f aca="false">IF(C53="Eve",Settings!$B$8,Settings!$B$7)</f>
        <v>0.6875</v>
      </c>
      <c r="W53" s="14" t="n">
        <f aca="false">IF(U53,(V53-Settings!$B$6)*24,0)</f>
        <v>8.5</v>
      </c>
    </row>
    <row r="54" customFormat="false" ht="15" hidden="false" customHeight="false" outlineLevel="0" collapsed="false">
      <c r="A54" s="29" t="n">
        <v>46070</v>
      </c>
      <c r="B54" s="30" t="str">
        <f aca="false">CHOOSE(WEEKDAY(A54),"Sun","Mon","Tue","Wed","Thu","Fri","Sat")</f>
        <v>Tue</v>
      </c>
      <c r="C54" s="30" t="str">
        <f aca="false">IF(IFERROR(INDEX(Holidays!$D$5:$D$60,MATCH(A54,Holidays!$A$5:$A$60,0)),"")="Holiday","Holiday",IF(WEEKDAY(A54)&gt;=6,"Weekend",IF(IFERROR(INDEX(Holidays!$D$5:$D$60,MATCH(A54,Holidays!$A$5:$A$60,0)),"")="Eve","Eve","Workday")))</f>
        <v>Workday</v>
      </c>
      <c r="D54" s="18" t="str">
        <f aca="false">IFERROR(INDEX(Holidays!$C$5:$C$60,MATCH(A54,Holidays!$A$5:$A$60,0)),"")</f>
        <v/>
      </c>
      <c r="E54" s="31"/>
      <c r="F54" s="32"/>
      <c r="G54" s="32"/>
      <c r="H54" s="32"/>
      <c r="I54" s="32"/>
      <c r="J54" s="31"/>
      <c r="K54" s="33" t="str">
        <f aca="false">IF(E54&lt;&gt;"",E54,IF(U54,"Present",IF(C54="Holiday","Holiday","Weekend")))</f>
        <v>Present</v>
      </c>
      <c r="L54" s="34" t="n">
        <f aca="false">IF(OR(K54="Present",K54="Manual Work",K54="Partial Vacation",K54="Partial Sick Leave"),IF(ISNUMBER(F54),F54,IF(AND(K54="Present",U54),Settings!$B$6,"")),"")</f>
        <v>0.333333333333333</v>
      </c>
      <c r="M54" s="34" t="n">
        <f aca="false">IF(OR(K54="Present",K54="Manual Work",K54="Partial Vacation",K54="Partial Sick Leave"),IF(ISNUMBER(G54),G54,IF(AND(K54="Present",U54),V54,"")),"")</f>
        <v>0.6875</v>
      </c>
      <c r="N54" s="14" t="n">
        <f aca="false">IF(AND(ISNUMBER(L54),ISNUMBER(M54)),MAX(0,(M54-L54)*24),0)</f>
        <v>8.5</v>
      </c>
      <c r="O54" s="14" t="n">
        <f aca="false">IF(NOT(U54),0,IF(K54="Vacation",IF(C54="Eve",Settings!$B$9*Settings!$B$11,W54),IF(K54="Partial Vacation",IF(AND(ISNUMBER(H54),ISNUMBER(I54)),MAX(0,(I54-H54)*24),0),0)))</f>
        <v>0</v>
      </c>
      <c r="P54" s="14" t="n">
        <f aca="false">IF(NOT(U54),0,IF(K54="Sick Leave",W54,IF(K54="Partial Sick Leave",IF(AND(ISNUMBER(H54),ISNUMBER(I54)),MAX(0,(I54-H54)*24),0),0)))</f>
        <v>0</v>
      </c>
      <c r="Q54" s="14" t="n">
        <f aca="false">IF(NOT(U54),0,IF(K54="Vacation",IF(C54="Eve",Settings!$B$11,1),IF(K54="Partial Vacation",O54/Settings!$B$9,0)))</f>
        <v>0</v>
      </c>
      <c r="R54" s="14" t="n">
        <f aca="false">IF(NOT(U54),0,IF(K54="Sick Leave",1,IF(K54="Partial Sick Leave",P54/Settings!$B$9,0)))</f>
        <v>0</v>
      </c>
      <c r="S54" s="35" t="str">
        <f aca="false">IF(AND(OR(E54="Vacation",E54="Sick Leave",E54="Partial Vacation",E54="Partial Sick Leave"),NOT(U54)),"Leave not allowed on this day",IF(AND(E54="Manual Work",OR(NOT(ISNUMBER(F54)),NOT(ISNUMBER(G54)))),"Enter start and end",IF(AND(OR(E54="Partial Vacation",E54="Partial Sick Leave"),OR(NOT(ISNUMBER(H54)),NOT(ISNUMBER(I54)))),"Enter leave from and to",IF(AND(ISNUMBER(F54),ISNUMBER(G54),G54&lt;=F54),"End is before start",IF(AND(ISNUMBER(H54),ISNUMBER(I54),I54&lt;=H54),"Leave end is before start",IF(AND(ISNUMBER(F54),ISNUMBER(G54),ISNUMBER(H54),ISNUMBER(I54),F54&lt;I54,H54&lt;G54),"Work and leave hours overlap",IF(AND(E54&lt;&gt;"",WEEKDAY(A54)=7),"Saturday - administrator only","")))))))</f>
        <v/>
      </c>
      <c r="T54" s="36" t="n">
        <f aca="false">MONTH(A54)</f>
        <v>2</v>
      </c>
      <c r="U54" s="37" t="b">
        <f aca="false">OR(C54="Workday",C54="Eve")</f>
        <v>1</v>
      </c>
      <c r="V54" s="34" t="n">
        <f aca="false">IF(C54="Eve",Settings!$B$8,Settings!$B$7)</f>
        <v>0.6875</v>
      </c>
      <c r="W54" s="14" t="n">
        <f aca="false">IF(U54,(V54-Settings!$B$6)*24,0)</f>
        <v>8.5</v>
      </c>
    </row>
    <row r="55" customFormat="false" ht="15" hidden="false" customHeight="false" outlineLevel="0" collapsed="false">
      <c r="A55" s="29" t="n">
        <v>46071</v>
      </c>
      <c r="B55" s="30" t="str">
        <f aca="false">CHOOSE(WEEKDAY(A55),"Sun","Mon","Tue","Wed","Thu","Fri","Sat")</f>
        <v>Wed</v>
      </c>
      <c r="C55" s="30" t="str">
        <f aca="false">IF(IFERROR(INDEX(Holidays!$D$5:$D$60,MATCH(A55,Holidays!$A$5:$A$60,0)),"")="Holiday","Holiday",IF(WEEKDAY(A55)&gt;=6,"Weekend",IF(IFERROR(INDEX(Holidays!$D$5:$D$60,MATCH(A55,Holidays!$A$5:$A$60,0)),"")="Eve","Eve","Workday")))</f>
        <v>Workday</v>
      </c>
      <c r="D55" s="18" t="str">
        <f aca="false">IFERROR(INDEX(Holidays!$C$5:$C$60,MATCH(A55,Holidays!$A$5:$A$60,0)),"")</f>
        <v/>
      </c>
      <c r="E55" s="31"/>
      <c r="F55" s="32"/>
      <c r="G55" s="32"/>
      <c r="H55" s="32"/>
      <c r="I55" s="32"/>
      <c r="J55" s="31"/>
      <c r="K55" s="33" t="str">
        <f aca="false">IF(E55&lt;&gt;"",E55,IF(U55,"Present",IF(C55="Holiday","Holiday","Weekend")))</f>
        <v>Present</v>
      </c>
      <c r="L55" s="34" t="n">
        <f aca="false">IF(OR(K55="Present",K55="Manual Work",K55="Partial Vacation",K55="Partial Sick Leave"),IF(ISNUMBER(F55),F55,IF(AND(K55="Present",U55),Settings!$B$6,"")),"")</f>
        <v>0.333333333333333</v>
      </c>
      <c r="M55" s="34" t="n">
        <f aca="false">IF(OR(K55="Present",K55="Manual Work",K55="Partial Vacation",K55="Partial Sick Leave"),IF(ISNUMBER(G55),G55,IF(AND(K55="Present",U55),V55,"")),"")</f>
        <v>0.6875</v>
      </c>
      <c r="N55" s="14" t="n">
        <f aca="false">IF(AND(ISNUMBER(L55),ISNUMBER(M55)),MAX(0,(M55-L55)*24),0)</f>
        <v>8.5</v>
      </c>
      <c r="O55" s="14" t="n">
        <f aca="false">IF(NOT(U55),0,IF(K55="Vacation",IF(C55="Eve",Settings!$B$9*Settings!$B$11,W55),IF(K55="Partial Vacation",IF(AND(ISNUMBER(H55),ISNUMBER(I55)),MAX(0,(I55-H55)*24),0),0)))</f>
        <v>0</v>
      </c>
      <c r="P55" s="14" t="n">
        <f aca="false">IF(NOT(U55),0,IF(K55="Sick Leave",W55,IF(K55="Partial Sick Leave",IF(AND(ISNUMBER(H55),ISNUMBER(I55)),MAX(0,(I55-H55)*24),0),0)))</f>
        <v>0</v>
      </c>
      <c r="Q55" s="14" t="n">
        <f aca="false">IF(NOT(U55),0,IF(K55="Vacation",IF(C55="Eve",Settings!$B$11,1),IF(K55="Partial Vacation",O55/Settings!$B$9,0)))</f>
        <v>0</v>
      </c>
      <c r="R55" s="14" t="n">
        <f aca="false">IF(NOT(U55),0,IF(K55="Sick Leave",1,IF(K55="Partial Sick Leave",P55/Settings!$B$9,0)))</f>
        <v>0</v>
      </c>
      <c r="S55" s="35" t="str">
        <f aca="false">IF(AND(OR(E55="Vacation",E55="Sick Leave",E55="Partial Vacation",E55="Partial Sick Leave"),NOT(U55)),"Leave not allowed on this day",IF(AND(E55="Manual Work",OR(NOT(ISNUMBER(F55)),NOT(ISNUMBER(G55)))),"Enter start and end",IF(AND(OR(E55="Partial Vacation",E55="Partial Sick Leave"),OR(NOT(ISNUMBER(H55)),NOT(ISNUMBER(I55)))),"Enter leave from and to",IF(AND(ISNUMBER(F55),ISNUMBER(G55),G55&lt;=F55),"End is before start",IF(AND(ISNUMBER(H55),ISNUMBER(I55),I55&lt;=H55),"Leave end is before start",IF(AND(ISNUMBER(F55),ISNUMBER(G55),ISNUMBER(H55),ISNUMBER(I55),F55&lt;I55,H55&lt;G55),"Work and leave hours overlap",IF(AND(E55&lt;&gt;"",WEEKDAY(A55)=7),"Saturday - administrator only","")))))))</f>
        <v/>
      </c>
      <c r="T55" s="36" t="n">
        <f aca="false">MONTH(A55)</f>
        <v>2</v>
      </c>
      <c r="U55" s="37" t="b">
        <f aca="false">OR(C55="Workday",C55="Eve")</f>
        <v>1</v>
      </c>
      <c r="V55" s="34" t="n">
        <f aca="false">IF(C55="Eve",Settings!$B$8,Settings!$B$7)</f>
        <v>0.6875</v>
      </c>
      <c r="W55" s="14" t="n">
        <f aca="false">IF(U55,(V55-Settings!$B$6)*24,0)</f>
        <v>8.5</v>
      </c>
    </row>
    <row r="56" customFormat="false" ht="15" hidden="false" customHeight="false" outlineLevel="0" collapsed="false">
      <c r="A56" s="29" t="n">
        <v>46072</v>
      </c>
      <c r="B56" s="30" t="str">
        <f aca="false">CHOOSE(WEEKDAY(A56),"Sun","Mon","Tue","Wed","Thu","Fri","Sat")</f>
        <v>Thu</v>
      </c>
      <c r="C56" s="30" t="str">
        <f aca="false">IF(IFERROR(INDEX(Holidays!$D$5:$D$60,MATCH(A56,Holidays!$A$5:$A$60,0)),"")="Holiday","Holiday",IF(WEEKDAY(A56)&gt;=6,"Weekend",IF(IFERROR(INDEX(Holidays!$D$5:$D$60,MATCH(A56,Holidays!$A$5:$A$60,0)),"")="Eve","Eve","Workday")))</f>
        <v>Workday</v>
      </c>
      <c r="D56" s="18" t="str">
        <f aca="false">IFERROR(INDEX(Holidays!$C$5:$C$60,MATCH(A56,Holidays!$A$5:$A$60,0)),"")</f>
        <v/>
      </c>
      <c r="E56" s="31"/>
      <c r="F56" s="32"/>
      <c r="G56" s="32"/>
      <c r="H56" s="32"/>
      <c r="I56" s="32"/>
      <c r="J56" s="31"/>
      <c r="K56" s="33" t="str">
        <f aca="false">IF(E56&lt;&gt;"",E56,IF(U56,"Present",IF(C56="Holiday","Holiday","Weekend")))</f>
        <v>Present</v>
      </c>
      <c r="L56" s="34" t="n">
        <f aca="false">IF(OR(K56="Present",K56="Manual Work",K56="Partial Vacation",K56="Partial Sick Leave"),IF(ISNUMBER(F56),F56,IF(AND(K56="Present",U56),Settings!$B$6,"")),"")</f>
        <v>0.333333333333333</v>
      </c>
      <c r="M56" s="34" t="n">
        <f aca="false">IF(OR(K56="Present",K56="Manual Work",K56="Partial Vacation",K56="Partial Sick Leave"),IF(ISNUMBER(G56),G56,IF(AND(K56="Present",U56),V56,"")),"")</f>
        <v>0.6875</v>
      </c>
      <c r="N56" s="14" t="n">
        <f aca="false">IF(AND(ISNUMBER(L56),ISNUMBER(M56)),MAX(0,(M56-L56)*24),0)</f>
        <v>8.5</v>
      </c>
      <c r="O56" s="14" t="n">
        <f aca="false">IF(NOT(U56),0,IF(K56="Vacation",IF(C56="Eve",Settings!$B$9*Settings!$B$11,W56),IF(K56="Partial Vacation",IF(AND(ISNUMBER(H56),ISNUMBER(I56)),MAX(0,(I56-H56)*24),0),0)))</f>
        <v>0</v>
      </c>
      <c r="P56" s="14" t="n">
        <f aca="false">IF(NOT(U56),0,IF(K56="Sick Leave",W56,IF(K56="Partial Sick Leave",IF(AND(ISNUMBER(H56),ISNUMBER(I56)),MAX(0,(I56-H56)*24),0),0)))</f>
        <v>0</v>
      </c>
      <c r="Q56" s="14" t="n">
        <f aca="false">IF(NOT(U56),0,IF(K56="Vacation",IF(C56="Eve",Settings!$B$11,1),IF(K56="Partial Vacation",O56/Settings!$B$9,0)))</f>
        <v>0</v>
      </c>
      <c r="R56" s="14" t="n">
        <f aca="false">IF(NOT(U56),0,IF(K56="Sick Leave",1,IF(K56="Partial Sick Leave",P56/Settings!$B$9,0)))</f>
        <v>0</v>
      </c>
      <c r="S56" s="35" t="str">
        <f aca="false">IF(AND(OR(E56="Vacation",E56="Sick Leave",E56="Partial Vacation",E56="Partial Sick Leave"),NOT(U56)),"Leave not allowed on this day",IF(AND(E56="Manual Work",OR(NOT(ISNUMBER(F56)),NOT(ISNUMBER(G56)))),"Enter start and end",IF(AND(OR(E56="Partial Vacation",E56="Partial Sick Leave"),OR(NOT(ISNUMBER(H56)),NOT(ISNUMBER(I56)))),"Enter leave from and to",IF(AND(ISNUMBER(F56),ISNUMBER(G56),G56&lt;=F56),"End is before start",IF(AND(ISNUMBER(H56),ISNUMBER(I56),I56&lt;=H56),"Leave end is before start",IF(AND(ISNUMBER(F56),ISNUMBER(G56),ISNUMBER(H56),ISNUMBER(I56),F56&lt;I56,H56&lt;G56),"Work and leave hours overlap",IF(AND(E56&lt;&gt;"",WEEKDAY(A56)=7),"Saturday - administrator only","")))))))</f>
        <v/>
      </c>
      <c r="T56" s="36" t="n">
        <f aca="false">MONTH(A56)</f>
        <v>2</v>
      </c>
      <c r="U56" s="37" t="b">
        <f aca="false">OR(C56="Workday",C56="Eve")</f>
        <v>1</v>
      </c>
      <c r="V56" s="34" t="n">
        <f aca="false">IF(C56="Eve",Settings!$B$8,Settings!$B$7)</f>
        <v>0.6875</v>
      </c>
      <c r="W56" s="14" t="n">
        <f aca="false">IF(U56,(V56-Settings!$B$6)*24,0)</f>
        <v>8.5</v>
      </c>
    </row>
    <row r="57" customFormat="false" ht="15" hidden="false" customHeight="false" outlineLevel="0" collapsed="false">
      <c r="A57" s="29" t="n">
        <v>46073</v>
      </c>
      <c r="B57" s="30" t="str">
        <f aca="false">CHOOSE(WEEKDAY(A57),"Sun","Mon","Tue","Wed","Thu","Fri","Sat")</f>
        <v>Fri</v>
      </c>
      <c r="C57" s="30" t="str">
        <f aca="false">IF(IFERROR(INDEX(Holidays!$D$5:$D$60,MATCH(A57,Holidays!$A$5:$A$60,0)),"")="Holiday","Holiday",IF(WEEKDAY(A57)&gt;=6,"Weekend",IF(IFERROR(INDEX(Holidays!$D$5:$D$60,MATCH(A57,Holidays!$A$5:$A$60,0)),"")="Eve","Eve","Workday")))</f>
        <v>Weekend</v>
      </c>
      <c r="D57" s="18" t="str">
        <f aca="false">IFERROR(INDEX(Holidays!$C$5:$C$60,MATCH(A57,Holidays!$A$5:$A$60,0)),"")</f>
        <v/>
      </c>
      <c r="E57" s="31"/>
      <c r="F57" s="32"/>
      <c r="G57" s="32"/>
      <c r="H57" s="32"/>
      <c r="I57" s="32"/>
      <c r="J57" s="31"/>
      <c r="K57" s="33" t="str">
        <f aca="false">IF(E57&lt;&gt;"",E57,IF(U57,"Present",IF(C57="Holiday","Holiday","Weekend")))</f>
        <v>Weekend</v>
      </c>
      <c r="L57" s="34" t="str">
        <f aca="false">IF(OR(K57="Present",K57="Manual Work",K57="Partial Vacation",K57="Partial Sick Leave"),IF(ISNUMBER(F57),F57,IF(AND(K57="Present",U57),Settings!$B$6,"")),"")</f>
        <v/>
      </c>
      <c r="M57" s="34" t="str">
        <f aca="false">IF(OR(K57="Present",K57="Manual Work",K57="Partial Vacation",K57="Partial Sick Leave"),IF(ISNUMBER(G57),G57,IF(AND(K57="Present",U57),V57,"")),"")</f>
        <v/>
      </c>
      <c r="N57" s="14" t="n">
        <f aca="false">IF(AND(ISNUMBER(L57),ISNUMBER(M57)),MAX(0,(M57-L57)*24),0)</f>
        <v>0</v>
      </c>
      <c r="O57" s="14" t="n">
        <f aca="false">IF(NOT(U57),0,IF(K57="Vacation",IF(C57="Eve",Settings!$B$9*Settings!$B$11,W57),IF(K57="Partial Vacation",IF(AND(ISNUMBER(H57),ISNUMBER(I57)),MAX(0,(I57-H57)*24),0),0)))</f>
        <v>0</v>
      </c>
      <c r="P57" s="14" t="n">
        <f aca="false">IF(NOT(U57),0,IF(K57="Sick Leave",W57,IF(K57="Partial Sick Leave",IF(AND(ISNUMBER(H57),ISNUMBER(I57)),MAX(0,(I57-H57)*24),0),0)))</f>
        <v>0</v>
      </c>
      <c r="Q57" s="14" t="n">
        <f aca="false">IF(NOT(U57),0,IF(K57="Vacation",IF(C57="Eve",Settings!$B$11,1),IF(K57="Partial Vacation",O57/Settings!$B$9,0)))</f>
        <v>0</v>
      </c>
      <c r="R57" s="14" t="n">
        <f aca="false">IF(NOT(U57),0,IF(K57="Sick Leave",1,IF(K57="Partial Sick Leave",P57/Settings!$B$9,0)))</f>
        <v>0</v>
      </c>
      <c r="S57" s="35" t="str">
        <f aca="false">IF(AND(OR(E57="Vacation",E57="Sick Leave",E57="Partial Vacation",E57="Partial Sick Leave"),NOT(U57)),"Leave not allowed on this day",IF(AND(E57="Manual Work",OR(NOT(ISNUMBER(F57)),NOT(ISNUMBER(G57)))),"Enter start and end",IF(AND(OR(E57="Partial Vacation",E57="Partial Sick Leave"),OR(NOT(ISNUMBER(H57)),NOT(ISNUMBER(I57)))),"Enter leave from and to",IF(AND(ISNUMBER(F57),ISNUMBER(G57),G57&lt;=F57),"End is before start",IF(AND(ISNUMBER(H57),ISNUMBER(I57),I57&lt;=H57),"Leave end is before start",IF(AND(ISNUMBER(F57),ISNUMBER(G57),ISNUMBER(H57),ISNUMBER(I57),F57&lt;I57,H57&lt;G57),"Work and leave hours overlap",IF(AND(E57&lt;&gt;"",WEEKDAY(A57)=7),"Saturday - administrator only","")))))))</f>
        <v/>
      </c>
      <c r="T57" s="36" t="n">
        <f aca="false">MONTH(A57)</f>
        <v>2</v>
      </c>
      <c r="U57" s="37" t="b">
        <f aca="false">OR(C57="Workday",C57="Eve")</f>
        <v>0</v>
      </c>
      <c r="V57" s="34" t="n">
        <f aca="false">IF(C57="Eve",Settings!$B$8,Settings!$B$7)</f>
        <v>0.6875</v>
      </c>
      <c r="W57" s="14" t="n">
        <f aca="false">IF(U57,(V57-Settings!$B$6)*24,0)</f>
        <v>0</v>
      </c>
    </row>
    <row r="58" customFormat="false" ht="15" hidden="false" customHeight="false" outlineLevel="0" collapsed="false">
      <c r="A58" s="29" t="n">
        <v>46074</v>
      </c>
      <c r="B58" s="30" t="str">
        <f aca="false">CHOOSE(WEEKDAY(A58),"Sun","Mon","Tue","Wed","Thu","Fri","Sat")</f>
        <v>Sat</v>
      </c>
      <c r="C58" s="30" t="str">
        <f aca="false">IF(IFERROR(INDEX(Holidays!$D$5:$D$60,MATCH(A58,Holidays!$A$5:$A$60,0)),"")="Holiday","Holiday",IF(WEEKDAY(A58)&gt;=6,"Weekend",IF(IFERROR(INDEX(Holidays!$D$5:$D$60,MATCH(A58,Holidays!$A$5:$A$60,0)),"")="Eve","Eve","Workday")))</f>
        <v>Weekend</v>
      </c>
      <c r="D58" s="18" t="str">
        <f aca="false">IFERROR(INDEX(Holidays!$C$5:$C$60,MATCH(A58,Holidays!$A$5:$A$60,0)),"")</f>
        <v/>
      </c>
      <c r="E58" s="31"/>
      <c r="F58" s="32"/>
      <c r="G58" s="32"/>
      <c r="H58" s="32"/>
      <c r="I58" s="32"/>
      <c r="J58" s="31"/>
      <c r="K58" s="33" t="str">
        <f aca="false">IF(E58&lt;&gt;"",E58,IF(U58,"Present",IF(C58="Holiday","Holiday","Weekend")))</f>
        <v>Weekend</v>
      </c>
      <c r="L58" s="34" t="str">
        <f aca="false">IF(OR(K58="Present",K58="Manual Work",K58="Partial Vacation",K58="Partial Sick Leave"),IF(ISNUMBER(F58),F58,IF(AND(K58="Present",U58),Settings!$B$6,"")),"")</f>
        <v/>
      </c>
      <c r="M58" s="34" t="str">
        <f aca="false">IF(OR(K58="Present",K58="Manual Work",K58="Partial Vacation",K58="Partial Sick Leave"),IF(ISNUMBER(G58),G58,IF(AND(K58="Present",U58),V58,"")),"")</f>
        <v/>
      </c>
      <c r="N58" s="14" t="n">
        <f aca="false">IF(AND(ISNUMBER(L58),ISNUMBER(M58)),MAX(0,(M58-L58)*24),0)</f>
        <v>0</v>
      </c>
      <c r="O58" s="14" t="n">
        <f aca="false">IF(NOT(U58),0,IF(K58="Vacation",IF(C58="Eve",Settings!$B$9*Settings!$B$11,W58),IF(K58="Partial Vacation",IF(AND(ISNUMBER(H58),ISNUMBER(I58)),MAX(0,(I58-H58)*24),0),0)))</f>
        <v>0</v>
      </c>
      <c r="P58" s="14" t="n">
        <f aca="false">IF(NOT(U58),0,IF(K58="Sick Leave",W58,IF(K58="Partial Sick Leave",IF(AND(ISNUMBER(H58),ISNUMBER(I58)),MAX(0,(I58-H58)*24),0),0)))</f>
        <v>0</v>
      </c>
      <c r="Q58" s="14" t="n">
        <f aca="false">IF(NOT(U58),0,IF(K58="Vacation",IF(C58="Eve",Settings!$B$11,1),IF(K58="Partial Vacation",O58/Settings!$B$9,0)))</f>
        <v>0</v>
      </c>
      <c r="R58" s="14" t="n">
        <f aca="false">IF(NOT(U58),0,IF(K58="Sick Leave",1,IF(K58="Partial Sick Leave",P58/Settings!$B$9,0)))</f>
        <v>0</v>
      </c>
      <c r="S58" s="35" t="str">
        <f aca="false">IF(AND(OR(E58="Vacation",E58="Sick Leave",E58="Partial Vacation",E58="Partial Sick Leave"),NOT(U58)),"Leave not allowed on this day",IF(AND(E58="Manual Work",OR(NOT(ISNUMBER(F58)),NOT(ISNUMBER(G58)))),"Enter start and end",IF(AND(OR(E58="Partial Vacation",E58="Partial Sick Leave"),OR(NOT(ISNUMBER(H58)),NOT(ISNUMBER(I58)))),"Enter leave from and to",IF(AND(ISNUMBER(F58),ISNUMBER(G58),G58&lt;=F58),"End is before start",IF(AND(ISNUMBER(H58),ISNUMBER(I58),I58&lt;=H58),"Leave end is before start",IF(AND(ISNUMBER(F58),ISNUMBER(G58),ISNUMBER(H58),ISNUMBER(I58),F58&lt;I58,H58&lt;G58),"Work and leave hours overlap",IF(AND(E58&lt;&gt;"",WEEKDAY(A58)=7),"Saturday - administrator only","")))))))</f>
        <v/>
      </c>
      <c r="T58" s="36" t="n">
        <f aca="false">MONTH(A58)</f>
        <v>2</v>
      </c>
      <c r="U58" s="37" t="b">
        <f aca="false">OR(C58="Workday",C58="Eve")</f>
        <v>0</v>
      </c>
      <c r="V58" s="34" t="n">
        <f aca="false">IF(C58="Eve",Settings!$B$8,Settings!$B$7)</f>
        <v>0.6875</v>
      </c>
      <c r="W58" s="14" t="n">
        <f aca="false">IF(U58,(V58-Settings!$B$6)*24,0)</f>
        <v>0</v>
      </c>
    </row>
    <row r="59" customFormat="false" ht="15" hidden="false" customHeight="false" outlineLevel="0" collapsed="false">
      <c r="A59" s="29" t="n">
        <v>46075</v>
      </c>
      <c r="B59" s="30" t="str">
        <f aca="false">CHOOSE(WEEKDAY(A59),"Sun","Mon","Tue","Wed","Thu","Fri","Sat")</f>
        <v>Sun</v>
      </c>
      <c r="C59" s="30" t="str">
        <f aca="false">IF(IFERROR(INDEX(Holidays!$D$5:$D$60,MATCH(A59,Holidays!$A$5:$A$60,0)),"")="Holiday","Holiday",IF(WEEKDAY(A59)&gt;=6,"Weekend",IF(IFERROR(INDEX(Holidays!$D$5:$D$60,MATCH(A59,Holidays!$A$5:$A$60,0)),"")="Eve","Eve","Workday")))</f>
        <v>Workday</v>
      </c>
      <c r="D59" s="18" t="str">
        <f aca="false">IFERROR(INDEX(Holidays!$C$5:$C$60,MATCH(A59,Holidays!$A$5:$A$60,0)),"")</f>
        <v/>
      </c>
      <c r="E59" s="31"/>
      <c r="F59" s="32"/>
      <c r="G59" s="32"/>
      <c r="H59" s="32"/>
      <c r="I59" s="32"/>
      <c r="J59" s="31"/>
      <c r="K59" s="33" t="str">
        <f aca="false">IF(E59&lt;&gt;"",E59,IF(U59,"Present",IF(C59="Holiday","Holiday","Weekend")))</f>
        <v>Present</v>
      </c>
      <c r="L59" s="34" t="n">
        <f aca="false">IF(OR(K59="Present",K59="Manual Work",K59="Partial Vacation",K59="Partial Sick Leave"),IF(ISNUMBER(F59),F59,IF(AND(K59="Present",U59),Settings!$B$6,"")),"")</f>
        <v>0.333333333333333</v>
      </c>
      <c r="M59" s="34" t="n">
        <f aca="false">IF(OR(K59="Present",K59="Manual Work",K59="Partial Vacation",K59="Partial Sick Leave"),IF(ISNUMBER(G59),G59,IF(AND(K59="Present",U59),V59,"")),"")</f>
        <v>0.6875</v>
      </c>
      <c r="N59" s="14" t="n">
        <f aca="false">IF(AND(ISNUMBER(L59),ISNUMBER(M59)),MAX(0,(M59-L59)*24),0)</f>
        <v>8.5</v>
      </c>
      <c r="O59" s="14" t="n">
        <f aca="false">IF(NOT(U59),0,IF(K59="Vacation",IF(C59="Eve",Settings!$B$9*Settings!$B$11,W59),IF(K59="Partial Vacation",IF(AND(ISNUMBER(H59),ISNUMBER(I59)),MAX(0,(I59-H59)*24),0),0)))</f>
        <v>0</v>
      </c>
      <c r="P59" s="14" t="n">
        <f aca="false">IF(NOT(U59),0,IF(K59="Sick Leave",W59,IF(K59="Partial Sick Leave",IF(AND(ISNUMBER(H59),ISNUMBER(I59)),MAX(0,(I59-H59)*24),0),0)))</f>
        <v>0</v>
      </c>
      <c r="Q59" s="14" t="n">
        <f aca="false">IF(NOT(U59),0,IF(K59="Vacation",IF(C59="Eve",Settings!$B$11,1),IF(K59="Partial Vacation",O59/Settings!$B$9,0)))</f>
        <v>0</v>
      </c>
      <c r="R59" s="14" t="n">
        <f aca="false">IF(NOT(U59),0,IF(K59="Sick Leave",1,IF(K59="Partial Sick Leave",P59/Settings!$B$9,0)))</f>
        <v>0</v>
      </c>
      <c r="S59" s="35" t="str">
        <f aca="false">IF(AND(OR(E59="Vacation",E59="Sick Leave",E59="Partial Vacation",E59="Partial Sick Leave"),NOT(U59)),"Leave not allowed on this day",IF(AND(E59="Manual Work",OR(NOT(ISNUMBER(F59)),NOT(ISNUMBER(G59)))),"Enter start and end",IF(AND(OR(E59="Partial Vacation",E59="Partial Sick Leave"),OR(NOT(ISNUMBER(H59)),NOT(ISNUMBER(I59)))),"Enter leave from and to",IF(AND(ISNUMBER(F59),ISNUMBER(G59),G59&lt;=F59),"End is before start",IF(AND(ISNUMBER(H59),ISNUMBER(I59),I59&lt;=H59),"Leave end is before start",IF(AND(ISNUMBER(F59),ISNUMBER(G59),ISNUMBER(H59),ISNUMBER(I59),F59&lt;I59,H59&lt;G59),"Work and leave hours overlap",IF(AND(E59&lt;&gt;"",WEEKDAY(A59)=7),"Saturday - administrator only","")))))))</f>
        <v/>
      </c>
      <c r="T59" s="36" t="n">
        <f aca="false">MONTH(A59)</f>
        <v>2</v>
      </c>
      <c r="U59" s="37" t="b">
        <f aca="false">OR(C59="Workday",C59="Eve")</f>
        <v>1</v>
      </c>
      <c r="V59" s="34" t="n">
        <f aca="false">IF(C59="Eve",Settings!$B$8,Settings!$B$7)</f>
        <v>0.6875</v>
      </c>
      <c r="W59" s="14" t="n">
        <f aca="false">IF(U59,(V59-Settings!$B$6)*24,0)</f>
        <v>8.5</v>
      </c>
    </row>
    <row r="60" customFormat="false" ht="15" hidden="false" customHeight="false" outlineLevel="0" collapsed="false">
      <c r="A60" s="29" t="n">
        <v>46076</v>
      </c>
      <c r="B60" s="30" t="str">
        <f aca="false">CHOOSE(WEEKDAY(A60),"Sun","Mon","Tue","Wed","Thu","Fri","Sat")</f>
        <v>Mon</v>
      </c>
      <c r="C60" s="30" t="str">
        <f aca="false">IF(IFERROR(INDEX(Holidays!$D$5:$D$60,MATCH(A60,Holidays!$A$5:$A$60,0)),"")="Holiday","Holiday",IF(WEEKDAY(A60)&gt;=6,"Weekend",IF(IFERROR(INDEX(Holidays!$D$5:$D$60,MATCH(A60,Holidays!$A$5:$A$60,0)),"")="Eve","Eve","Workday")))</f>
        <v>Workday</v>
      </c>
      <c r="D60" s="18" t="str">
        <f aca="false">IFERROR(INDEX(Holidays!$C$5:$C$60,MATCH(A60,Holidays!$A$5:$A$60,0)),"")</f>
        <v/>
      </c>
      <c r="E60" s="31"/>
      <c r="F60" s="32"/>
      <c r="G60" s="32"/>
      <c r="H60" s="32"/>
      <c r="I60" s="32"/>
      <c r="J60" s="31"/>
      <c r="K60" s="33" t="str">
        <f aca="false">IF(E60&lt;&gt;"",E60,IF(U60,"Present",IF(C60="Holiday","Holiday","Weekend")))</f>
        <v>Present</v>
      </c>
      <c r="L60" s="34" t="n">
        <f aca="false">IF(OR(K60="Present",K60="Manual Work",K60="Partial Vacation",K60="Partial Sick Leave"),IF(ISNUMBER(F60),F60,IF(AND(K60="Present",U60),Settings!$B$6,"")),"")</f>
        <v>0.333333333333333</v>
      </c>
      <c r="M60" s="34" t="n">
        <f aca="false">IF(OR(K60="Present",K60="Manual Work",K60="Partial Vacation",K60="Partial Sick Leave"),IF(ISNUMBER(G60),G60,IF(AND(K60="Present",U60),V60,"")),"")</f>
        <v>0.6875</v>
      </c>
      <c r="N60" s="14" t="n">
        <f aca="false">IF(AND(ISNUMBER(L60),ISNUMBER(M60)),MAX(0,(M60-L60)*24),0)</f>
        <v>8.5</v>
      </c>
      <c r="O60" s="14" t="n">
        <f aca="false">IF(NOT(U60),0,IF(K60="Vacation",IF(C60="Eve",Settings!$B$9*Settings!$B$11,W60),IF(K60="Partial Vacation",IF(AND(ISNUMBER(H60),ISNUMBER(I60)),MAX(0,(I60-H60)*24),0),0)))</f>
        <v>0</v>
      </c>
      <c r="P60" s="14" t="n">
        <f aca="false">IF(NOT(U60),0,IF(K60="Sick Leave",W60,IF(K60="Partial Sick Leave",IF(AND(ISNUMBER(H60),ISNUMBER(I60)),MAX(0,(I60-H60)*24),0),0)))</f>
        <v>0</v>
      </c>
      <c r="Q60" s="14" t="n">
        <f aca="false">IF(NOT(U60),0,IF(K60="Vacation",IF(C60="Eve",Settings!$B$11,1),IF(K60="Partial Vacation",O60/Settings!$B$9,0)))</f>
        <v>0</v>
      </c>
      <c r="R60" s="14" t="n">
        <f aca="false">IF(NOT(U60),0,IF(K60="Sick Leave",1,IF(K60="Partial Sick Leave",P60/Settings!$B$9,0)))</f>
        <v>0</v>
      </c>
      <c r="S60" s="35" t="str">
        <f aca="false">IF(AND(OR(E60="Vacation",E60="Sick Leave",E60="Partial Vacation",E60="Partial Sick Leave"),NOT(U60)),"Leave not allowed on this day",IF(AND(E60="Manual Work",OR(NOT(ISNUMBER(F60)),NOT(ISNUMBER(G60)))),"Enter start and end",IF(AND(OR(E60="Partial Vacation",E60="Partial Sick Leave"),OR(NOT(ISNUMBER(H60)),NOT(ISNUMBER(I60)))),"Enter leave from and to",IF(AND(ISNUMBER(F60),ISNUMBER(G60),G60&lt;=F60),"End is before start",IF(AND(ISNUMBER(H60),ISNUMBER(I60),I60&lt;=H60),"Leave end is before start",IF(AND(ISNUMBER(F60),ISNUMBER(G60),ISNUMBER(H60),ISNUMBER(I60),F60&lt;I60,H60&lt;G60),"Work and leave hours overlap",IF(AND(E60&lt;&gt;"",WEEKDAY(A60)=7),"Saturday - administrator only","")))))))</f>
        <v/>
      </c>
      <c r="T60" s="36" t="n">
        <f aca="false">MONTH(A60)</f>
        <v>2</v>
      </c>
      <c r="U60" s="37" t="b">
        <f aca="false">OR(C60="Workday",C60="Eve")</f>
        <v>1</v>
      </c>
      <c r="V60" s="34" t="n">
        <f aca="false">IF(C60="Eve",Settings!$B$8,Settings!$B$7)</f>
        <v>0.6875</v>
      </c>
      <c r="W60" s="14" t="n">
        <f aca="false">IF(U60,(V60-Settings!$B$6)*24,0)</f>
        <v>8.5</v>
      </c>
    </row>
    <row r="61" customFormat="false" ht="15" hidden="false" customHeight="false" outlineLevel="0" collapsed="false">
      <c r="A61" s="29" t="n">
        <v>46077</v>
      </c>
      <c r="B61" s="30" t="str">
        <f aca="false">CHOOSE(WEEKDAY(A61),"Sun","Mon","Tue","Wed","Thu","Fri","Sat")</f>
        <v>Tue</v>
      </c>
      <c r="C61" s="30" t="str">
        <f aca="false">IF(IFERROR(INDEX(Holidays!$D$5:$D$60,MATCH(A61,Holidays!$A$5:$A$60,0)),"")="Holiday","Holiday",IF(WEEKDAY(A61)&gt;=6,"Weekend",IF(IFERROR(INDEX(Holidays!$D$5:$D$60,MATCH(A61,Holidays!$A$5:$A$60,0)),"")="Eve","Eve","Workday")))</f>
        <v>Workday</v>
      </c>
      <c r="D61" s="18" t="str">
        <f aca="false">IFERROR(INDEX(Holidays!$C$5:$C$60,MATCH(A61,Holidays!$A$5:$A$60,0)),"")</f>
        <v/>
      </c>
      <c r="E61" s="31"/>
      <c r="F61" s="32"/>
      <c r="G61" s="32"/>
      <c r="H61" s="32"/>
      <c r="I61" s="32"/>
      <c r="J61" s="31"/>
      <c r="K61" s="33" t="str">
        <f aca="false">IF(E61&lt;&gt;"",E61,IF(U61,"Present",IF(C61="Holiday","Holiday","Weekend")))</f>
        <v>Present</v>
      </c>
      <c r="L61" s="34" t="n">
        <f aca="false">IF(OR(K61="Present",K61="Manual Work",K61="Partial Vacation",K61="Partial Sick Leave"),IF(ISNUMBER(F61),F61,IF(AND(K61="Present",U61),Settings!$B$6,"")),"")</f>
        <v>0.333333333333333</v>
      </c>
      <c r="M61" s="34" t="n">
        <f aca="false">IF(OR(K61="Present",K61="Manual Work",K61="Partial Vacation",K61="Partial Sick Leave"),IF(ISNUMBER(G61),G61,IF(AND(K61="Present",U61),V61,"")),"")</f>
        <v>0.6875</v>
      </c>
      <c r="N61" s="14" t="n">
        <f aca="false">IF(AND(ISNUMBER(L61),ISNUMBER(M61)),MAX(0,(M61-L61)*24),0)</f>
        <v>8.5</v>
      </c>
      <c r="O61" s="14" t="n">
        <f aca="false">IF(NOT(U61),0,IF(K61="Vacation",IF(C61="Eve",Settings!$B$9*Settings!$B$11,W61),IF(K61="Partial Vacation",IF(AND(ISNUMBER(H61),ISNUMBER(I61)),MAX(0,(I61-H61)*24),0),0)))</f>
        <v>0</v>
      </c>
      <c r="P61" s="14" t="n">
        <f aca="false">IF(NOT(U61),0,IF(K61="Sick Leave",W61,IF(K61="Partial Sick Leave",IF(AND(ISNUMBER(H61),ISNUMBER(I61)),MAX(0,(I61-H61)*24),0),0)))</f>
        <v>0</v>
      </c>
      <c r="Q61" s="14" t="n">
        <f aca="false">IF(NOT(U61),0,IF(K61="Vacation",IF(C61="Eve",Settings!$B$11,1),IF(K61="Partial Vacation",O61/Settings!$B$9,0)))</f>
        <v>0</v>
      </c>
      <c r="R61" s="14" t="n">
        <f aca="false">IF(NOT(U61),0,IF(K61="Sick Leave",1,IF(K61="Partial Sick Leave",P61/Settings!$B$9,0)))</f>
        <v>0</v>
      </c>
      <c r="S61" s="35" t="str">
        <f aca="false">IF(AND(OR(E61="Vacation",E61="Sick Leave",E61="Partial Vacation",E61="Partial Sick Leave"),NOT(U61)),"Leave not allowed on this day",IF(AND(E61="Manual Work",OR(NOT(ISNUMBER(F61)),NOT(ISNUMBER(G61)))),"Enter start and end",IF(AND(OR(E61="Partial Vacation",E61="Partial Sick Leave"),OR(NOT(ISNUMBER(H61)),NOT(ISNUMBER(I61)))),"Enter leave from and to",IF(AND(ISNUMBER(F61),ISNUMBER(G61),G61&lt;=F61),"End is before start",IF(AND(ISNUMBER(H61),ISNUMBER(I61),I61&lt;=H61),"Leave end is before start",IF(AND(ISNUMBER(F61),ISNUMBER(G61),ISNUMBER(H61),ISNUMBER(I61),F61&lt;I61,H61&lt;G61),"Work and leave hours overlap",IF(AND(E61&lt;&gt;"",WEEKDAY(A61)=7),"Saturday - administrator only","")))))))</f>
        <v/>
      </c>
      <c r="T61" s="36" t="n">
        <f aca="false">MONTH(A61)</f>
        <v>2</v>
      </c>
      <c r="U61" s="37" t="b">
        <f aca="false">OR(C61="Workday",C61="Eve")</f>
        <v>1</v>
      </c>
      <c r="V61" s="34" t="n">
        <f aca="false">IF(C61="Eve",Settings!$B$8,Settings!$B$7)</f>
        <v>0.6875</v>
      </c>
      <c r="W61" s="14" t="n">
        <f aca="false">IF(U61,(V61-Settings!$B$6)*24,0)</f>
        <v>8.5</v>
      </c>
    </row>
    <row r="62" customFormat="false" ht="15" hidden="false" customHeight="false" outlineLevel="0" collapsed="false">
      <c r="A62" s="29" t="n">
        <v>46078</v>
      </c>
      <c r="B62" s="30" t="str">
        <f aca="false">CHOOSE(WEEKDAY(A62),"Sun","Mon","Tue","Wed","Thu","Fri","Sat")</f>
        <v>Wed</v>
      </c>
      <c r="C62" s="30" t="str">
        <f aca="false">IF(IFERROR(INDEX(Holidays!$D$5:$D$60,MATCH(A62,Holidays!$A$5:$A$60,0)),"")="Holiday","Holiday",IF(WEEKDAY(A62)&gt;=6,"Weekend",IF(IFERROR(INDEX(Holidays!$D$5:$D$60,MATCH(A62,Holidays!$A$5:$A$60,0)),"")="Eve","Eve","Workday")))</f>
        <v>Workday</v>
      </c>
      <c r="D62" s="18" t="str">
        <f aca="false">IFERROR(INDEX(Holidays!$C$5:$C$60,MATCH(A62,Holidays!$A$5:$A$60,0)),"")</f>
        <v/>
      </c>
      <c r="E62" s="31"/>
      <c r="F62" s="32"/>
      <c r="G62" s="32"/>
      <c r="H62" s="32"/>
      <c r="I62" s="32"/>
      <c r="J62" s="31"/>
      <c r="K62" s="33" t="str">
        <f aca="false">IF(E62&lt;&gt;"",E62,IF(U62,"Present",IF(C62="Holiday","Holiday","Weekend")))</f>
        <v>Present</v>
      </c>
      <c r="L62" s="34" t="n">
        <f aca="false">IF(OR(K62="Present",K62="Manual Work",K62="Partial Vacation",K62="Partial Sick Leave"),IF(ISNUMBER(F62),F62,IF(AND(K62="Present",U62),Settings!$B$6,"")),"")</f>
        <v>0.333333333333333</v>
      </c>
      <c r="M62" s="34" t="n">
        <f aca="false">IF(OR(K62="Present",K62="Manual Work",K62="Partial Vacation",K62="Partial Sick Leave"),IF(ISNUMBER(G62),G62,IF(AND(K62="Present",U62),V62,"")),"")</f>
        <v>0.6875</v>
      </c>
      <c r="N62" s="14" t="n">
        <f aca="false">IF(AND(ISNUMBER(L62),ISNUMBER(M62)),MAX(0,(M62-L62)*24),0)</f>
        <v>8.5</v>
      </c>
      <c r="O62" s="14" t="n">
        <f aca="false">IF(NOT(U62),0,IF(K62="Vacation",IF(C62="Eve",Settings!$B$9*Settings!$B$11,W62),IF(K62="Partial Vacation",IF(AND(ISNUMBER(H62),ISNUMBER(I62)),MAX(0,(I62-H62)*24),0),0)))</f>
        <v>0</v>
      </c>
      <c r="P62" s="14" t="n">
        <f aca="false">IF(NOT(U62),0,IF(K62="Sick Leave",W62,IF(K62="Partial Sick Leave",IF(AND(ISNUMBER(H62),ISNUMBER(I62)),MAX(0,(I62-H62)*24),0),0)))</f>
        <v>0</v>
      </c>
      <c r="Q62" s="14" t="n">
        <f aca="false">IF(NOT(U62),0,IF(K62="Vacation",IF(C62="Eve",Settings!$B$11,1),IF(K62="Partial Vacation",O62/Settings!$B$9,0)))</f>
        <v>0</v>
      </c>
      <c r="R62" s="14" t="n">
        <f aca="false">IF(NOT(U62),0,IF(K62="Sick Leave",1,IF(K62="Partial Sick Leave",P62/Settings!$B$9,0)))</f>
        <v>0</v>
      </c>
      <c r="S62" s="35" t="str">
        <f aca="false">IF(AND(OR(E62="Vacation",E62="Sick Leave",E62="Partial Vacation",E62="Partial Sick Leave"),NOT(U62)),"Leave not allowed on this day",IF(AND(E62="Manual Work",OR(NOT(ISNUMBER(F62)),NOT(ISNUMBER(G62)))),"Enter start and end",IF(AND(OR(E62="Partial Vacation",E62="Partial Sick Leave"),OR(NOT(ISNUMBER(H62)),NOT(ISNUMBER(I62)))),"Enter leave from and to",IF(AND(ISNUMBER(F62),ISNUMBER(G62),G62&lt;=F62),"End is before start",IF(AND(ISNUMBER(H62),ISNUMBER(I62),I62&lt;=H62),"Leave end is before start",IF(AND(ISNUMBER(F62),ISNUMBER(G62),ISNUMBER(H62),ISNUMBER(I62),F62&lt;I62,H62&lt;G62),"Work and leave hours overlap",IF(AND(E62&lt;&gt;"",WEEKDAY(A62)=7),"Saturday - administrator only","")))))))</f>
        <v/>
      </c>
      <c r="T62" s="36" t="n">
        <f aca="false">MONTH(A62)</f>
        <v>2</v>
      </c>
      <c r="U62" s="37" t="b">
        <f aca="false">OR(C62="Workday",C62="Eve")</f>
        <v>1</v>
      </c>
      <c r="V62" s="34" t="n">
        <f aca="false">IF(C62="Eve",Settings!$B$8,Settings!$B$7)</f>
        <v>0.6875</v>
      </c>
      <c r="W62" s="14" t="n">
        <f aca="false">IF(U62,(V62-Settings!$B$6)*24,0)</f>
        <v>8.5</v>
      </c>
    </row>
    <row r="63" customFormat="false" ht="15" hidden="false" customHeight="false" outlineLevel="0" collapsed="false">
      <c r="A63" s="29" t="n">
        <v>46079</v>
      </c>
      <c r="B63" s="30" t="str">
        <f aca="false">CHOOSE(WEEKDAY(A63),"Sun","Mon","Tue","Wed","Thu","Fri","Sat")</f>
        <v>Thu</v>
      </c>
      <c r="C63" s="30" t="str">
        <f aca="false">IF(IFERROR(INDEX(Holidays!$D$5:$D$60,MATCH(A63,Holidays!$A$5:$A$60,0)),"")="Holiday","Holiday",IF(WEEKDAY(A63)&gt;=6,"Weekend",IF(IFERROR(INDEX(Holidays!$D$5:$D$60,MATCH(A63,Holidays!$A$5:$A$60,0)),"")="Eve","Eve","Workday")))</f>
        <v>Workday</v>
      </c>
      <c r="D63" s="18" t="str">
        <f aca="false">IFERROR(INDEX(Holidays!$C$5:$C$60,MATCH(A63,Holidays!$A$5:$A$60,0)),"")</f>
        <v/>
      </c>
      <c r="E63" s="31"/>
      <c r="F63" s="32"/>
      <c r="G63" s="32"/>
      <c r="H63" s="32"/>
      <c r="I63" s="32"/>
      <c r="J63" s="31"/>
      <c r="K63" s="33" t="str">
        <f aca="false">IF(E63&lt;&gt;"",E63,IF(U63,"Present",IF(C63="Holiday","Holiday","Weekend")))</f>
        <v>Present</v>
      </c>
      <c r="L63" s="34" t="n">
        <f aca="false">IF(OR(K63="Present",K63="Manual Work",K63="Partial Vacation",K63="Partial Sick Leave"),IF(ISNUMBER(F63),F63,IF(AND(K63="Present",U63),Settings!$B$6,"")),"")</f>
        <v>0.333333333333333</v>
      </c>
      <c r="M63" s="34" t="n">
        <f aca="false">IF(OR(K63="Present",K63="Manual Work",K63="Partial Vacation",K63="Partial Sick Leave"),IF(ISNUMBER(G63),G63,IF(AND(K63="Present",U63),V63,"")),"")</f>
        <v>0.6875</v>
      </c>
      <c r="N63" s="14" t="n">
        <f aca="false">IF(AND(ISNUMBER(L63),ISNUMBER(M63)),MAX(0,(M63-L63)*24),0)</f>
        <v>8.5</v>
      </c>
      <c r="O63" s="14" t="n">
        <f aca="false">IF(NOT(U63),0,IF(K63="Vacation",IF(C63="Eve",Settings!$B$9*Settings!$B$11,W63),IF(K63="Partial Vacation",IF(AND(ISNUMBER(H63),ISNUMBER(I63)),MAX(0,(I63-H63)*24),0),0)))</f>
        <v>0</v>
      </c>
      <c r="P63" s="14" t="n">
        <f aca="false">IF(NOT(U63),0,IF(K63="Sick Leave",W63,IF(K63="Partial Sick Leave",IF(AND(ISNUMBER(H63),ISNUMBER(I63)),MAX(0,(I63-H63)*24),0),0)))</f>
        <v>0</v>
      </c>
      <c r="Q63" s="14" t="n">
        <f aca="false">IF(NOT(U63),0,IF(K63="Vacation",IF(C63="Eve",Settings!$B$11,1),IF(K63="Partial Vacation",O63/Settings!$B$9,0)))</f>
        <v>0</v>
      </c>
      <c r="R63" s="14" t="n">
        <f aca="false">IF(NOT(U63),0,IF(K63="Sick Leave",1,IF(K63="Partial Sick Leave",P63/Settings!$B$9,0)))</f>
        <v>0</v>
      </c>
      <c r="S63" s="35" t="str">
        <f aca="false">IF(AND(OR(E63="Vacation",E63="Sick Leave",E63="Partial Vacation",E63="Partial Sick Leave"),NOT(U63)),"Leave not allowed on this day",IF(AND(E63="Manual Work",OR(NOT(ISNUMBER(F63)),NOT(ISNUMBER(G63)))),"Enter start and end",IF(AND(OR(E63="Partial Vacation",E63="Partial Sick Leave"),OR(NOT(ISNUMBER(H63)),NOT(ISNUMBER(I63)))),"Enter leave from and to",IF(AND(ISNUMBER(F63),ISNUMBER(G63),G63&lt;=F63),"End is before start",IF(AND(ISNUMBER(H63),ISNUMBER(I63),I63&lt;=H63),"Leave end is before start",IF(AND(ISNUMBER(F63),ISNUMBER(G63),ISNUMBER(H63),ISNUMBER(I63),F63&lt;I63,H63&lt;G63),"Work and leave hours overlap",IF(AND(E63&lt;&gt;"",WEEKDAY(A63)=7),"Saturday - administrator only","")))))))</f>
        <v/>
      </c>
      <c r="T63" s="36" t="n">
        <f aca="false">MONTH(A63)</f>
        <v>2</v>
      </c>
      <c r="U63" s="37" t="b">
        <f aca="false">OR(C63="Workday",C63="Eve")</f>
        <v>1</v>
      </c>
      <c r="V63" s="34" t="n">
        <f aca="false">IF(C63="Eve",Settings!$B$8,Settings!$B$7)</f>
        <v>0.6875</v>
      </c>
      <c r="W63" s="14" t="n">
        <f aca="false">IF(U63,(V63-Settings!$B$6)*24,0)</f>
        <v>8.5</v>
      </c>
    </row>
    <row r="64" customFormat="false" ht="15" hidden="false" customHeight="false" outlineLevel="0" collapsed="false">
      <c r="A64" s="29" t="n">
        <v>46080</v>
      </c>
      <c r="B64" s="30" t="str">
        <f aca="false">CHOOSE(WEEKDAY(A64),"Sun","Mon","Tue","Wed","Thu","Fri","Sat")</f>
        <v>Fri</v>
      </c>
      <c r="C64" s="30" t="str">
        <f aca="false">IF(IFERROR(INDEX(Holidays!$D$5:$D$60,MATCH(A64,Holidays!$A$5:$A$60,0)),"")="Holiday","Holiday",IF(WEEKDAY(A64)&gt;=6,"Weekend",IF(IFERROR(INDEX(Holidays!$D$5:$D$60,MATCH(A64,Holidays!$A$5:$A$60,0)),"")="Eve","Eve","Workday")))</f>
        <v>Weekend</v>
      </c>
      <c r="D64" s="18" t="str">
        <f aca="false">IFERROR(INDEX(Holidays!$C$5:$C$60,MATCH(A64,Holidays!$A$5:$A$60,0)),"")</f>
        <v/>
      </c>
      <c r="E64" s="31"/>
      <c r="F64" s="32"/>
      <c r="G64" s="32"/>
      <c r="H64" s="32"/>
      <c r="I64" s="32"/>
      <c r="J64" s="31"/>
      <c r="K64" s="33" t="str">
        <f aca="false">IF(E64&lt;&gt;"",E64,IF(U64,"Present",IF(C64="Holiday","Holiday","Weekend")))</f>
        <v>Weekend</v>
      </c>
      <c r="L64" s="34" t="str">
        <f aca="false">IF(OR(K64="Present",K64="Manual Work",K64="Partial Vacation",K64="Partial Sick Leave"),IF(ISNUMBER(F64),F64,IF(AND(K64="Present",U64),Settings!$B$6,"")),"")</f>
        <v/>
      </c>
      <c r="M64" s="34" t="str">
        <f aca="false">IF(OR(K64="Present",K64="Manual Work",K64="Partial Vacation",K64="Partial Sick Leave"),IF(ISNUMBER(G64),G64,IF(AND(K64="Present",U64),V64,"")),"")</f>
        <v/>
      </c>
      <c r="N64" s="14" t="n">
        <f aca="false">IF(AND(ISNUMBER(L64),ISNUMBER(M64)),MAX(0,(M64-L64)*24),0)</f>
        <v>0</v>
      </c>
      <c r="O64" s="14" t="n">
        <f aca="false">IF(NOT(U64),0,IF(K64="Vacation",IF(C64="Eve",Settings!$B$9*Settings!$B$11,W64),IF(K64="Partial Vacation",IF(AND(ISNUMBER(H64),ISNUMBER(I64)),MAX(0,(I64-H64)*24),0),0)))</f>
        <v>0</v>
      </c>
      <c r="P64" s="14" t="n">
        <f aca="false">IF(NOT(U64),0,IF(K64="Sick Leave",W64,IF(K64="Partial Sick Leave",IF(AND(ISNUMBER(H64),ISNUMBER(I64)),MAX(0,(I64-H64)*24),0),0)))</f>
        <v>0</v>
      </c>
      <c r="Q64" s="14" t="n">
        <f aca="false">IF(NOT(U64),0,IF(K64="Vacation",IF(C64="Eve",Settings!$B$11,1),IF(K64="Partial Vacation",O64/Settings!$B$9,0)))</f>
        <v>0</v>
      </c>
      <c r="R64" s="14" t="n">
        <f aca="false">IF(NOT(U64),0,IF(K64="Sick Leave",1,IF(K64="Partial Sick Leave",P64/Settings!$B$9,0)))</f>
        <v>0</v>
      </c>
      <c r="S64" s="35" t="str">
        <f aca="false">IF(AND(OR(E64="Vacation",E64="Sick Leave",E64="Partial Vacation",E64="Partial Sick Leave"),NOT(U64)),"Leave not allowed on this day",IF(AND(E64="Manual Work",OR(NOT(ISNUMBER(F64)),NOT(ISNUMBER(G64)))),"Enter start and end",IF(AND(OR(E64="Partial Vacation",E64="Partial Sick Leave"),OR(NOT(ISNUMBER(H64)),NOT(ISNUMBER(I64)))),"Enter leave from and to",IF(AND(ISNUMBER(F64),ISNUMBER(G64),G64&lt;=F64),"End is before start",IF(AND(ISNUMBER(H64),ISNUMBER(I64),I64&lt;=H64),"Leave end is before start",IF(AND(ISNUMBER(F64),ISNUMBER(G64),ISNUMBER(H64),ISNUMBER(I64),F64&lt;I64,H64&lt;G64),"Work and leave hours overlap",IF(AND(E64&lt;&gt;"",WEEKDAY(A64)=7),"Saturday - administrator only","")))))))</f>
        <v/>
      </c>
      <c r="T64" s="36" t="n">
        <f aca="false">MONTH(A64)</f>
        <v>2</v>
      </c>
      <c r="U64" s="37" t="b">
        <f aca="false">OR(C64="Workday",C64="Eve")</f>
        <v>0</v>
      </c>
      <c r="V64" s="34" t="n">
        <f aca="false">IF(C64="Eve",Settings!$B$8,Settings!$B$7)</f>
        <v>0.6875</v>
      </c>
      <c r="W64" s="14" t="n">
        <f aca="false">IF(U64,(V64-Settings!$B$6)*24,0)</f>
        <v>0</v>
      </c>
    </row>
    <row r="65" customFormat="false" ht="15" hidden="false" customHeight="false" outlineLevel="0" collapsed="false">
      <c r="A65" s="29" t="n">
        <v>46081</v>
      </c>
      <c r="B65" s="30" t="str">
        <f aca="false">CHOOSE(WEEKDAY(A65),"Sun","Mon","Tue","Wed","Thu","Fri","Sat")</f>
        <v>Sat</v>
      </c>
      <c r="C65" s="30" t="str">
        <f aca="false">IF(IFERROR(INDEX(Holidays!$D$5:$D$60,MATCH(A65,Holidays!$A$5:$A$60,0)),"")="Holiday","Holiday",IF(WEEKDAY(A65)&gt;=6,"Weekend",IF(IFERROR(INDEX(Holidays!$D$5:$D$60,MATCH(A65,Holidays!$A$5:$A$60,0)),"")="Eve","Eve","Workday")))</f>
        <v>Weekend</v>
      </c>
      <c r="D65" s="18" t="str">
        <f aca="false">IFERROR(INDEX(Holidays!$C$5:$C$60,MATCH(A65,Holidays!$A$5:$A$60,0)),"")</f>
        <v/>
      </c>
      <c r="E65" s="31"/>
      <c r="F65" s="32"/>
      <c r="G65" s="32"/>
      <c r="H65" s="32"/>
      <c r="I65" s="32"/>
      <c r="J65" s="31"/>
      <c r="K65" s="33" t="str">
        <f aca="false">IF(E65&lt;&gt;"",E65,IF(U65,"Present",IF(C65="Holiday","Holiday","Weekend")))</f>
        <v>Weekend</v>
      </c>
      <c r="L65" s="34" t="str">
        <f aca="false">IF(OR(K65="Present",K65="Manual Work",K65="Partial Vacation",K65="Partial Sick Leave"),IF(ISNUMBER(F65),F65,IF(AND(K65="Present",U65),Settings!$B$6,"")),"")</f>
        <v/>
      </c>
      <c r="M65" s="34" t="str">
        <f aca="false">IF(OR(K65="Present",K65="Manual Work",K65="Partial Vacation",K65="Partial Sick Leave"),IF(ISNUMBER(G65),G65,IF(AND(K65="Present",U65),V65,"")),"")</f>
        <v/>
      </c>
      <c r="N65" s="14" t="n">
        <f aca="false">IF(AND(ISNUMBER(L65),ISNUMBER(M65)),MAX(0,(M65-L65)*24),0)</f>
        <v>0</v>
      </c>
      <c r="O65" s="14" t="n">
        <f aca="false">IF(NOT(U65),0,IF(K65="Vacation",IF(C65="Eve",Settings!$B$9*Settings!$B$11,W65),IF(K65="Partial Vacation",IF(AND(ISNUMBER(H65),ISNUMBER(I65)),MAX(0,(I65-H65)*24),0),0)))</f>
        <v>0</v>
      </c>
      <c r="P65" s="14" t="n">
        <f aca="false">IF(NOT(U65),0,IF(K65="Sick Leave",W65,IF(K65="Partial Sick Leave",IF(AND(ISNUMBER(H65),ISNUMBER(I65)),MAX(0,(I65-H65)*24),0),0)))</f>
        <v>0</v>
      </c>
      <c r="Q65" s="14" t="n">
        <f aca="false">IF(NOT(U65),0,IF(K65="Vacation",IF(C65="Eve",Settings!$B$11,1),IF(K65="Partial Vacation",O65/Settings!$B$9,0)))</f>
        <v>0</v>
      </c>
      <c r="R65" s="14" t="n">
        <f aca="false">IF(NOT(U65),0,IF(K65="Sick Leave",1,IF(K65="Partial Sick Leave",P65/Settings!$B$9,0)))</f>
        <v>0</v>
      </c>
      <c r="S65" s="35" t="str">
        <f aca="false">IF(AND(OR(E65="Vacation",E65="Sick Leave",E65="Partial Vacation",E65="Partial Sick Leave"),NOT(U65)),"Leave not allowed on this day",IF(AND(E65="Manual Work",OR(NOT(ISNUMBER(F65)),NOT(ISNUMBER(G65)))),"Enter start and end",IF(AND(OR(E65="Partial Vacation",E65="Partial Sick Leave"),OR(NOT(ISNUMBER(H65)),NOT(ISNUMBER(I65)))),"Enter leave from and to",IF(AND(ISNUMBER(F65),ISNUMBER(G65),G65&lt;=F65),"End is before start",IF(AND(ISNUMBER(H65),ISNUMBER(I65),I65&lt;=H65),"Leave end is before start",IF(AND(ISNUMBER(F65),ISNUMBER(G65),ISNUMBER(H65),ISNUMBER(I65),F65&lt;I65,H65&lt;G65),"Work and leave hours overlap",IF(AND(E65&lt;&gt;"",WEEKDAY(A65)=7),"Saturday - administrator only","")))))))</f>
        <v/>
      </c>
      <c r="T65" s="36" t="n">
        <f aca="false">MONTH(A65)</f>
        <v>2</v>
      </c>
      <c r="U65" s="37" t="b">
        <f aca="false">OR(C65="Workday",C65="Eve")</f>
        <v>0</v>
      </c>
      <c r="V65" s="34" t="n">
        <f aca="false">IF(C65="Eve",Settings!$B$8,Settings!$B$7)</f>
        <v>0.6875</v>
      </c>
      <c r="W65" s="14" t="n">
        <f aca="false">IF(U65,(V65-Settings!$B$6)*24,0)</f>
        <v>0</v>
      </c>
    </row>
    <row r="66" customFormat="false" ht="15" hidden="false" customHeight="false" outlineLevel="0" collapsed="false">
      <c r="A66" s="29" t="n">
        <v>46082</v>
      </c>
      <c r="B66" s="30" t="str">
        <f aca="false">CHOOSE(WEEKDAY(A66),"Sun","Mon","Tue","Wed","Thu","Fri","Sat")</f>
        <v>Sun</v>
      </c>
      <c r="C66" s="30" t="str">
        <f aca="false">IF(IFERROR(INDEX(Holidays!$D$5:$D$60,MATCH(A66,Holidays!$A$5:$A$60,0)),"")="Holiday","Holiday",IF(WEEKDAY(A66)&gt;=6,"Weekend",IF(IFERROR(INDEX(Holidays!$D$5:$D$60,MATCH(A66,Holidays!$A$5:$A$60,0)),"")="Eve","Eve","Workday")))</f>
        <v>Workday</v>
      </c>
      <c r="D66" s="18" t="str">
        <f aca="false">IFERROR(INDEX(Holidays!$C$5:$C$60,MATCH(A66,Holidays!$A$5:$A$60,0)),"")</f>
        <v/>
      </c>
      <c r="E66" s="31"/>
      <c r="F66" s="32"/>
      <c r="G66" s="32"/>
      <c r="H66" s="32"/>
      <c r="I66" s="32"/>
      <c r="J66" s="31"/>
      <c r="K66" s="33" t="str">
        <f aca="false">IF(E66&lt;&gt;"",E66,IF(U66,"Present",IF(C66="Holiday","Holiday","Weekend")))</f>
        <v>Present</v>
      </c>
      <c r="L66" s="34" t="n">
        <f aca="false">IF(OR(K66="Present",K66="Manual Work",K66="Partial Vacation",K66="Partial Sick Leave"),IF(ISNUMBER(F66),F66,IF(AND(K66="Present",U66),Settings!$B$6,"")),"")</f>
        <v>0.333333333333333</v>
      </c>
      <c r="M66" s="34" t="n">
        <f aca="false">IF(OR(K66="Present",K66="Manual Work",K66="Partial Vacation",K66="Partial Sick Leave"),IF(ISNUMBER(G66),G66,IF(AND(K66="Present",U66),V66,"")),"")</f>
        <v>0.6875</v>
      </c>
      <c r="N66" s="14" t="n">
        <f aca="false">IF(AND(ISNUMBER(L66),ISNUMBER(M66)),MAX(0,(M66-L66)*24),0)</f>
        <v>8.5</v>
      </c>
      <c r="O66" s="14" t="n">
        <f aca="false">IF(NOT(U66),0,IF(K66="Vacation",IF(C66="Eve",Settings!$B$9*Settings!$B$11,W66),IF(K66="Partial Vacation",IF(AND(ISNUMBER(H66),ISNUMBER(I66)),MAX(0,(I66-H66)*24),0),0)))</f>
        <v>0</v>
      </c>
      <c r="P66" s="14" t="n">
        <f aca="false">IF(NOT(U66),0,IF(K66="Sick Leave",W66,IF(K66="Partial Sick Leave",IF(AND(ISNUMBER(H66),ISNUMBER(I66)),MAX(0,(I66-H66)*24),0),0)))</f>
        <v>0</v>
      </c>
      <c r="Q66" s="14" t="n">
        <f aca="false">IF(NOT(U66),0,IF(K66="Vacation",IF(C66="Eve",Settings!$B$11,1),IF(K66="Partial Vacation",O66/Settings!$B$9,0)))</f>
        <v>0</v>
      </c>
      <c r="R66" s="14" t="n">
        <f aca="false">IF(NOT(U66),0,IF(K66="Sick Leave",1,IF(K66="Partial Sick Leave",P66/Settings!$B$9,0)))</f>
        <v>0</v>
      </c>
      <c r="S66" s="35" t="str">
        <f aca="false">IF(AND(OR(E66="Vacation",E66="Sick Leave",E66="Partial Vacation",E66="Partial Sick Leave"),NOT(U66)),"Leave not allowed on this day",IF(AND(E66="Manual Work",OR(NOT(ISNUMBER(F66)),NOT(ISNUMBER(G66)))),"Enter start and end",IF(AND(OR(E66="Partial Vacation",E66="Partial Sick Leave"),OR(NOT(ISNUMBER(H66)),NOT(ISNUMBER(I66)))),"Enter leave from and to",IF(AND(ISNUMBER(F66),ISNUMBER(G66),G66&lt;=F66),"End is before start",IF(AND(ISNUMBER(H66),ISNUMBER(I66),I66&lt;=H66),"Leave end is before start",IF(AND(ISNUMBER(F66),ISNUMBER(G66),ISNUMBER(H66),ISNUMBER(I66),F66&lt;I66,H66&lt;G66),"Work and leave hours overlap",IF(AND(E66&lt;&gt;"",WEEKDAY(A66)=7),"Saturday - administrator only","")))))))</f>
        <v/>
      </c>
      <c r="T66" s="36" t="n">
        <f aca="false">MONTH(A66)</f>
        <v>3</v>
      </c>
      <c r="U66" s="37" t="b">
        <f aca="false">OR(C66="Workday",C66="Eve")</f>
        <v>1</v>
      </c>
      <c r="V66" s="34" t="n">
        <f aca="false">IF(C66="Eve",Settings!$B$8,Settings!$B$7)</f>
        <v>0.6875</v>
      </c>
      <c r="W66" s="14" t="n">
        <f aca="false">IF(U66,(V66-Settings!$B$6)*24,0)</f>
        <v>8.5</v>
      </c>
    </row>
    <row r="67" customFormat="false" ht="15" hidden="false" customHeight="false" outlineLevel="0" collapsed="false">
      <c r="A67" s="29" t="n">
        <v>46083</v>
      </c>
      <c r="B67" s="30" t="str">
        <f aca="false">CHOOSE(WEEKDAY(A67),"Sun","Mon","Tue","Wed","Thu","Fri","Sat")</f>
        <v>Mon</v>
      </c>
      <c r="C67" s="30" t="str">
        <f aca="false">IF(IFERROR(INDEX(Holidays!$D$5:$D$60,MATCH(A67,Holidays!$A$5:$A$60,0)),"")="Holiday","Holiday",IF(WEEKDAY(A67)&gt;=6,"Weekend",IF(IFERROR(INDEX(Holidays!$D$5:$D$60,MATCH(A67,Holidays!$A$5:$A$60,0)),"")="Eve","Eve","Workday")))</f>
        <v>Workday</v>
      </c>
      <c r="D67" s="18" t="str">
        <f aca="false">IFERROR(INDEX(Holidays!$C$5:$C$60,MATCH(A67,Holidays!$A$5:$A$60,0)),"")</f>
        <v/>
      </c>
      <c r="E67" s="31"/>
      <c r="F67" s="32"/>
      <c r="G67" s="32"/>
      <c r="H67" s="32"/>
      <c r="I67" s="32"/>
      <c r="J67" s="31"/>
      <c r="K67" s="33" t="str">
        <f aca="false">IF(E67&lt;&gt;"",E67,IF(U67,"Present",IF(C67="Holiday","Holiday","Weekend")))</f>
        <v>Present</v>
      </c>
      <c r="L67" s="34" t="n">
        <f aca="false">IF(OR(K67="Present",K67="Manual Work",K67="Partial Vacation",K67="Partial Sick Leave"),IF(ISNUMBER(F67),F67,IF(AND(K67="Present",U67),Settings!$B$6,"")),"")</f>
        <v>0.333333333333333</v>
      </c>
      <c r="M67" s="34" t="n">
        <f aca="false">IF(OR(K67="Present",K67="Manual Work",K67="Partial Vacation",K67="Partial Sick Leave"),IF(ISNUMBER(G67),G67,IF(AND(K67="Present",U67),V67,"")),"")</f>
        <v>0.6875</v>
      </c>
      <c r="N67" s="14" t="n">
        <f aca="false">IF(AND(ISNUMBER(L67),ISNUMBER(M67)),MAX(0,(M67-L67)*24),0)</f>
        <v>8.5</v>
      </c>
      <c r="O67" s="14" t="n">
        <f aca="false">IF(NOT(U67),0,IF(K67="Vacation",IF(C67="Eve",Settings!$B$9*Settings!$B$11,W67),IF(K67="Partial Vacation",IF(AND(ISNUMBER(H67),ISNUMBER(I67)),MAX(0,(I67-H67)*24),0),0)))</f>
        <v>0</v>
      </c>
      <c r="P67" s="14" t="n">
        <f aca="false">IF(NOT(U67),0,IF(K67="Sick Leave",W67,IF(K67="Partial Sick Leave",IF(AND(ISNUMBER(H67),ISNUMBER(I67)),MAX(0,(I67-H67)*24),0),0)))</f>
        <v>0</v>
      </c>
      <c r="Q67" s="14" t="n">
        <f aca="false">IF(NOT(U67),0,IF(K67="Vacation",IF(C67="Eve",Settings!$B$11,1),IF(K67="Partial Vacation",O67/Settings!$B$9,0)))</f>
        <v>0</v>
      </c>
      <c r="R67" s="14" t="n">
        <f aca="false">IF(NOT(U67),0,IF(K67="Sick Leave",1,IF(K67="Partial Sick Leave",P67/Settings!$B$9,0)))</f>
        <v>0</v>
      </c>
      <c r="S67" s="35" t="str">
        <f aca="false">IF(AND(OR(E67="Vacation",E67="Sick Leave",E67="Partial Vacation",E67="Partial Sick Leave"),NOT(U67)),"Leave not allowed on this day",IF(AND(E67="Manual Work",OR(NOT(ISNUMBER(F67)),NOT(ISNUMBER(G67)))),"Enter start and end",IF(AND(OR(E67="Partial Vacation",E67="Partial Sick Leave"),OR(NOT(ISNUMBER(H67)),NOT(ISNUMBER(I67)))),"Enter leave from and to",IF(AND(ISNUMBER(F67),ISNUMBER(G67),G67&lt;=F67),"End is before start",IF(AND(ISNUMBER(H67),ISNUMBER(I67),I67&lt;=H67),"Leave end is before start",IF(AND(ISNUMBER(F67),ISNUMBER(G67),ISNUMBER(H67),ISNUMBER(I67),F67&lt;I67,H67&lt;G67),"Work and leave hours overlap",IF(AND(E67&lt;&gt;"",WEEKDAY(A67)=7),"Saturday - administrator only","")))))))</f>
        <v/>
      </c>
      <c r="T67" s="36" t="n">
        <f aca="false">MONTH(A67)</f>
        <v>3</v>
      </c>
      <c r="U67" s="37" t="b">
        <f aca="false">OR(C67="Workday",C67="Eve")</f>
        <v>1</v>
      </c>
      <c r="V67" s="34" t="n">
        <f aca="false">IF(C67="Eve",Settings!$B$8,Settings!$B$7)</f>
        <v>0.6875</v>
      </c>
      <c r="W67" s="14" t="n">
        <f aca="false">IF(U67,(V67-Settings!$B$6)*24,0)</f>
        <v>8.5</v>
      </c>
    </row>
    <row r="68" customFormat="false" ht="15" hidden="false" customHeight="false" outlineLevel="0" collapsed="false">
      <c r="A68" s="29" t="n">
        <v>46084</v>
      </c>
      <c r="B68" s="30" t="str">
        <f aca="false">CHOOSE(WEEKDAY(A68),"Sun","Mon","Tue","Wed","Thu","Fri","Sat")</f>
        <v>Tue</v>
      </c>
      <c r="C68" s="30" t="str">
        <f aca="false">IF(IFERROR(INDEX(Holidays!$D$5:$D$60,MATCH(A68,Holidays!$A$5:$A$60,0)),"")="Holiday","Holiday",IF(WEEKDAY(A68)&gt;=6,"Weekend",IF(IFERROR(INDEX(Holidays!$D$5:$D$60,MATCH(A68,Holidays!$A$5:$A$60,0)),"")="Eve","Eve","Workday")))</f>
        <v>Workday</v>
      </c>
      <c r="D68" s="18" t="str">
        <f aca="false">IFERROR(INDEX(Holidays!$C$5:$C$60,MATCH(A68,Holidays!$A$5:$A$60,0)),"")</f>
        <v/>
      </c>
      <c r="E68" s="31"/>
      <c r="F68" s="32"/>
      <c r="G68" s="32"/>
      <c r="H68" s="32"/>
      <c r="I68" s="32"/>
      <c r="J68" s="31"/>
      <c r="K68" s="33" t="str">
        <f aca="false">IF(E68&lt;&gt;"",E68,IF(U68,"Present",IF(C68="Holiday","Holiday","Weekend")))</f>
        <v>Present</v>
      </c>
      <c r="L68" s="34" t="n">
        <f aca="false">IF(OR(K68="Present",K68="Manual Work",K68="Partial Vacation",K68="Partial Sick Leave"),IF(ISNUMBER(F68),F68,IF(AND(K68="Present",U68),Settings!$B$6,"")),"")</f>
        <v>0.333333333333333</v>
      </c>
      <c r="M68" s="34" t="n">
        <f aca="false">IF(OR(K68="Present",K68="Manual Work",K68="Partial Vacation",K68="Partial Sick Leave"),IF(ISNUMBER(G68),G68,IF(AND(K68="Present",U68),V68,"")),"")</f>
        <v>0.6875</v>
      </c>
      <c r="N68" s="14" t="n">
        <f aca="false">IF(AND(ISNUMBER(L68),ISNUMBER(M68)),MAX(0,(M68-L68)*24),0)</f>
        <v>8.5</v>
      </c>
      <c r="O68" s="14" t="n">
        <f aca="false">IF(NOT(U68),0,IF(K68="Vacation",IF(C68="Eve",Settings!$B$9*Settings!$B$11,W68),IF(K68="Partial Vacation",IF(AND(ISNUMBER(H68),ISNUMBER(I68)),MAX(0,(I68-H68)*24),0),0)))</f>
        <v>0</v>
      </c>
      <c r="P68" s="14" t="n">
        <f aca="false">IF(NOT(U68),0,IF(K68="Sick Leave",W68,IF(K68="Partial Sick Leave",IF(AND(ISNUMBER(H68),ISNUMBER(I68)),MAX(0,(I68-H68)*24),0),0)))</f>
        <v>0</v>
      </c>
      <c r="Q68" s="14" t="n">
        <f aca="false">IF(NOT(U68),0,IF(K68="Vacation",IF(C68="Eve",Settings!$B$11,1),IF(K68="Partial Vacation",O68/Settings!$B$9,0)))</f>
        <v>0</v>
      </c>
      <c r="R68" s="14" t="n">
        <f aca="false">IF(NOT(U68),0,IF(K68="Sick Leave",1,IF(K68="Partial Sick Leave",P68/Settings!$B$9,0)))</f>
        <v>0</v>
      </c>
      <c r="S68" s="35" t="str">
        <f aca="false">IF(AND(OR(E68="Vacation",E68="Sick Leave",E68="Partial Vacation",E68="Partial Sick Leave"),NOT(U68)),"Leave not allowed on this day",IF(AND(E68="Manual Work",OR(NOT(ISNUMBER(F68)),NOT(ISNUMBER(G68)))),"Enter start and end",IF(AND(OR(E68="Partial Vacation",E68="Partial Sick Leave"),OR(NOT(ISNUMBER(H68)),NOT(ISNUMBER(I68)))),"Enter leave from and to",IF(AND(ISNUMBER(F68),ISNUMBER(G68),G68&lt;=F68),"End is before start",IF(AND(ISNUMBER(H68),ISNUMBER(I68),I68&lt;=H68),"Leave end is before start",IF(AND(ISNUMBER(F68),ISNUMBER(G68),ISNUMBER(H68),ISNUMBER(I68),F68&lt;I68,H68&lt;G68),"Work and leave hours overlap",IF(AND(E68&lt;&gt;"",WEEKDAY(A68)=7),"Saturday - administrator only","")))))))</f>
        <v/>
      </c>
      <c r="T68" s="36" t="n">
        <f aca="false">MONTH(A68)</f>
        <v>3</v>
      </c>
      <c r="U68" s="37" t="b">
        <f aca="false">OR(C68="Workday",C68="Eve")</f>
        <v>1</v>
      </c>
      <c r="V68" s="34" t="n">
        <f aca="false">IF(C68="Eve",Settings!$B$8,Settings!$B$7)</f>
        <v>0.6875</v>
      </c>
      <c r="W68" s="14" t="n">
        <f aca="false">IF(U68,(V68-Settings!$B$6)*24,0)</f>
        <v>8.5</v>
      </c>
    </row>
    <row r="69" customFormat="false" ht="15" hidden="false" customHeight="false" outlineLevel="0" collapsed="false">
      <c r="A69" s="29" t="n">
        <v>46085</v>
      </c>
      <c r="B69" s="30" t="str">
        <f aca="false">CHOOSE(WEEKDAY(A69),"Sun","Mon","Tue","Wed","Thu","Fri","Sat")</f>
        <v>Wed</v>
      </c>
      <c r="C69" s="30" t="str">
        <f aca="false">IF(IFERROR(INDEX(Holidays!$D$5:$D$60,MATCH(A69,Holidays!$A$5:$A$60,0)),"")="Holiday","Holiday",IF(WEEKDAY(A69)&gt;=6,"Weekend",IF(IFERROR(INDEX(Holidays!$D$5:$D$60,MATCH(A69,Holidays!$A$5:$A$60,0)),"")="Eve","Eve","Workday")))</f>
        <v>Workday</v>
      </c>
      <c r="D69" s="18" t="str">
        <f aca="false">IFERROR(INDEX(Holidays!$C$5:$C$60,MATCH(A69,Holidays!$A$5:$A$60,0)),"")</f>
        <v/>
      </c>
      <c r="E69" s="31"/>
      <c r="F69" s="32"/>
      <c r="G69" s="32"/>
      <c r="H69" s="32"/>
      <c r="I69" s="32"/>
      <c r="J69" s="31"/>
      <c r="K69" s="33" t="str">
        <f aca="false">IF(E69&lt;&gt;"",E69,IF(U69,"Present",IF(C69="Holiday","Holiday","Weekend")))</f>
        <v>Present</v>
      </c>
      <c r="L69" s="34" t="n">
        <f aca="false">IF(OR(K69="Present",K69="Manual Work",K69="Partial Vacation",K69="Partial Sick Leave"),IF(ISNUMBER(F69),F69,IF(AND(K69="Present",U69),Settings!$B$6,"")),"")</f>
        <v>0.333333333333333</v>
      </c>
      <c r="M69" s="34" t="n">
        <f aca="false">IF(OR(K69="Present",K69="Manual Work",K69="Partial Vacation",K69="Partial Sick Leave"),IF(ISNUMBER(G69),G69,IF(AND(K69="Present",U69),V69,"")),"")</f>
        <v>0.6875</v>
      </c>
      <c r="N69" s="14" t="n">
        <f aca="false">IF(AND(ISNUMBER(L69),ISNUMBER(M69)),MAX(0,(M69-L69)*24),0)</f>
        <v>8.5</v>
      </c>
      <c r="O69" s="14" t="n">
        <f aca="false">IF(NOT(U69),0,IF(K69="Vacation",IF(C69="Eve",Settings!$B$9*Settings!$B$11,W69),IF(K69="Partial Vacation",IF(AND(ISNUMBER(H69),ISNUMBER(I69)),MAX(0,(I69-H69)*24),0),0)))</f>
        <v>0</v>
      </c>
      <c r="P69" s="14" t="n">
        <f aca="false">IF(NOT(U69),0,IF(K69="Sick Leave",W69,IF(K69="Partial Sick Leave",IF(AND(ISNUMBER(H69),ISNUMBER(I69)),MAX(0,(I69-H69)*24),0),0)))</f>
        <v>0</v>
      </c>
      <c r="Q69" s="14" t="n">
        <f aca="false">IF(NOT(U69),0,IF(K69="Vacation",IF(C69="Eve",Settings!$B$11,1),IF(K69="Partial Vacation",O69/Settings!$B$9,0)))</f>
        <v>0</v>
      </c>
      <c r="R69" s="14" t="n">
        <f aca="false">IF(NOT(U69),0,IF(K69="Sick Leave",1,IF(K69="Partial Sick Leave",P69/Settings!$B$9,0)))</f>
        <v>0</v>
      </c>
      <c r="S69" s="35" t="str">
        <f aca="false">IF(AND(OR(E69="Vacation",E69="Sick Leave",E69="Partial Vacation",E69="Partial Sick Leave"),NOT(U69)),"Leave not allowed on this day",IF(AND(E69="Manual Work",OR(NOT(ISNUMBER(F69)),NOT(ISNUMBER(G69)))),"Enter start and end",IF(AND(OR(E69="Partial Vacation",E69="Partial Sick Leave"),OR(NOT(ISNUMBER(H69)),NOT(ISNUMBER(I69)))),"Enter leave from and to",IF(AND(ISNUMBER(F69),ISNUMBER(G69),G69&lt;=F69),"End is before start",IF(AND(ISNUMBER(H69),ISNUMBER(I69),I69&lt;=H69),"Leave end is before start",IF(AND(ISNUMBER(F69),ISNUMBER(G69),ISNUMBER(H69),ISNUMBER(I69),F69&lt;I69,H69&lt;G69),"Work and leave hours overlap",IF(AND(E69&lt;&gt;"",WEEKDAY(A69)=7),"Saturday - administrator only","")))))))</f>
        <v/>
      </c>
      <c r="T69" s="36" t="n">
        <f aca="false">MONTH(A69)</f>
        <v>3</v>
      </c>
      <c r="U69" s="37" t="b">
        <f aca="false">OR(C69="Workday",C69="Eve")</f>
        <v>1</v>
      </c>
      <c r="V69" s="34" t="n">
        <f aca="false">IF(C69="Eve",Settings!$B$8,Settings!$B$7)</f>
        <v>0.6875</v>
      </c>
      <c r="W69" s="14" t="n">
        <f aca="false">IF(U69,(V69-Settings!$B$6)*24,0)</f>
        <v>8.5</v>
      </c>
    </row>
    <row r="70" customFormat="false" ht="15" hidden="false" customHeight="false" outlineLevel="0" collapsed="false">
      <c r="A70" s="29" t="n">
        <v>46086</v>
      </c>
      <c r="B70" s="30" t="str">
        <f aca="false">CHOOSE(WEEKDAY(A70),"Sun","Mon","Tue","Wed","Thu","Fri","Sat")</f>
        <v>Thu</v>
      </c>
      <c r="C70" s="30" t="str">
        <f aca="false">IF(IFERROR(INDEX(Holidays!$D$5:$D$60,MATCH(A70,Holidays!$A$5:$A$60,0)),"")="Holiday","Holiday",IF(WEEKDAY(A70)&gt;=6,"Weekend",IF(IFERROR(INDEX(Holidays!$D$5:$D$60,MATCH(A70,Holidays!$A$5:$A$60,0)),"")="Eve","Eve","Workday")))</f>
        <v>Workday</v>
      </c>
      <c r="D70" s="18" t="str">
        <f aca="false">IFERROR(INDEX(Holidays!$C$5:$C$60,MATCH(A70,Holidays!$A$5:$A$60,0)),"")</f>
        <v/>
      </c>
      <c r="E70" s="31"/>
      <c r="F70" s="32"/>
      <c r="G70" s="32"/>
      <c r="H70" s="32"/>
      <c r="I70" s="32"/>
      <c r="J70" s="31"/>
      <c r="K70" s="33" t="str">
        <f aca="false">IF(E70&lt;&gt;"",E70,IF(U70,"Present",IF(C70="Holiday","Holiday","Weekend")))</f>
        <v>Present</v>
      </c>
      <c r="L70" s="34" t="n">
        <f aca="false">IF(OR(K70="Present",K70="Manual Work",K70="Partial Vacation",K70="Partial Sick Leave"),IF(ISNUMBER(F70),F70,IF(AND(K70="Present",U70),Settings!$B$6,"")),"")</f>
        <v>0.333333333333333</v>
      </c>
      <c r="M70" s="34" t="n">
        <f aca="false">IF(OR(K70="Present",K70="Manual Work",K70="Partial Vacation",K70="Partial Sick Leave"),IF(ISNUMBER(G70),G70,IF(AND(K70="Present",U70),V70,"")),"")</f>
        <v>0.6875</v>
      </c>
      <c r="N70" s="14" t="n">
        <f aca="false">IF(AND(ISNUMBER(L70),ISNUMBER(M70)),MAX(0,(M70-L70)*24),0)</f>
        <v>8.5</v>
      </c>
      <c r="O70" s="14" t="n">
        <f aca="false">IF(NOT(U70),0,IF(K70="Vacation",IF(C70="Eve",Settings!$B$9*Settings!$B$11,W70),IF(K70="Partial Vacation",IF(AND(ISNUMBER(H70),ISNUMBER(I70)),MAX(0,(I70-H70)*24),0),0)))</f>
        <v>0</v>
      </c>
      <c r="P70" s="14" t="n">
        <f aca="false">IF(NOT(U70),0,IF(K70="Sick Leave",W70,IF(K70="Partial Sick Leave",IF(AND(ISNUMBER(H70),ISNUMBER(I70)),MAX(0,(I70-H70)*24),0),0)))</f>
        <v>0</v>
      </c>
      <c r="Q70" s="14" t="n">
        <f aca="false">IF(NOT(U70),0,IF(K70="Vacation",IF(C70="Eve",Settings!$B$11,1),IF(K70="Partial Vacation",O70/Settings!$B$9,0)))</f>
        <v>0</v>
      </c>
      <c r="R70" s="14" t="n">
        <f aca="false">IF(NOT(U70),0,IF(K70="Sick Leave",1,IF(K70="Partial Sick Leave",P70/Settings!$B$9,0)))</f>
        <v>0</v>
      </c>
      <c r="S70" s="35" t="str">
        <f aca="false">IF(AND(OR(E70="Vacation",E70="Sick Leave",E70="Partial Vacation",E70="Partial Sick Leave"),NOT(U70)),"Leave not allowed on this day",IF(AND(E70="Manual Work",OR(NOT(ISNUMBER(F70)),NOT(ISNUMBER(G70)))),"Enter start and end",IF(AND(OR(E70="Partial Vacation",E70="Partial Sick Leave"),OR(NOT(ISNUMBER(H70)),NOT(ISNUMBER(I70)))),"Enter leave from and to",IF(AND(ISNUMBER(F70),ISNUMBER(G70),G70&lt;=F70),"End is before start",IF(AND(ISNUMBER(H70),ISNUMBER(I70),I70&lt;=H70),"Leave end is before start",IF(AND(ISNUMBER(F70),ISNUMBER(G70),ISNUMBER(H70),ISNUMBER(I70),F70&lt;I70,H70&lt;G70),"Work and leave hours overlap",IF(AND(E70&lt;&gt;"",WEEKDAY(A70)=7),"Saturday - administrator only","")))))))</f>
        <v/>
      </c>
      <c r="T70" s="36" t="n">
        <f aca="false">MONTH(A70)</f>
        <v>3</v>
      </c>
      <c r="U70" s="37" t="b">
        <f aca="false">OR(C70="Workday",C70="Eve")</f>
        <v>1</v>
      </c>
      <c r="V70" s="34" t="n">
        <f aca="false">IF(C70="Eve",Settings!$B$8,Settings!$B$7)</f>
        <v>0.6875</v>
      </c>
      <c r="W70" s="14" t="n">
        <f aca="false">IF(U70,(V70-Settings!$B$6)*24,0)</f>
        <v>8.5</v>
      </c>
    </row>
    <row r="71" customFormat="false" ht="15" hidden="false" customHeight="false" outlineLevel="0" collapsed="false">
      <c r="A71" s="29" t="n">
        <v>46087</v>
      </c>
      <c r="B71" s="30" t="str">
        <f aca="false">CHOOSE(WEEKDAY(A71),"Sun","Mon","Tue","Wed","Thu","Fri","Sat")</f>
        <v>Fri</v>
      </c>
      <c r="C71" s="30" t="str">
        <f aca="false">IF(IFERROR(INDEX(Holidays!$D$5:$D$60,MATCH(A71,Holidays!$A$5:$A$60,0)),"")="Holiday","Holiday",IF(WEEKDAY(A71)&gt;=6,"Weekend",IF(IFERROR(INDEX(Holidays!$D$5:$D$60,MATCH(A71,Holidays!$A$5:$A$60,0)),"")="Eve","Eve","Workday")))</f>
        <v>Weekend</v>
      </c>
      <c r="D71" s="18" t="str">
        <f aca="false">IFERROR(INDEX(Holidays!$C$5:$C$60,MATCH(A71,Holidays!$A$5:$A$60,0)),"")</f>
        <v/>
      </c>
      <c r="E71" s="31"/>
      <c r="F71" s="32"/>
      <c r="G71" s="32"/>
      <c r="H71" s="32"/>
      <c r="I71" s="32"/>
      <c r="J71" s="31"/>
      <c r="K71" s="33" t="str">
        <f aca="false">IF(E71&lt;&gt;"",E71,IF(U71,"Present",IF(C71="Holiday","Holiday","Weekend")))</f>
        <v>Weekend</v>
      </c>
      <c r="L71" s="34" t="str">
        <f aca="false">IF(OR(K71="Present",K71="Manual Work",K71="Partial Vacation",K71="Partial Sick Leave"),IF(ISNUMBER(F71),F71,IF(AND(K71="Present",U71),Settings!$B$6,"")),"")</f>
        <v/>
      </c>
      <c r="M71" s="34" t="str">
        <f aca="false">IF(OR(K71="Present",K71="Manual Work",K71="Partial Vacation",K71="Partial Sick Leave"),IF(ISNUMBER(G71),G71,IF(AND(K71="Present",U71),V71,"")),"")</f>
        <v/>
      </c>
      <c r="N71" s="14" t="n">
        <f aca="false">IF(AND(ISNUMBER(L71),ISNUMBER(M71)),MAX(0,(M71-L71)*24),0)</f>
        <v>0</v>
      </c>
      <c r="O71" s="14" t="n">
        <f aca="false">IF(NOT(U71),0,IF(K71="Vacation",IF(C71="Eve",Settings!$B$9*Settings!$B$11,W71),IF(K71="Partial Vacation",IF(AND(ISNUMBER(H71),ISNUMBER(I71)),MAX(0,(I71-H71)*24),0),0)))</f>
        <v>0</v>
      </c>
      <c r="P71" s="14" t="n">
        <f aca="false">IF(NOT(U71),0,IF(K71="Sick Leave",W71,IF(K71="Partial Sick Leave",IF(AND(ISNUMBER(H71),ISNUMBER(I71)),MAX(0,(I71-H71)*24),0),0)))</f>
        <v>0</v>
      </c>
      <c r="Q71" s="14" t="n">
        <f aca="false">IF(NOT(U71),0,IF(K71="Vacation",IF(C71="Eve",Settings!$B$11,1),IF(K71="Partial Vacation",O71/Settings!$B$9,0)))</f>
        <v>0</v>
      </c>
      <c r="R71" s="14" t="n">
        <f aca="false">IF(NOT(U71),0,IF(K71="Sick Leave",1,IF(K71="Partial Sick Leave",P71/Settings!$B$9,0)))</f>
        <v>0</v>
      </c>
      <c r="S71" s="35" t="str">
        <f aca="false">IF(AND(OR(E71="Vacation",E71="Sick Leave",E71="Partial Vacation",E71="Partial Sick Leave"),NOT(U71)),"Leave not allowed on this day",IF(AND(E71="Manual Work",OR(NOT(ISNUMBER(F71)),NOT(ISNUMBER(G71)))),"Enter start and end",IF(AND(OR(E71="Partial Vacation",E71="Partial Sick Leave"),OR(NOT(ISNUMBER(H71)),NOT(ISNUMBER(I71)))),"Enter leave from and to",IF(AND(ISNUMBER(F71),ISNUMBER(G71),G71&lt;=F71),"End is before start",IF(AND(ISNUMBER(H71),ISNUMBER(I71),I71&lt;=H71),"Leave end is before start",IF(AND(ISNUMBER(F71),ISNUMBER(G71),ISNUMBER(H71),ISNUMBER(I71),F71&lt;I71,H71&lt;G71),"Work and leave hours overlap",IF(AND(E71&lt;&gt;"",WEEKDAY(A71)=7),"Saturday - administrator only","")))))))</f>
        <v/>
      </c>
      <c r="T71" s="36" t="n">
        <f aca="false">MONTH(A71)</f>
        <v>3</v>
      </c>
      <c r="U71" s="37" t="b">
        <f aca="false">OR(C71="Workday",C71="Eve")</f>
        <v>0</v>
      </c>
      <c r="V71" s="34" t="n">
        <f aca="false">IF(C71="Eve",Settings!$B$8,Settings!$B$7)</f>
        <v>0.6875</v>
      </c>
      <c r="W71" s="14" t="n">
        <f aca="false">IF(U71,(V71-Settings!$B$6)*24,0)</f>
        <v>0</v>
      </c>
    </row>
    <row r="72" customFormat="false" ht="15" hidden="false" customHeight="false" outlineLevel="0" collapsed="false">
      <c r="A72" s="29" t="n">
        <v>46088</v>
      </c>
      <c r="B72" s="30" t="str">
        <f aca="false">CHOOSE(WEEKDAY(A72),"Sun","Mon","Tue","Wed","Thu","Fri","Sat")</f>
        <v>Sat</v>
      </c>
      <c r="C72" s="30" t="str">
        <f aca="false">IF(IFERROR(INDEX(Holidays!$D$5:$D$60,MATCH(A72,Holidays!$A$5:$A$60,0)),"")="Holiday","Holiday",IF(WEEKDAY(A72)&gt;=6,"Weekend",IF(IFERROR(INDEX(Holidays!$D$5:$D$60,MATCH(A72,Holidays!$A$5:$A$60,0)),"")="Eve","Eve","Workday")))</f>
        <v>Weekend</v>
      </c>
      <c r="D72" s="18" t="str">
        <f aca="false">IFERROR(INDEX(Holidays!$C$5:$C$60,MATCH(A72,Holidays!$A$5:$A$60,0)),"")</f>
        <v/>
      </c>
      <c r="E72" s="31"/>
      <c r="F72" s="32"/>
      <c r="G72" s="32"/>
      <c r="H72" s="32"/>
      <c r="I72" s="32"/>
      <c r="J72" s="31"/>
      <c r="K72" s="33" t="str">
        <f aca="false">IF(E72&lt;&gt;"",E72,IF(U72,"Present",IF(C72="Holiday","Holiday","Weekend")))</f>
        <v>Weekend</v>
      </c>
      <c r="L72" s="34" t="str">
        <f aca="false">IF(OR(K72="Present",K72="Manual Work",K72="Partial Vacation",K72="Partial Sick Leave"),IF(ISNUMBER(F72),F72,IF(AND(K72="Present",U72),Settings!$B$6,"")),"")</f>
        <v/>
      </c>
      <c r="M72" s="34" t="str">
        <f aca="false">IF(OR(K72="Present",K72="Manual Work",K72="Partial Vacation",K72="Partial Sick Leave"),IF(ISNUMBER(G72),G72,IF(AND(K72="Present",U72),V72,"")),"")</f>
        <v/>
      </c>
      <c r="N72" s="14" t="n">
        <f aca="false">IF(AND(ISNUMBER(L72),ISNUMBER(M72)),MAX(0,(M72-L72)*24),0)</f>
        <v>0</v>
      </c>
      <c r="O72" s="14" t="n">
        <f aca="false">IF(NOT(U72),0,IF(K72="Vacation",IF(C72="Eve",Settings!$B$9*Settings!$B$11,W72),IF(K72="Partial Vacation",IF(AND(ISNUMBER(H72),ISNUMBER(I72)),MAX(0,(I72-H72)*24),0),0)))</f>
        <v>0</v>
      </c>
      <c r="P72" s="14" t="n">
        <f aca="false">IF(NOT(U72),0,IF(K72="Sick Leave",W72,IF(K72="Partial Sick Leave",IF(AND(ISNUMBER(H72),ISNUMBER(I72)),MAX(0,(I72-H72)*24),0),0)))</f>
        <v>0</v>
      </c>
      <c r="Q72" s="14" t="n">
        <f aca="false">IF(NOT(U72),0,IF(K72="Vacation",IF(C72="Eve",Settings!$B$11,1),IF(K72="Partial Vacation",O72/Settings!$B$9,0)))</f>
        <v>0</v>
      </c>
      <c r="R72" s="14" t="n">
        <f aca="false">IF(NOT(U72),0,IF(K72="Sick Leave",1,IF(K72="Partial Sick Leave",P72/Settings!$B$9,0)))</f>
        <v>0</v>
      </c>
      <c r="S72" s="35" t="str">
        <f aca="false">IF(AND(OR(E72="Vacation",E72="Sick Leave",E72="Partial Vacation",E72="Partial Sick Leave"),NOT(U72)),"Leave not allowed on this day",IF(AND(E72="Manual Work",OR(NOT(ISNUMBER(F72)),NOT(ISNUMBER(G72)))),"Enter start and end",IF(AND(OR(E72="Partial Vacation",E72="Partial Sick Leave"),OR(NOT(ISNUMBER(H72)),NOT(ISNUMBER(I72)))),"Enter leave from and to",IF(AND(ISNUMBER(F72),ISNUMBER(G72),G72&lt;=F72),"End is before start",IF(AND(ISNUMBER(H72),ISNUMBER(I72),I72&lt;=H72),"Leave end is before start",IF(AND(ISNUMBER(F72),ISNUMBER(G72),ISNUMBER(H72),ISNUMBER(I72),F72&lt;I72,H72&lt;G72),"Work and leave hours overlap",IF(AND(E72&lt;&gt;"",WEEKDAY(A72)=7),"Saturday - administrator only","")))))))</f>
        <v/>
      </c>
      <c r="T72" s="36" t="n">
        <f aca="false">MONTH(A72)</f>
        <v>3</v>
      </c>
      <c r="U72" s="37" t="b">
        <f aca="false">OR(C72="Workday",C72="Eve")</f>
        <v>0</v>
      </c>
      <c r="V72" s="34" t="n">
        <f aca="false">IF(C72="Eve",Settings!$B$8,Settings!$B$7)</f>
        <v>0.6875</v>
      </c>
      <c r="W72" s="14" t="n">
        <f aca="false">IF(U72,(V72-Settings!$B$6)*24,0)</f>
        <v>0</v>
      </c>
    </row>
    <row r="73" customFormat="false" ht="15" hidden="false" customHeight="false" outlineLevel="0" collapsed="false">
      <c r="A73" s="29" t="n">
        <v>46089</v>
      </c>
      <c r="B73" s="30" t="str">
        <f aca="false">CHOOSE(WEEKDAY(A73),"Sun","Mon","Tue","Wed","Thu","Fri","Sat")</f>
        <v>Sun</v>
      </c>
      <c r="C73" s="30" t="str">
        <f aca="false">IF(IFERROR(INDEX(Holidays!$D$5:$D$60,MATCH(A73,Holidays!$A$5:$A$60,0)),"")="Holiday","Holiday",IF(WEEKDAY(A73)&gt;=6,"Weekend",IF(IFERROR(INDEX(Holidays!$D$5:$D$60,MATCH(A73,Holidays!$A$5:$A$60,0)),"")="Eve","Eve","Workday")))</f>
        <v>Workday</v>
      </c>
      <c r="D73" s="18" t="str">
        <f aca="false">IFERROR(INDEX(Holidays!$C$5:$C$60,MATCH(A73,Holidays!$A$5:$A$60,0)),"")</f>
        <v/>
      </c>
      <c r="E73" s="31"/>
      <c r="F73" s="32"/>
      <c r="G73" s="32"/>
      <c r="H73" s="32"/>
      <c r="I73" s="32"/>
      <c r="J73" s="31"/>
      <c r="K73" s="33" t="str">
        <f aca="false">IF(E73&lt;&gt;"",E73,IF(U73,"Present",IF(C73="Holiday","Holiday","Weekend")))</f>
        <v>Present</v>
      </c>
      <c r="L73" s="34" t="n">
        <f aca="false">IF(OR(K73="Present",K73="Manual Work",K73="Partial Vacation",K73="Partial Sick Leave"),IF(ISNUMBER(F73),F73,IF(AND(K73="Present",U73),Settings!$B$6,"")),"")</f>
        <v>0.333333333333333</v>
      </c>
      <c r="M73" s="34" t="n">
        <f aca="false">IF(OR(K73="Present",K73="Manual Work",K73="Partial Vacation",K73="Partial Sick Leave"),IF(ISNUMBER(G73),G73,IF(AND(K73="Present",U73),V73,"")),"")</f>
        <v>0.6875</v>
      </c>
      <c r="N73" s="14" t="n">
        <f aca="false">IF(AND(ISNUMBER(L73),ISNUMBER(M73)),MAX(0,(M73-L73)*24),0)</f>
        <v>8.5</v>
      </c>
      <c r="O73" s="14" t="n">
        <f aca="false">IF(NOT(U73),0,IF(K73="Vacation",IF(C73="Eve",Settings!$B$9*Settings!$B$11,W73),IF(K73="Partial Vacation",IF(AND(ISNUMBER(H73),ISNUMBER(I73)),MAX(0,(I73-H73)*24),0),0)))</f>
        <v>0</v>
      </c>
      <c r="P73" s="14" t="n">
        <f aca="false">IF(NOT(U73),0,IF(K73="Sick Leave",W73,IF(K73="Partial Sick Leave",IF(AND(ISNUMBER(H73),ISNUMBER(I73)),MAX(0,(I73-H73)*24),0),0)))</f>
        <v>0</v>
      </c>
      <c r="Q73" s="14" t="n">
        <f aca="false">IF(NOT(U73),0,IF(K73="Vacation",IF(C73="Eve",Settings!$B$11,1),IF(K73="Partial Vacation",O73/Settings!$B$9,0)))</f>
        <v>0</v>
      </c>
      <c r="R73" s="14" t="n">
        <f aca="false">IF(NOT(U73),0,IF(K73="Sick Leave",1,IF(K73="Partial Sick Leave",P73/Settings!$B$9,0)))</f>
        <v>0</v>
      </c>
      <c r="S73" s="35" t="str">
        <f aca="false">IF(AND(OR(E73="Vacation",E73="Sick Leave",E73="Partial Vacation",E73="Partial Sick Leave"),NOT(U73)),"Leave not allowed on this day",IF(AND(E73="Manual Work",OR(NOT(ISNUMBER(F73)),NOT(ISNUMBER(G73)))),"Enter start and end",IF(AND(OR(E73="Partial Vacation",E73="Partial Sick Leave"),OR(NOT(ISNUMBER(H73)),NOT(ISNUMBER(I73)))),"Enter leave from and to",IF(AND(ISNUMBER(F73),ISNUMBER(G73),G73&lt;=F73),"End is before start",IF(AND(ISNUMBER(H73),ISNUMBER(I73),I73&lt;=H73),"Leave end is before start",IF(AND(ISNUMBER(F73),ISNUMBER(G73),ISNUMBER(H73),ISNUMBER(I73),F73&lt;I73,H73&lt;G73),"Work and leave hours overlap",IF(AND(E73&lt;&gt;"",WEEKDAY(A73)=7),"Saturday - administrator only","")))))))</f>
        <v/>
      </c>
      <c r="T73" s="36" t="n">
        <f aca="false">MONTH(A73)</f>
        <v>3</v>
      </c>
      <c r="U73" s="37" t="b">
        <f aca="false">OR(C73="Workday",C73="Eve")</f>
        <v>1</v>
      </c>
      <c r="V73" s="34" t="n">
        <f aca="false">IF(C73="Eve",Settings!$B$8,Settings!$B$7)</f>
        <v>0.6875</v>
      </c>
      <c r="W73" s="14" t="n">
        <f aca="false">IF(U73,(V73-Settings!$B$6)*24,0)</f>
        <v>8.5</v>
      </c>
    </row>
    <row r="74" customFormat="false" ht="15" hidden="false" customHeight="false" outlineLevel="0" collapsed="false">
      <c r="A74" s="29" t="n">
        <v>46090</v>
      </c>
      <c r="B74" s="30" t="str">
        <f aca="false">CHOOSE(WEEKDAY(A74),"Sun","Mon","Tue","Wed","Thu","Fri","Sat")</f>
        <v>Mon</v>
      </c>
      <c r="C74" s="30" t="str">
        <f aca="false">IF(IFERROR(INDEX(Holidays!$D$5:$D$60,MATCH(A74,Holidays!$A$5:$A$60,0)),"")="Holiday","Holiday",IF(WEEKDAY(A74)&gt;=6,"Weekend",IF(IFERROR(INDEX(Holidays!$D$5:$D$60,MATCH(A74,Holidays!$A$5:$A$60,0)),"")="Eve","Eve","Workday")))</f>
        <v>Workday</v>
      </c>
      <c r="D74" s="18" t="str">
        <f aca="false">IFERROR(INDEX(Holidays!$C$5:$C$60,MATCH(A74,Holidays!$A$5:$A$60,0)),"")</f>
        <v/>
      </c>
      <c r="E74" s="31"/>
      <c r="F74" s="32"/>
      <c r="G74" s="32"/>
      <c r="H74" s="32"/>
      <c r="I74" s="32"/>
      <c r="J74" s="31"/>
      <c r="K74" s="33" t="str">
        <f aca="false">IF(E74&lt;&gt;"",E74,IF(U74,"Present",IF(C74="Holiday","Holiday","Weekend")))</f>
        <v>Present</v>
      </c>
      <c r="L74" s="34" t="n">
        <f aca="false">IF(OR(K74="Present",K74="Manual Work",K74="Partial Vacation",K74="Partial Sick Leave"),IF(ISNUMBER(F74),F74,IF(AND(K74="Present",U74),Settings!$B$6,"")),"")</f>
        <v>0.333333333333333</v>
      </c>
      <c r="M74" s="34" t="n">
        <f aca="false">IF(OR(K74="Present",K74="Manual Work",K74="Partial Vacation",K74="Partial Sick Leave"),IF(ISNUMBER(G74),G74,IF(AND(K74="Present",U74),V74,"")),"")</f>
        <v>0.6875</v>
      </c>
      <c r="N74" s="14" t="n">
        <f aca="false">IF(AND(ISNUMBER(L74),ISNUMBER(M74)),MAX(0,(M74-L74)*24),0)</f>
        <v>8.5</v>
      </c>
      <c r="O74" s="14" t="n">
        <f aca="false">IF(NOT(U74),0,IF(K74="Vacation",IF(C74="Eve",Settings!$B$9*Settings!$B$11,W74),IF(K74="Partial Vacation",IF(AND(ISNUMBER(H74),ISNUMBER(I74)),MAX(0,(I74-H74)*24),0),0)))</f>
        <v>0</v>
      </c>
      <c r="P74" s="14" t="n">
        <f aca="false">IF(NOT(U74),0,IF(K74="Sick Leave",W74,IF(K74="Partial Sick Leave",IF(AND(ISNUMBER(H74),ISNUMBER(I74)),MAX(0,(I74-H74)*24),0),0)))</f>
        <v>0</v>
      </c>
      <c r="Q74" s="14" t="n">
        <f aca="false">IF(NOT(U74),0,IF(K74="Vacation",IF(C74="Eve",Settings!$B$11,1),IF(K74="Partial Vacation",O74/Settings!$B$9,0)))</f>
        <v>0</v>
      </c>
      <c r="R74" s="14" t="n">
        <f aca="false">IF(NOT(U74),0,IF(K74="Sick Leave",1,IF(K74="Partial Sick Leave",P74/Settings!$B$9,0)))</f>
        <v>0</v>
      </c>
      <c r="S74" s="35" t="str">
        <f aca="false">IF(AND(OR(E74="Vacation",E74="Sick Leave",E74="Partial Vacation",E74="Partial Sick Leave"),NOT(U74)),"Leave not allowed on this day",IF(AND(E74="Manual Work",OR(NOT(ISNUMBER(F74)),NOT(ISNUMBER(G74)))),"Enter start and end",IF(AND(OR(E74="Partial Vacation",E74="Partial Sick Leave"),OR(NOT(ISNUMBER(H74)),NOT(ISNUMBER(I74)))),"Enter leave from and to",IF(AND(ISNUMBER(F74),ISNUMBER(G74),G74&lt;=F74),"End is before start",IF(AND(ISNUMBER(H74),ISNUMBER(I74),I74&lt;=H74),"Leave end is before start",IF(AND(ISNUMBER(F74),ISNUMBER(G74),ISNUMBER(H74),ISNUMBER(I74),F74&lt;I74,H74&lt;G74),"Work and leave hours overlap",IF(AND(E74&lt;&gt;"",WEEKDAY(A74)=7),"Saturday - administrator only","")))))))</f>
        <v/>
      </c>
      <c r="T74" s="36" t="n">
        <f aca="false">MONTH(A74)</f>
        <v>3</v>
      </c>
      <c r="U74" s="37" t="b">
        <f aca="false">OR(C74="Workday",C74="Eve")</f>
        <v>1</v>
      </c>
      <c r="V74" s="34" t="n">
        <f aca="false">IF(C74="Eve",Settings!$B$8,Settings!$B$7)</f>
        <v>0.6875</v>
      </c>
      <c r="W74" s="14" t="n">
        <f aca="false">IF(U74,(V74-Settings!$B$6)*24,0)</f>
        <v>8.5</v>
      </c>
    </row>
    <row r="75" customFormat="false" ht="15" hidden="false" customHeight="false" outlineLevel="0" collapsed="false">
      <c r="A75" s="29" t="n">
        <v>46091</v>
      </c>
      <c r="B75" s="30" t="str">
        <f aca="false">CHOOSE(WEEKDAY(A75),"Sun","Mon","Tue","Wed","Thu","Fri","Sat")</f>
        <v>Tue</v>
      </c>
      <c r="C75" s="30" t="str">
        <f aca="false">IF(IFERROR(INDEX(Holidays!$D$5:$D$60,MATCH(A75,Holidays!$A$5:$A$60,0)),"")="Holiday","Holiday",IF(WEEKDAY(A75)&gt;=6,"Weekend",IF(IFERROR(INDEX(Holidays!$D$5:$D$60,MATCH(A75,Holidays!$A$5:$A$60,0)),"")="Eve","Eve","Workday")))</f>
        <v>Workday</v>
      </c>
      <c r="D75" s="18" t="str">
        <f aca="false">IFERROR(INDEX(Holidays!$C$5:$C$60,MATCH(A75,Holidays!$A$5:$A$60,0)),"")</f>
        <v/>
      </c>
      <c r="E75" s="31"/>
      <c r="F75" s="32"/>
      <c r="G75" s="32"/>
      <c r="H75" s="32"/>
      <c r="I75" s="32"/>
      <c r="J75" s="31"/>
      <c r="K75" s="33" t="str">
        <f aca="false">IF(E75&lt;&gt;"",E75,IF(U75,"Present",IF(C75="Holiday","Holiday","Weekend")))</f>
        <v>Present</v>
      </c>
      <c r="L75" s="34" t="n">
        <f aca="false">IF(OR(K75="Present",K75="Manual Work",K75="Partial Vacation",K75="Partial Sick Leave"),IF(ISNUMBER(F75),F75,IF(AND(K75="Present",U75),Settings!$B$6,"")),"")</f>
        <v>0.333333333333333</v>
      </c>
      <c r="M75" s="34" t="n">
        <f aca="false">IF(OR(K75="Present",K75="Manual Work",K75="Partial Vacation",K75="Partial Sick Leave"),IF(ISNUMBER(G75),G75,IF(AND(K75="Present",U75),V75,"")),"")</f>
        <v>0.6875</v>
      </c>
      <c r="N75" s="14" t="n">
        <f aca="false">IF(AND(ISNUMBER(L75),ISNUMBER(M75)),MAX(0,(M75-L75)*24),0)</f>
        <v>8.5</v>
      </c>
      <c r="O75" s="14" t="n">
        <f aca="false">IF(NOT(U75),0,IF(K75="Vacation",IF(C75="Eve",Settings!$B$9*Settings!$B$11,W75),IF(K75="Partial Vacation",IF(AND(ISNUMBER(H75),ISNUMBER(I75)),MAX(0,(I75-H75)*24),0),0)))</f>
        <v>0</v>
      </c>
      <c r="P75" s="14" t="n">
        <f aca="false">IF(NOT(U75),0,IF(K75="Sick Leave",W75,IF(K75="Partial Sick Leave",IF(AND(ISNUMBER(H75),ISNUMBER(I75)),MAX(0,(I75-H75)*24),0),0)))</f>
        <v>0</v>
      </c>
      <c r="Q75" s="14" t="n">
        <f aca="false">IF(NOT(U75),0,IF(K75="Vacation",IF(C75="Eve",Settings!$B$11,1),IF(K75="Partial Vacation",O75/Settings!$B$9,0)))</f>
        <v>0</v>
      </c>
      <c r="R75" s="14" t="n">
        <f aca="false">IF(NOT(U75),0,IF(K75="Sick Leave",1,IF(K75="Partial Sick Leave",P75/Settings!$B$9,0)))</f>
        <v>0</v>
      </c>
      <c r="S75" s="35" t="str">
        <f aca="false">IF(AND(OR(E75="Vacation",E75="Sick Leave",E75="Partial Vacation",E75="Partial Sick Leave"),NOT(U75)),"Leave not allowed on this day",IF(AND(E75="Manual Work",OR(NOT(ISNUMBER(F75)),NOT(ISNUMBER(G75)))),"Enter start and end",IF(AND(OR(E75="Partial Vacation",E75="Partial Sick Leave"),OR(NOT(ISNUMBER(H75)),NOT(ISNUMBER(I75)))),"Enter leave from and to",IF(AND(ISNUMBER(F75),ISNUMBER(G75),G75&lt;=F75),"End is before start",IF(AND(ISNUMBER(H75),ISNUMBER(I75),I75&lt;=H75),"Leave end is before start",IF(AND(ISNUMBER(F75),ISNUMBER(G75),ISNUMBER(H75),ISNUMBER(I75),F75&lt;I75,H75&lt;G75),"Work and leave hours overlap",IF(AND(E75&lt;&gt;"",WEEKDAY(A75)=7),"Saturday - administrator only","")))))))</f>
        <v/>
      </c>
      <c r="T75" s="36" t="n">
        <f aca="false">MONTH(A75)</f>
        <v>3</v>
      </c>
      <c r="U75" s="37" t="b">
        <f aca="false">OR(C75="Workday",C75="Eve")</f>
        <v>1</v>
      </c>
      <c r="V75" s="34" t="n">
        <f aca="false">IF(C75="Eve",Settings!$B$8,Settings!$B$7)</f>
        <v>0.6875</v>
      </c>
      <c r="W75" s="14" t="n">
        <f aca="false">IF(U75,(V75-Settings!$B$6)*24,0)</f>
        <v>8.5</v>
      </c>
    </row>
    <row r="76" customFormat="false" ht="15" hidden="false" customHeight="false" outlineLevel="0" collapsed="false">
      <c r="A76" s="29" t="n">
        <v>46092</v>
      </c>
      <c r="B76" s="30" t="str">
        <f aca="false">CHOOSE(WEEKDAY(A76),"Sun","Mon","Tue","Wed","Thu","Fri","Sat")</f>
        <v>Wed</v>
      </c>
      <c r="C76" s="30" t="str">
        <f aca="false">IF(IFERROR(INDEX(Holidays!$D$5:$D$60,MATCH(A76,Holidays!$A$5:$A$60,0)),"")="Holiday","Holiday",IF(WEEKDAY(A76)&gt;=6,"Weekend",IF(IFERROR(INDEX(Holidays!$D$5:$D$60,MATCH(A76,Holidays!$A$5:$A$60,0)),"")="Eve","Eve","Workday")))</f>
        <v>Workday</v>
      </c>
      <c r="D76" s="18" t="str">
        <f aca="false">IFERROR(INDEX(Holidays!$C$5:$C$60,MATCH(A76,Holidays!$A$5:$A$60,0)),"")</f>
        <v/>
      </c>
      <c r="E76" s="31"/>
      <c r="F76" s="32"/>
      <c r="G76" s="32"/>
      <c r="H76" s="32"/>
      <c r="I76" s="32"/>
      <c r="J76" s="31"/>
      <c r="K76" s="33" t="str">
        <f aca="false">IF(E76&lt;&gt;"",E76,IF(U76,"Present",IF(C76="Holiday","Holiday","Weekend")))</f>
        <v>Present</v>
      </c>
      <c r="L76" s="34" t="n">
        <f aca="false">IF(OR(K76="Present",K76="Manual Work",K76="Partial Vacation",K76="Partial Sick Leave"),IF(ISNUMBER(F76),F76,IF(AND(K76="Present",U76),Settings!$B$6,"")),"")</f>
        <v>0.333333333333333</v>
      </c>
      <c r="M76" s="34" t="n">
        <f aca="false">IF(OR(K76="Present",K76="Manual Work",K76="Partial Vacation",K76="Partial Sick Leave"),IF(ISNUMBER(G76),G76,IF(AND(K76="Present",U76),V76,"")),"")</f>
        <v>0.6875</v>
      </c>
      <c r="N76" s="14" t="n">
        <f aca="false">IF(AND(ISNUMBER(L76),ISNUMBER(M76)),MAX(0,(M76-L76)*24),0)</f>
        <v>8.5</v>
      </c>
      <c r="O76" s="14" t="n">
        <f aca="false">IF(NOT(U76),0,IF(K76="Vacation",IF(C76="Eve",Settings!$B$9*Settings!$B$11,W76),IF(K76="Partial Vacation",IF(AND(ISNUMBER(H76),ISNUMBER(I76)),MAX(0,(I76-H76)*24),0),0)))</f>
        <v>0</v>
      </c>
      <c r="P76" s="14" t="n">
        <f aca="false">IF(NOT(U76),0,IF(K76="Sick Leave",W76,IF(K76="Partial Sick Leave",IF(AND(ISNUMBER(H76),ISNUMBER(I76)),MAX(0,(I76-H76)*24),0),0)))</f>
        <v>0</v>
      </c>
      <c r="Q76" s="14" t="n">
        <f aca="false">IF(NOT(U76),0,IF(K76="Vacation",IF(C76="Eve",Settings!$B$11,1),IF(K76="Partial Vacation",O76/Settings!$B$9,0)))</f>
        <v>0</v>
      </c>
      <c r="R76" s="14" t="n">
        <f aca="false">IF(NOT(U76),0,IF(K76="Sick Leave",1,IF(K76="Partial Sick Leave",P76/Settings!$B$9,0)))</f>
        <v>0</v>
      </c>
      <c r="S76" s="35" t="str">
        <f aca="false">IF(AND(OR(E76="Vacation",E76="Sick Leave",E76="Partial Vacation",E76="Partial Sick Leave"),NOT(U76)),"Leave not allowed on this day",IF(AND(E76="Manual Work",OR(NOT(ISNUMBER(F76)),NOT(ISNUMBER(G76)))),"Enter start and end",IF(AND(OR(E76="Partial Vacation",E76="Partial Sick Leave"),OR(NOT(ISNUMBER(H76)),NOT(ISNUMBER(I76)))),"Enter leave from and to",IF(AND(ISNUMBER(F76),ISNUMBER(G76),G76&lt;=F76),"End is before start",IF(AND(ISNUMBER(H76),ISNUMBER(I76),I76&lt;=H76),"Leave end is before start",IF(AND(ISNUMBER(F76),ISNUMBER(G76),ISNUMBER(H76),ISNUMBER(I76),F76&lt;I76,H76&lt;G76),"Work and leave hours overlap",IF(AND(E76&lt;&gt;"",WEEKDAY(A76)=7),"Saturday - administrator only","")))))))</f>
        <v/>
      </c>
      <c r="T76" s="36" t="n">
        <f aca="false">MONTH(A76)</f>
        <v>3</v>
      </c>
      <c r="U76" s="37" t="b">
        <f aca="false">OR(C76="Workday",C76="Eve")</f>
        <v>1</v>
      </c>
      <c r="V76" s="34" t="n">
        <f aca="false">IF(C76="Eve",Settings!$B$8,Settings!$B$7)</f>
        <v>0.6875</v>
      </c>
      <c r="W76" s="14" t="n">
        <f aca="false">IF(U76,(V76-Settings!$B$6)*24,0)</f>
        <v>8.5</v>
      </c>
    </row>
    <row r="77" customFormat="false" ht="15" hidden="false" customHeight="false" outlineLevel="0" collapsed="false">
      <c r="A77" s="29" t="n">
        <v>46093</v>
      </c>
      <c r="B77" s="30" t="str">
        <f aca="false">CHOOSE(WEEKDAY(A77),"Sun","Mon","Tue","Wed","Thu","Fri","Sat")</f>
        <v>Thu</v>
      </c>
      <c r="C77" s="30" t="str">
        <f aca="false">IF(IFERROR(INDEX(Holidays!$D$5:$D$60,MATCH(A77,Holidays!$A$5:$A$60,0)),"")="Holiday","Holiday",IF(WEEKDAY(A77)&gt;=6,"Weekend",IF(IFERROR(INDEX(Holidays!$D$5:$D$60,MATCH(A77,Holidays!$A$5:$A$60,0)),"")="Eve","Eve","Workday")))</f>
        <v>Workday</v>
      </c>
      <c r="D77" s="18" t="str">
        <f aca="false">IFERROR(INDEX(Holidays!$C$5:$C$60,MATCH(A77,Holidays!$A$5:$A$60,0)),"")</f>
        <v/>
      </c>
      <c r="E77" s="31"/>
      <c r="F77" s="32"/>
      <c r="G77" s="32"/>
      <c r="H77" s="32"/>
      <c r="I77" s="32"/>
      <c r="J77" s="31"/>
      <c r="K77" s="33" t="str">
        <f aca="false">IF(E77&lt;&gt;"",E77,IF(U77,"Present",IF(C77="Holiday","Holiday","Weekend")))</f>
        <v>Present</v>
      </c>
      <c r="L77" s="34" t="n">
        <f aca="false">IF(OR(K77="Present",K77="Manual Work",K77="Partial Vacation",K77="Partial Sick Leave"),IF(ISNUMBER(F77),F77,IF(AND(K77="Present",U77),Settings!$B$6,"")),"")</f>
        <v>0.333333333333333</v>
      </c>
      <c r="M77" s="34" t="n">
        <f aca="false">IF(OR(K77="Present",K77="Manual Work",K77="Partial Vacation",K77="Partial Sick Leave"),IF(ISNUMBER(G77),G77,IF(AND(K77="Present",U77),V77,"")),"")</f>
        <v>0.6875</v>
      </c>
      <c r="N77" s="14" t="n">
        <f aca="false">IF(AND(ISNUMBER(L77),ISNUMBER(M77)),MAX(0,(M77-L77)*24),0)</f>
        <v>8.5</v>
      </c>
      <c r="O77" s="14" t="n">
        <f aca="false">IF(NOT(U77),0,IF(K77="Vacation",IF(C77="Eve",Settings!$B$9*Settings!$B$11,W77),IF(K77="Partial Vacation",IF(AND(ISNUMBER(H77),ISNUMBER(I77)),MAX(0,(I77-H77)*24),0),0)))</f>
        <v>0</v>
      </c>
      <c r="P77" s="14" t="n">
        <f aca="false">IF(NOT(U77),0,IF(K77="Sick Leave",W77,IF(K77="Partial Sick Leave",IF(AND(ISNUMBER(H77),ISNUMBER(I77)),MAX(0,(I77-H77)*24),0),0)))</f>
        <v>0</v>
      </c>
      <c r="Q77" s="14" t="n">
        <f aca="false">IF(NOT(U77),0,IF(K77="Vacation",IF(C77="Eve",Settings!$B$11,1),IF(K77="Partial Vacation",O77/Settings!$B$9,0)))</f>
        <v>0</v>
      </c>
      <c r="R77" s="14" t="n">
        <f aca="false">IF(NOT(U77),0,IF(K77="Sick Leave",1,IF(K77="Partial Sick Leave",P77/Settings!$B$9,0)))</f>
        <v>0</v>
      </c>
      <c r="S77" s="35" t="str">
        <f aca="false">IF(AND(OR(E77="Vacation",E77="Sick Leave",E77="Partial Vacation",E77="Partial Sick Leave"),NOT(U77)),"Leave not allowed on this day",IF(AND(E77="Manual Work",OR(NOT(ISNUMBER(F77)),NOT(ISNUMBER(G77)))),"Enter start and end",IF(AND(OR(E77="Partial Vacation",E77="Partial Sick Leave"),OR(NOT(ISNUMBER(H77)),NOT(ISNUMBER(I77)))),"Enter leave from and to",IF(AND(ISNUMBER(F77),ISNUMBER(G77),G77&lt;=F77),"End is before start",IF(AND(ISNUMBER(H77),ISNUMBER(I77),I77&lt;=H77),"Leave end is before start",IF(AND(ISNUMBER(F77),ISNUMBER(G77),ISNUMBER(H77),ISNUMBER(I77),F77&lt;I77,H77&lt;G77),"Work and leave hours overlap",IF(AND(E77&lt;&gt;"",WEEKDAY(A77)=7),"Saturday - administrator only","")))))))</f>
        <v/>
      </c>
      <c r="T77" s="36" t="n">
        <f aca="false">MONTH(A77)</f>
        <v>3</v>
      </c>
      <c r="U77" s="37" t="b">
        <f aca="false">OR(C77="Workday",C77="Eve")</f>
        <v>1</v>
      </c>
      <c r="V77" s="34" t="n">
        <f aca="false">IF(C77="Eve",Settings!$B$8,Settings!$B$7)</f>
        <v>0.6875</v>
      </c>
      <c r="W77" s="14" t="n">
        <f aca="false">IF(U77,(V77-Settings!$B$6)*24,0)</f>
        <v>8.5</v>
      </c>
    </row>
    <row r="78" customFormat="false" ht="15" hidden="false" customHeight="false" outlineLevel="0" collapsed="false">
      <c r="A78" s="29" t="n">
        <v>46094</v>
      </c>
      <c r="B78" s="30" t="str">
        <f aca="false">CHOOSE(WEEKDAY(A78),"Sun","Mon","Tue","Wed","Thu","Fri","Sat")</f>
        <v>Fri</v>
      </c>
      <c r="C78" s="30" t="str">
        <f aca="false">IF(IFERROR(INDEX(Holidays!$D$5:$D$60,MATCH(A78,Holidays!$A$5:$A$60,0)),"")="Holiday","Holiday",IF(WEEKDAY(A78)&gt;=6,"Weekend",IF(IFERROR(INDEX(Holidays!$D$5:$D$60,MATCH(A78,Holidays!$A$5:$A$60,0)),"")="Eve","Eve","Workday")))</f>
        <v>Weekend</v>
      </c>
      <c r="D78" s="18" t="str">
        <f aca="false">IFERROR(INDEX(Holidays!$C$5:$C$60,MATCH(A78,Holidays!$A$5:$A$60,0)),"")</f>
        <v/>
      </c>
      <c r="E78" s="31"/>
      <c r="F78" s="32"/>
      <c r="G78" s="32"/>
      <c r="H78" s="32"/>
      <c r="I78" s="32"/>
      <c r="J78" s="31"/>
      <c r="K78" s="33" t="str">
        <f aca="false">IF(E78&lt;&gt;"",E78,IF(U78,"Present",IF(C78="Holiday","Holiday","Weekend")))</f>
        <v>Weekend</v>
      </c>
      <c r="L78" s="34" t="str">
        <f aca="false">IF(OR(K78="Present",K78="Manual Work",K78="Partial Vacation",K78="Partial Sick Leave"),IF(ISNUMBER(F78),F78,IF(AND(K78="Present",U78),Settings!$B$6,"")),"")</f>
        <v/>
      </c>
      <c r="M78" s="34" t="str">
        <f aca="false">IF(OR(K78="Present",K78="Manual Work",K78="Partial Vacation",K78="Partial Sick Leave"),IF(ISNUMBER(G78),G78,IF(AND(K78="Present",U78),V78,"")),"")</f>
        <v/>
      </c>
      <c r="N78" s="14" t="n">
        <f aca="false">IF(AND(ISNUMBER(L78),ISNUMBER(M78)),MAX(0,(M78-L78)*24),0)</f>
        <v>0</v>
      </c>
      <c r="O78" s="14" t="n">
        <f aca="false">IF(NOT(U78),0,IF(K78="Vacation",IF(C78="Eve",Settings!$B$9*Settings!$B$11,W78),IF(K78="Partial Vacation",IF(AND(ISNUMBER(H78),ISNUMBER(I78)),MAX(0,(I78-H78)*24),0),0)))</f>
        <v>0</v>
      </c>
      <c r="P78" s="14" t="n">
        <f aca="false">IF(NOT(U78),0,IF(K78="Sick Leave",W78,IF(K78="Partial Sick Leave",IF(AND(ISNUMBER(H78),ISNUMBER(I78)),MAX(0,(I78-H78)*24),0),0)))</f>
        <v>0</v>
      </c>
      <c r="Q78" s="14" t="n">
        <f aca="false">IF(NOT(U78),0,IF(K78="Vacation",IF(C78="Eve",Settings!$B$11,1),IF(K78="Partial Vacation",O78/Settings!$B$9,0)))</f>
        <v>0</v>
      </c>
      <c r="R78" s="14" t="n">
        <f aca="false">IF(NOT(U78),0,IF(K78="Sick Leave",1,IF(K78="Partial Sick Leave",P78/Settings!$B$9,0)))</f>
        <v>0</v>
      </c>
      <c r="S78" s="35" t="str">
        <f aca="false">IF(AND(OR(E78="Vacation",E78="Sick Leave",E78="Partial Vacation",E78="Partial Sick Leave"),NOT(U78)),"Leave not allowed on this day",IF(AND(E78="Manual Work",OR(NOT(ISNUMBER(F78)),NOT(ISNUMBER(G78)))),"Enter start and end",IF(AND(OR(E78="Partial Vacation",E78="Partial Sick Leave"),OR(NOT(ISNUMBER(H78)),NOT(ISNUMBER(I78)))),"Enter leave from and to",IF(AND(ISNUMBER(F78),ISNUMBER(G78),G78&lt;=F78),"End is before start",IF(AND(ISNUMBER(H78),ISNUMBER(I78),I78&lt;=H78),"Leave end is before start",IF(AND(ISNUMBER(F78),ISNUMBER(G78),ISNUMBER(H78),ISNUMBER(I78),F78&lt;I78,H78&lt;G78),"Work and leave hours overlap",IF(AND(E78&lt;&gt;"",WEEKDAY(A78)=7),"Saturday - administrator only","")))))))</f>
        <v/>
      </c>
      <c r="T78" s="36" t="n">
        <f aca="false">MONTH(A78)</f>
        <v>3</v>
      </c>
      <c r="U78" s="37" t="b">
        <f aca="false">OR(C78="Workday",C78="Eve")</f>
        <v>0</v>
      </c>
      <c r="V78" s="34" t="n">
        <f aca="false">IF(C78="Eve",Settings!$B$8,Settings!$B$7)</f>
        <v>0.6875</v>
      </c>
      <c r="W78" s="14" t="n">
        <f aca="false">IF(U78,(V78-Settings!$B$6)*24,0)</f>
        <v>0</v>
      </c>
    </row>
    <row r="79" customFormat="false" ht="15" hidden="false" customHeight="false" outlineLevel="0" collapsed="false">
      <c r="A79" s="29" t="n">
        <v>46095</v>
      </c>
      <c r="B79" s="30" t="str">
        <f aca="false">CHOOSE(WEEKDAY(A79),"Sun","Mon","Tue","Wed","Thu","Fri","Sat")</f>
        <v>Sat</v>
      </c>
      <c r="C79" s="30" t="str">
        <f aca="false">IF(IFERROR(INDEX(Holidays!$D$5:$D$60,MATCH(A79,Holidays!$A$5:$A$60,0)),"")="Holiday","Holiday",IF(WEEKDAY(A79)&gt;=6,"Weekend",IF(IFERROR(INDEX(Holidays!$D$5:$D$60,MATCH(A79,Holidays!$A$5:$A$60,0)),"")="Eve","Eve","Workday")))</f>
        <v>Weekend</v>
      </c>
      <c r="D79" s="18" t="str">
        <f aca="false">IFERROR(INDEX(Holidays!$C$5:$C$60,MATCH(A79,Holidays!$A$5:$A$60,0)),"")</f>
        <v/>
      </c>
      <c r="E79" s="31"/>
      <c r="F79" s="32"/>
      <c r="G79" s="32"/>
      <c r="H79" s="32"/>
      <c r="I79" s="32"/>
      <c r="J79" s="31"/>
      <c r="K79" s="33" t="str">
        <f aca="false">IF(E79&lt;&gt;"",E79,IF(U79,"Present",IF(C79="Holiday","Holiday","Weekend")))</f>
        <v>Weekend</v>
      </c>
      <c r="L79" s="34" t="str">
        <f aca="false">IF(OR(K79="Present",K79="Manual Work",K79="Partial Vacation",K79="Partial Sick Leave"),IF(ISNUMBER(F79),F79,IF(AND(K79="Present",U79),Settings!$B$6,"")),"")</f>
        <v/>
      </c>
      <c r="M79" s="34" t="str">
        <f aca="false">IF(OR(K79="Present",K79="Manual Work",K79="Partial Vacation",K79="Partial Sick Leave"),IF(ISNUMBER(G79),G79,IF(AND(K79="Present",U79),V79,"")),"")</f>
        <v/>
      </c>
      <c r="N79" s="14" t="n">
        <f aca="false">IF(AND(ISNUMBER(L79),ISNUMBER(M79)),MAX(0,(M79-L79)*24),0)</f>
        <v>0</v>
      </c>
      <c r="O79" s="14" t="n">
        <f aca="false">IF(NOT(U79),0,IF(K79="Vacation",IF(C79="Eve",Settings!$B$9*Settings!$B$11,W79),IF(K79="Partial Vacation",IF(AND(ISNUMBER(H79),ISNUMBER(I79)),MAX(0,(I79-H79)*24),0),0)))</f>
        <v>0</v>
      </c>
      <c r="P79" s="14" t="n">
        <f aca="false">IF(NOT(U79),0,IF(K79="Sick Leave",W79,IF(K79="Partial Sick Leave",IF(AND(ISNUMBER(H79),ISNUMBER(I79)),MAX(0,(I79-H79)*24),0),0)))</f>
        <v>0</v>
      </c>
      <c r="Q79" s="14" t="n">
        <f aca="false">IF(NOT(U79),0,IF(K79="Vacation",IF(C79="Eve",Settings!$B$11,1),IF(K79="Partial Vacation",O79/Settings!$B$9,0)))</f>
        <v>0</v>
      </c>
      <c r="R79" s="14" t="n">
        <f aca="false">IF(NOT(U79),0,IF(K79="Sick Leave",1,IF(K79="Partial Sick Leave",P79/Settings!$B$9,0)))</f>
        <v>0</v>
      </c>
      <c r="S79" s="35" t="str">
        <f aca="false">IF(AND(OR(E79="Vacation",E79="Sick Leave",E79="Partial Vacation",E79="Partial Sick Leave"),NOT(U79)),"Leave not allowed on this day",IF(AND(E79="Manual Work",OR(NOT(ISNUMBER(F79)),NOT(ISNUMBER(G79)))),"Enter start and end",IF(AND(OR(E79="Partial Vacation",E79="Partial Sick Leave"),OR(NOT(ISNUMBER(H79)),NOT(ISNUMBER(I79)))),"Enter leave from and to",IF(AND(ISNUMBER(F79),ISNUMBER(G79),G79&lt;=F79),"End is before start",IF(AND(ISNUMBER(H79),ISNUMBER(I79),I79&lt;=H79),"Leave end is before start",IF(AND(ISNUMBER(F79),ISNUMBER(G79),ISNUMBER(H79),ISNUMBER(I79),F79&lt;I79,H79&lt;G79),"Work and leave hours overlap",IF(AND(E79&lt;&gt;"",WEEKDAY(A79)=7),"Saturday - administrator only","")))))))</f>
        <v/>
      </c>
      <c r="T79" s="36" t="n">
        <f aca="false">MONTH(A79)</f>
        <v>3</v>
      </c>
      <c r="U79" s="37" t="b">
        <f aca="false">OR(C79="Workday",C79="Eve")</f>
        <v>0</v>
      </c>
      <c r="V79" s="34" t="n">
        <f aca="false">IF(C79="Eve",Settings!$B$8,Settings!$B$7)</f>
        <v>0.6875</v>
      </c>
      <c r="W79" s="14" t="n">
        <f aca="false">IF(U79,(V79-Settings!$B$6)*24,0)</f>
        <v>0</v>
      </c>
    </row>
    <row r="80" customFormat="false" ht="15" hidden="false" customHeight="false" outlineLevel="0" collapsed="false">
      <c r="A80" s="29" t="n">
        <v>46096</v>
      </c>
      <c r="B80" s="30" t="str">
        <f aca="false">CHOOSE(WEEKDAY(A80),"Sun","Mon","Tue","Wed","Thu","Fri","Sat")</f>
        <v>Sun</v>
      </c>
      <c r="C80" s="30" t="str">
        <f aca="false">IF(IFERROR(INDEX(Holidays!$D$5:$D$60,MATCH(A80,Holidays!$A$5:$A$60,0)),"")="Holiday","Holiday",IF(WEEKDAY(A80)&gt;=6,"Weekend",IF(IFERROR(INDEX(Holidays!$D$5:$D$60,MATCH(A80,Holidays!$A$5:$A$60,0)),"")="Eve","Eve","Workday")))</f>
        <v>Workday</v>
      </c>
      <c r="D80" s="18" t="str">
        <f aca="false">IFERROR(INDEX(Holidays!$C$5:$C$60,MATCH(A80,Holidays!$A$5:$A$60,0)),"")</f>
        <v/>
      </c>
      <c r="E80" s="31"/>
      <c r="F80" s="32"/>
      <c r="G80" s="32"/>
      <c r="H80" s="32"/>
      <c r="I80" s="32"/>
      <c r="J80" s="31"/>
      <c r="K80" s="33" t="str">
        <f aca="false">IF(E80&lt;&gt;"",E80,IF(U80,"Present",IF(C80="Holiday","Holiday","Weekend")))</f>
        <v>Present</v>
      </c>
      <c r="L80" s="34" t="n">
        <f aca="false">IF(OR(K80="Present",K80="Manual Work",K80="Partial Vacation",K80="Partial Sick Leave"),IF(ISNUMBER(F80),F80,IF(AND(K80="Present",U80),Settings!$B$6,"")),"")</f>
        <v>0.333333333333333</v>
      </c>
      <c r="M80" s="34" t="n">
        <f aca="false">IF(OR(K80="Present",K80="Manual Work",K80="Partial Vacation",K80="Partial Sick Leave"),IF(ISNUMBER(G80),G80,IF(AND(K80="Present",U80),V80,"")),"")</f>
        <v>0.6875</v>
      </c>
      <c r="N80" s="14" t="n">
        <f aca="false">IF(AND(ISNUMBER(L80),ISNUMBER(M80)),MAX(0,(M80-L80)*24),0)</f>
        <v>8.5</v>
      </c>
      <c r="O80" s="14" t="n">
        <f aca="false">IF(NOT(U80),0,IF(K80="Vacation",IF(C80="Eve",Settings!$B$9*Settings!$B$11,W80),IF(K80="Partial Vacation",IF(AND(ISNUMBER(H80),ISNUMBER(I80)),MAX(0,(I80-H80)*24),0),0)))</f>
        <v>0</v>
      </c>
      <c r="P80" s="14" t="n">
        <f aca="false">IF(NOT(U80),0,IF(K80="Sick Leave",W80,IF(K80="Partial Sick Leave",IF(AND(ISNUMBER(H80),ISNUMBER(I80)),MAX(0,(I80-H80)*24),0),0)))</f>
        <v>0</v>
      </c>
      <c r="Q80" s="14" t="n">
        <f aca="false">IF(NOT(U80),0,IF(K80="Vacation",IF(C80="Eve",Settings!$B$11,1),IF(K80="Partial Vacation",O80/Settings!$B$9,0)))</f>
        <v>0</v>
      </c>
      <c r="R80" s="14" t="n">
        <f aca="false">IF(NOT(U80),0,IF(K80="Sick Leave",1,IF(K80="Partial Sick Leave",P80/Settings!$B$9,0)))</f>
        <v>0</v>
      </c>
      <c r="S80" s="35" t="str">
        <f aca="false">IF(AND(OR(E80="Vacation",E80="Sick Leave",E80="Partial Vacation",E80="Partial Sick Leave"),NOT(U80)),"Leave not allowed on this day",IF(AND(E80="Manual Work",OR(NOT(ISNUMBER(F80)),NOT(ISNUMBER(G80)))),"Enter start and end",IF(AND(OR(E80="Partial Vacation",E80="Partial Sick Leave"),OR(NOT(ISNUMBER(H80)),NOT(ISNUMBER(I80)))),"Enter leave from and to",IF(AND(ISNUMBER(F80),ISNUMBER(G80),G80&lt;=F80),"End is before start",IF(AND(ISNUMBER(H80),ISNUMBER(I80),I80&lt;=H80),"Leave end is before start",IF(AND(ISNUMBER(F80),ISNUMBER(G80),ISNUMBER(H80),ISNUMBER(I80),F80&lt;I80,H80&lt;G80),"Work and leave hours overlap",IF(AND(E80&lt;&gt;"",WEEKDAY(A80)=7),"Saturday - administrator only","")))))))</f>
        <v/>
      </c>
      <c r="T80" s="36" t="n">
        <f aca="false">MONTH(A80)</f>
        <v>3</v>
      </c>
      <c r="U80" s="37" t="b">
        <f aca="false">OR(C80="Workday",C80="Eve")</f>
        <v>1</v>
      </c>
      <c r="V80" s="34" t="n">
        <f aca="false">IF(C80="Eve",Settings!$B$8,Settings!$B$7)</f>
        <v>0.6875</v>
      </c>
      <c r="W80" s="14" t="n">
        <f aca="false">IF(U80,(V80-Settings!$B$6)*24,0)</f>
        <v>8.5</v>
      </c>
    </row>
    <row r="81" customFormat="false" ht="15" hidden="false" customHeight="false" outlineLevel="0" collapsed="false">
      <c r="A81" s="29" t="n">
        <v>46097</v>
      </c>
      <c r="B81" s="30" t="str">
        <f aca="false">CHOOSE(WEEKDAY(A81),"Sun","Mon","Tue","Wed","Thu","Fri","Sat")</f>
        <v>Mon</v>
      </c>
      <c r="C81" s="30" t="str">
        <f aca="false">IF(IFERROR(INDEX(Holidays!$D$5:$D$60,MATCH(A81,Holidays!$A$5:$A$60,0)),"")="Holiday","Holiday",IF(WEEKDAY(A81)&gt;=6,"Weekend",IF(IFERROR(INDEX(Holidays!$D$5:$D$60,MATCH(A81,Holidays!$A$5:$A$60,0)),"")="Eve","Eve","Workday")))</f>
        <v>Workday</v>
      </c>
      <c r="D81" s="18" t="str">
        <f aca="false">IFERROR(INDEX(Holidays!$C$5:$C$60,MATCH(A81,Holidays!$A$5:$A$60,0)),"")</f>
        <v/>
      </c>
      <c r="E81" s="31"/>
      <c r="F81" s="32"/>
      <c r="G81" s="32"/>
      <c r="H81" s="32"/>
      <c r="I81" s="32"/>
      <c r="J81" s="31"/>
      <c r="K81" s="33" t="str">
        <f aca="false">IF(E81&lt;&gt;"",E81,IF(U81,"Present",IF(C81="Holiday","Holiday","Weekend")))</f>
        <v>Present</v>
      </c>
      <c r="L81" s="34" t="n">
        <f aca="false">IF(OR(K81="Present",K81="Manual Work",K81="Partial Vacation",K81="Partial Sick Leave"),IF(ISNUMBER(F81),F81,IF(AND(K81="Present",U81),Settings!$B$6,"")),"")</f>
        <v>0.333333333333333</v>
      </c>
      <c r="M81" s="34" t="n">
        <f aca="false">IF(OR(K81="Present",K81="Manual Work",K81="Partial Vacation",K81="Partial Sick Leave"),IF(ISNUMBER(G81),G81,IF(AND(K81="Present",U81),V81,"")),"")</f>
        <v>0.6875</v>
      </c>
      <c r="N81" s="14" t="n">
        <f aca="false">IF(AND(ISNUMBER(L81),ISNUMBER(M81)),MAX(0,(M81-L81)*24),0)</f>
        <v>8.5</v>
      </c>
      <c r="O81" s="14" t="n">
        <f aca="false">IF(NOT(U81),0,IF(K81="Vacation",IF(C81="Eve",Settings!$B$9*Settings!$B$11,W81),IF(K81="Partial Vacation",IF(AND(ISNUMBER(H81),ISNUMBER(I81)),MAX(0,(I81-H81)*24),0),0)))</f>
        <v>0</v>
      </c>
      <c r="P81" s="14" t="n">
        <f aca="false">IF(NOT(U81),0,IF(K81="Sick Leave",W81,IF(K81="Partial Sick Leave",IF(AND(ISNUMBER(H81),ISNUMBER(I81)),MAX(0,(I81-H81)*24),0),0)))</f>
        <v>0</v>
      </c>
      <c r="Q81" s="14" t="n">
        <f aca="false">IF(NOT(U81),0,IF(K81="Vacation",IF(C81="Eve",Settings!$B$11,1),IF(K81="Partial Vacation",O81/Settings!$B$9,0)))</f>
        <v>0</v>
      </c>
      <c r="R81" s="14" t="n">
        <f aca="false">IF(NOT(U81),0,IF(K81="Sick Leave",1,IF(K81="Partial Sick Leave",P81/Settings!$B$9,0)))</f>
        <v>0</v>
      </c>
      <c r="S81" s="35" t="str">
        <f aca="false">IF(AND(OR(E81="Vacation",E81="Sick Leave",E81="Partial Vacation",E81="Partial Sick Leave"),NOT(U81)),"Leave not allowed on this day",IF(AND(E81="Manual Work",OR(NOT(ISNUMBER(F81)),NOT(ISNUMBER(G81)))),"Enter start and end",IF(AND(OR(E81="Partial Vacation",E81="Partial Sick Leave"),OR(NOT(ISNUMBER(H81)),NOT(ISNUMBER(I81)))),"Enter leave from and to",IF(AND(ISNUMBER(F81),ISNUMBER(G81),G81&lt;=F81),"End is before start",IF(AND(ISNUMBER(H81),ISNUMBER(I81),I81&lt;=H81),"Leave end is before start",IF(AND(ISNUMBER(F81),ISNUMBER(G81),ISNUMBER(H81),ISNUMBER(I81),F81&lt;I81,H81&lt;G81),"Work and leave hours overlap",IF(AND(E81&lt;&gt;"",WEEKDAY(A81)=7),"Saturday - administrator only","")))))))</f>
        <v/>
      </c>
      <c r="T81" s="36" t="n">
        <f aca="false">MONTH(A81)</f>
        <v>3</v>
      </c>
      <c r="U81" s="37" t="b">
        <f aca="false">OR(C81="Workday",C81="Eve")</f>
        <v>1</v>
      </c>
      <c r="V81" s="34" t="n">
        <f aca="false">IF(C81="Eve",Settings!$B$8,Settings!$B$7)</f>
        <v>0.6875</v>
      </c>
      <c r="W81" s="14" t="n">
        <f aca="false">IF(U81,(V81-Settings!$B$6)*24,0)</f>
        <v>8.5</v>
      </c>
    </row>
    <row r="82" customFormat="false" ht="15" hidden="false" customHeight="false" outlineLevel="0" collapsed="false">
      <c r="A82" s="29" t="n">
        <v>46098</v>
      </c>
      <c r="B82" s="30" t="str">
        <f aca="false">CHOOSE(WEEKDAY(A82),"Sun","Mon","Tue","Wed","Thu","Fri","Sat")</f>
        <v>Tue</v>
      </c>
      <c r="C82" s="30" t="str">
        <f aca="false">IF(IFERROR(INDEX(Holidays!$D$5:$D$60,MATCH(A82,Holidays!$A$5:$A$60,0)),"")="Holiday","Holiday",IF(WEEKDAY(A82)&gt;=6,"Weekend",IF(IFERROR(INDEX(Holidays!$D$5:$D$60,MATCH(A82,Holidays!$A$5:$A$60,0)),"")="Eve","Eve","Workday")))</f>
        <v>Workday</v>
      </c>
      <c r="D82" s="18" t="str">
        <f aca="false">IFERROR(INDEX(Holidays!$C$5:$C$60,MATCH(A82,Holidays!$A$5:$A$60,0)),"")</f>
        <v/>
      </c>
      <c r="E82" s="31"/>
      <c r="F82" s="32"/>
      <c r="G82" s="32"/>
      <c r="H82" s="32"/>
      <c r="I82" s="32"/>
      <c r="J82" s="31"/>
      <c r="K82" s="33" t="str">
        <f aca="false">IF(E82&lt;&gt;"",E82,IF(U82,"Present",IF(C82="Holiday","Holiday","Weekend")))</f>
        <v>Present</v>
      </c>
      <c r="L82" s="34" t="n">
        <f aca="false">IF(OR(K82="Present",K82="Manual Work",K82="Partial Vacation",K82="Partial Sick Leave"),IF(ISNUMBER(F82),F82,IF(AND(K82="Present",U82),Settings!$B$6,"")),"")</f>
        <v>0.333333333333333</v>
      </c>
      <c r="M82" s="34" t="n">
        <f aca="false">IF(OR(K82="Present",K82="Manual Work",K82="Partial Vacation",K82="Partial Sick Leave"),IF(ISNUMBER(G82),G82,IF(AND(K82="Present",U82),V82,"")),"")</f>
        <v>0.6875</v>
      </c>
      <c r="N82" s="14" t="n">
        <f aca="false">IF(AND(ISNUMBER(L82),ISNUMBER(M82)),MAX(0,(M82-L82)*24),0)</f>
        <v>8.5</v>
      </c>
      <c r="O82" s="14" t="n">
        <f aca="false">IF(NOT(U82),0,IF(K82="Vacation",IF(C82="Eve",Settings!$B$9*Settings!$B$11,W82),IF(K82="Partial Vacation",IF(AND(ISNUMBER(H82),ISNUMBER(I82)),MAX(0,(I82-H82)*24),0),0)))</f>
        <v>0</v>
      </c>
      <c r="P82" s="14" t="n">
        <f aca="false">IF(NOT(U82),0,IF(K82="Sick Leave",W82,IF(K82="Partial Sick Leave",IF(AND(ISNUMBER(H82),ISNUMBER(I82)),MAX(0,(I82-H82)*24),0),0)))</f>
        <v>0</v>
      </c>
      <c r="Q82" s="14" t="n">
        <f aca="false">IF(NOT(U82),0,IF(K82="Vacation",IF(C82="Eve",Settings!$B$11,1),IF(K82="Partial Vacation",O82/Settings!$B$9,0)))</f>
        <v>0</v>
      </c>
      <c r="R82" s="14" t="n">
        <f aca="false">IF(NOT(U82),0,IF(K82="Sick Leave",1,IF(K82="Partial Sick Leave",P82/Settings!$B$9,0)))</f>
        <v>0</v>
      </c>
      <c r="S82" s="35" t="str">
        <f aca="false">IF(AND(OR(E82="Vacation",E82="Sick Leave",E82="Partial Vacation",E82="Partial Sick Leave"),NOT(U82)),"Leave not allowed on this day",IF(AND(E82="Manual Work",OR(NOT(ISNUMBER(F82)),NOT(ISNUMBER(G82)))),"Enter start and end",IF(AND(OR(E82="Partial Vacation",E82="Partial Sick Leave"),OR(NOT(ISNUMBER(H82)),NOT(ISNUMBER(I82)))),"Enter leave from and to",IF(AND(ISNUMBER(F82),ISNUMBER(G82),G82&lt;=F82),"End is before start",IF(AND(ISNUMBER(H82),ISNUMBER(I82),I82&lt;=H82),"Leave end is before start",IF(AND(ISNUMBER(F82),ISNUMBER(G82),ISNUMBER(H82),ISNUMBER(I82),F82&lt;I82,H82&lt;G82),"Work and leave hours overlap",IF(AND(E82&lt;&gt;"",WEEKDAY(A82)=7),"Saturday - administrator only","")))))))</f>
        <v/>
      </c>
      <c r="T82" s="36" t="n">
        <f aca="false">MONTH(A82)</f>
        <v>3</v>
      </c>
      <c r="U82" s="37" t="b">
        <f aca="false">OR(C82="Workday",C82="Eve")</f>
        <v>1</v>
      </c>
      <c r="V82" s="34" t="n">
        <f aca="false">IF(C82="Eve",Settings!$B$8,Settings!$B$7)</f>
        <v>0.6875</v>
      </c>
      <c r="W82" s="14" t="n">
        <f aca="false">IF(U82,(V82-Settings!$B$6)*24,0)</f>
        <v>8.5</v>
      </c>
    </row>
    <row r="83" customFormat="false" ht="15" hidden="false" customHeight="false" outlineLevel="0" collapsed="false">
      <c r="A83" s="29" t="n">
        <v>46099</v>
      </c>
      <c r="B83" s="30" t="str">
        <f aca="false">CHOOSE(WEEKDAY(A83),"Sun","Mon","Tue","Wed","Thu","Fri","Sat")</f>
        <v>Wed</v>
      </c>
      <c r="C83" s="30" t="str">
        <f aca="false">IF(IFERROR(INDEX(Holidays!$D$5:$D$60,MATCH(A83,Holidays!$A$5:$A$60,0)),"")="Holiday","Holiday",IF(WEEKDAY(A83)&gt;=6,"Weekend",IF(IFERROR(INDEX(Holidays!$D$5:$D$60,MATCH(A83,Holidays!$A$5:$A$60,0)),"")="Eve","Eve","Workday")))</f>
        <v>Workday</v>
      </c>
      <c r="D83" s="18" t="str">
        <f aca="false">IFERROR(INDEX(Holidays!$C$5:$C$60,MATCH(A83,Holidays!$A$5:$A$60,0)),"")</f>
        <v/>
      </c>
      <c r="E83" s="31"/>
      <c r="F83" s="32"/>
      <c r="G83" s="32"/>
      <c r="H83" s="32"/>
      <c r="I83" s="32"/>
      <c r="J83" s="31"/>
      <c r="K83" s="33" t="str">
        <f aca="false">IF(E83&lt;&gt;"",E83,IF(U83,"Present",IF(C83="Holiday","Holiday","Weekend")))</f>
        <v>Present</v>
      </c>
      <c r="L83" s="34" t="n">
        <f aca="false">IF(OR(K83="Present",K83="Manual Work",K83="Partial Vacation",K83="Partial Sick Leave"),IF(ISNUMBER(F83),F83,IF(AND(K83="Present",U83),Settings!$B$6,"")),"")</f>
        <v>0.333333333333333</v>
      </c>
      <c r="M83" s="34" t="n">
        <f aca="false">IF(OR(K83="Present",K83="Manual Work",K83="Partial Vacation",K83="Partial Sick Leave"),IF(ISNUMBER(G83),G83,IF(AND(K83="Present",U83),V83,"")),"")</f>
        <v>0.6875</v>
      </c>
      <c r="N83" s="14" t="n">
        <f aca="false">IF(AND(ISNUMBER(L83),ISNUMBER(M83)),MAX(0,(M83-L83)*24),0)</f>
        <v>8.5</v>
      </c>
      <c r="O83" s="14" t="n">
        <f aca="false">IF(NOT(U83),0,IF(K83="Vacation",IF(C83="Eve",Settings!$B$9*Settings!$B$11,W83),IF(K83="Partial Vacation",IF(AND(ISNUMBER(H83),ISNUMBER(I83)),MAX(0,(I83-H83)*24),0),0)))</f>
        <v>0</v>
      </c>
      <c r="P83" s="14" t="n">
        <f aca="false">IF(NOT(U83),0,IF(K83="Sick Leave",W83,IF(K83="Partial Sick Leave",IF(AND(ISNUMBER(H83),ISNUMBER(I83)),MAX(0,(I83-H83)*24),0),0)))</f>
        <v>0</v>
      </c>
      <c r="Q83" s="14" t="n">
        <f aca="false">IF(NOT(U83),0,IF(K83="Vacation",IF(C83="Eve",Settings!$B$11,1),IF(K83="Partial Vacation",O83/Settings!$B$9,0)))</f>
        <v>0</v>
      </c>
      <c r="R83" s="14" t="n">
        <f aca="false">IF(NOT(U83),0,IF(K83="Sick Leave",1,IF(K83="Partial Sick Leave",P83/Settings!$B$9,0)))</f>
        <v>0</v>
      </c>
      <c r="S83" s="35" t="str">
        <f aca="false">IF(AND(OR(E83="Vacation",E83="Sick Leave",E83="Partial Vacation",E83="Partial Sick Leave"),NOT(U83)),"Leave not allowed on this day",IF(AND(E83="Manual Work",OR(NOT(ISNUMBER(F83)),NOT(ISNUMBER(G83)))),"Enter start and end",IF(AND(OR(E83="Partial Vacation",E83="Partial Sick Leave"),OR(NOT(ISNUMBER(H83)),NOT(ISNUMBER(I83)))),"Enter leave from and to",IF(AND(ISNUMBER(F83),ISNUMBER(G83),G83&lt;=F83),"End is before start",IF(AND(ISNUMBER(H83),ISNUMBER(I83),I83&lt;=H83),"Leave end is before start",IF(AND(ISNUMBER(F83),ISNUMBER(G83),ISNUMBER(H83),ISNUMBER(I83),F83&lt;I83,H83&lt;G83),"Work and leave hours overlap",IF(AND(E83&lt;&gt;"",WEEKDAY(A83)=7),"Saturday - administrator only","")))))))</f>
        <v/>
      </c>
      <c r="T83" s="36" t="n">
        <f aca="false">MONTH(A83)</f>
        <v>3</v>
      </c>
      <c r="U83" s="37" t="b">
        <f aca="false">OR(C83="Workday",C83="Eve")</f>
        <v>1</v>
      </c>
      <c r="V83" s="34" t="n">
        <f aca="false">IF(C83="Eve",Settings!$B$8,Settings!$B$7)</f>
        <v>0.6875</v>
      </c>
      <c r="W83" s="14" t="n">
        <f aca="false">IF(U83,(V83-Settings!$B$6)*24,0)</f>
        <v>8.5</v>
      </c>
    </row>
    <row r="84" customFormat="false" ht="15" hidden="false" customHeight="false" outlineLevel="0" collapsed="false">
      <c r="A84" s="29" t="n">
        <v>46100</v>
      </c>
      <c r="B84" s="30" t="str">
        <f aca="false">CHOOSE(WEEKDAY(A84),"Sun","Mon","Tue","Wed","Thu","Fri","Sat")</f>
        <v>Thu</v>
      </c>
      <c r="C84" s="30" t="str">
        <f aca="false">IF(IFERROR(INDEX(Holidays!$D$5:$D$60,MATCH(A84,Holidays!$A$5:$A$60,0)),"")="Holiday","Holiday",IF(WEEKDAY(A84)&gt;=6,"Weekend",IF(IFERROR(INDEX(Holidays!$D$5:$D$60,MATCH(A84,Holidays!$A$5:$A$60,0)),"")="Eve","Eve","Workday")))</f>
        <v>Workday</v>
      </c>
      <c r="D84" s="18" t="str">
        <f aca="false">IFERROR(INDEX(Holidays!$C$5:$C$60,MATCH(A84,Holidays!$A$5:$A$60,0)),"")</f>
        <v/>
      </c>
      <c r="E84" s="31"/>
      <c r="F84" s="32"/>
      <c r="G84" s="32"/>
      <c r="H84" s="32"/>
      <c r="I84" s="32"/>
      <c r="J84" s="31"/>
      <c r="K84" s="33" t="str">
        <f aca="false">IF(E84&lt;&gt;"",E84,IF(U84,"Present",IF(C84="Holiday","Holiday","Weekend")))</f>
        <v>Present</v>
      </c>
      <c r="L84" s="34" t="n">
        <f aca="false">IF(OR(K84="Present",K84="Manual Work",K84="Partial Vacation",K84="Partial Sick Leave"),IF(ISNUMBER(F84),F84,IF(AND(K84="Present",U84),Settings!$B$6,"")),"")</f>
        <v>0.333333333333333</v>
      </c>
      <c r="M84" s="34" t="n">
        <f aca="false">IF(OR(K84="Present",K84="Manual Work",K84="Partial Vacation",K84="Partial Sick Leave"),IF(ISNUMBER(G84),G84,IF(AND(K84="Present",U84),V84,"")),"")</f>
        <v>0.6875</v>
      </c>
      <c r="N84" s="14" t="n">
        <f aca="false">IF(AND(ISNUMBER(L84),ISNUMBER(M84)),MAX(0,(M84-L84)*24),0)</f>
        <v>8.5</v>
      </c>
      <c r="O84" s="14" t="n">
        <f aca="false">IF(NOT(U84),0,IF(K84="Vacation",IF(C84="Eve",Settings!$B$9*Settings!$B$11,W84),IF(K84="Partial Vacation",IF(AND(ISNUMBER(H84),ISNUMBER(I84)),MAX(0,(I84-H84)*24),0),0)))</f>
        <v>0</v>
      </c>
      <c r="P84" s="14" t="n">
        <f aca="false">IF(NOT(U84),0,IF(K84="Sick Leave",W84,IF(K84="Partial Sick Leave",IF(AND(ISNUMBER(H84),ISNUMBER(I84)),MAX(0,(I84-H84)*24),0),0)))</f>
        <v>0</v>
      </c>
      <c r="Q84" s="14" t="n">
        <f aca="false">IF(NOT(U84),0,IF(K84="Vacation",IF(C84="Eve",Settings!$B$11,1),IF(K84="Partial Vacation",O84/Settings!$B$9,0)))</f>
        <v>0</v>
      </c>
      <c r="R84" s="14" t="n">
        <f aca="false">IF(NOT(U84),0,IF(K84="Sick Leave",1,IF(K84="Partial Sick Leave",P84/Settings!$B$9,0)))</f>
        <v>0</v>
      </c>
      <c r="S84" s="35" t="str">
        <f aca="false">IF(AND(OR(E84="Vacation",E84="Sick Leave",E84="Partial Vacation",E84="Partial Sick Leave"),NOT(U84)),"Leave not allowed on this day",IF(AND(E84="Manual Work",OR(NOT(ISNUMBER(F84)),NOT(ISNUMBER(G84)))),"Enter start and end",IF(AND(OR(E84="Partial Vacation",E84="Partial Sick Leave"),OR(NOT(ISNUMBER(H84)),NOT(ISNUMBER(I84)))),"Enter leave from and to",IF(AND(ISNUMBER(F84),ISNUMBER(G84),G84&lt;=F84),"End is before start",IF(AND(ISNUMBER(H84),ISNUMBER(I84),I84&lt;=H84),"Leave end is before start",IF(AND(ISNUMBER(F84),ISNUMBER(G84),ISNUMBER(H84),ISNUMBER(I84),F84&lt;I84,H84&lt;G84),"Work and leave hours overlap",IF(AND(E84&lt;&gt;"",WEEKDAY(A84)=7),"Saturday - administrator only","")))))))</f>
        <v/>
      </c>
      <c r="T84" s="36" t="n">
        <f aca="false">MONTH(A84)</f>
        <v>3</v>
      </c>
      <c r="U84" s="37" t="b">
        <f aca="false">OR(C84="Workday",C84="Eve")</f>
        <v>1</v>
      </c>
      <c r="V84" s="34" t="n">
        <f aca="false">IF(C84="Eve",Settings!$B$8,Settings!$B$7)</f>
        <v>0.6875</v>
      </c>
      <c r="W84" s="14" t="n">
        <f aca="false">IF(U84,(V84-Settings!$B$6)*24,0)</f>
        <v>8.5</v>
      </c>
    </row>
    <row r="85" customFormat="false" ht="15" hidden="false" customHeight="false" outlineLevel="0" collapsed="false">
      <c r="A85" s="29" t="n">
        <v>46101</v>
      </c>
      <c r="B85" s="30" t="str">
        <f aca="false">CHOOSE(WEEKDAY(A85),"Sun","Mon","Tue","Wed","Thu","Fri","Sat")</f>
        <v>Fri</v>
      </c>
      <c r="C85" s="30" t="str">
        <f aca="false">IF(IFERROR(INDEX(Holidays!$D$5:$D$60,MATCH(A85,Holidays!$A$5:$A$60,0)),"")="Holiday","Holiday",IF(WEEKDAY(A85)&gt;=6,"Weekend",IF(IFERROR(INDEX(Holidays!$D$5:$D$60,MATCH(A85,Holidays!$A$5:$A$60,0)),"")="Eve","Eve","Workday")))</f>
        <v>Weekend</v>
      </c>
      <c r="D85" s="18" t="str">
        <f aca="false">IFERROR(INDEX(Holidays!$C$5:$C$60,MATCH(A85,Holidays!$A$5:$A$60,0)),"")</f>
        <v/>
      </c>
      <c r="E85" s="31"/>
      <c r="F85" s="32"/>
      <c r="G85" s="32"/>
      <c r="H85" s="32"/>
      <c r="I85" s="32"/>
      <c r="J85" s="31"/>
      <c r="K85" s="33" t="str">
        <f aca="false">IF(E85&lt;&gt;"",E85,IF(U85,"Present",IF(C85="Holiday","Holiday","Weekend")))</f>
        <v>Weekend</v>
      </c>
      <c r="L85" s="34" t="str">
        <f aca="false">IF(OR(K85="Present",K85="Manual Work",K85="Partial Vacation",K85="Partial Sick Leave"),IF(ISNUMBER(F85),F85,IF(AND(K85="Present",U85),Settings!$B$6,"")),"")</f>
        <v/>
      </c>
      <c r="M85" s="34" t="str">
        <f aca="false">IF(OR(K85="Present",K85="Manual Work",K85="Partial Vacation",K85="Partial Sick Leave"),IF(ISNUMBER(G85),G85,IF(AND(K85="Present",U85),V85,"")),"")</f>
        <v/>
      </c>
      <c r="N85" s="14" t="n">
        <f aca="false">IF(AND(ISNUMBER(L85),ISNUMBER(M85)),MAX(0,(M85-L85)*24),0)</f>
        <v>0</v>
      </c>
      <c r="O85" s="14" t="n">
        <f aca="false">IF(NOT(U85),0,IF(K85="Vacation",IF(C85="Eve",Settings!$B$9*Settings!$B$11,W85),IF(K85="Partial Vacation",IF(AND(ISNUMBER(H85),ISNUMBER(I85)),MAX(0,(I85-H85)*24),0),0)))</f>
        <v>0</v>
      </c>
      <c r="P85" s="14" t="n">
        <f aca="false">IF(NOT(U85),0,IF(K85="Sick Leave",W85,IF(K85="Partial Sick Leave",IF(AND(ISNUMBER(H85),ISNUMBER(I85)),MAX(0,(I85-H85)*24),0),0)))</f>
        <v>0</v>
      </c>
      <c r="Q85" s="14" t="n">
        <f aca="false">IF(NOT(U85),0,IF(K85="Vacation",IF(C85="Eve",Settings!$B$11,1),IF(K85="Partial Vacation",O85/Settings!$B$9,0)))</f>
        <v>0</v>
      </c>
      <c r="R85" s="14" t="n">
        <f aca="false">IF(NOT(U85),0,IF(K85="Sick Leave",1,IF(K85="Partial Sick Leave",P85/Settings!$B$9,0)))</f>
        <v>0</v>
      </c>
      <c r="S85" s="35" t="str">
        <f aca="false">IF(AND(OR(E85="Vacation",E85="Sick Leave",E85="Partial Vacation",E85="Partial Sick Leave"),NOT(U85)),"Leave not allowed on this day",IF(AND(E85="Manual Work",OR(NOT(ISNUMBER(F85)),NOT(ISNUMBER(G85)))),"Enter start and end",IF(AND(OR(E85="Partial Vacation",E85="Partial Sick Leave"),OR(NOT(ISNUMBER(H85)),NOT(ISNUMBER(I85)))),"Enter leave from and to",IF(AND(ISNUMBER(F85),ISNUMBER(G85),G85&lt;=F85),"End is before start",IF(AND(ISNUMBER(H85),ISNUMBER(I85),I85&lt;=H85),"Leave end is before start",IF(AND(ISNUMBER(F85),ISNUMBER(G85),ISNUMBER(H85),ISNUMBER(I85),F85&lt;I85,H85&lt;G85),"Work and leave hours overlap",IF(AND(E85&lt;&gt;"",WEEKDAY(A85)=7),"Saturday - administrator only","")))))))</f>
        <v/>
      </c>
      <c r="T85" s="36" t="n">
        <f aca="false">MONTH(A85)</f>
        <v>3</v>
      </c>
      <c r="U85" s="37" t="b">
        <f aca="false">OR(C85="Workday",C85="Eve")</f>
        <v>0</v>
      </c>
      <c r="V85" s="34" t="n">
        <f aca="false">IF(C85="Eve",Settings!$B$8,Settings!$B$7)</f>
        <v>0.6875</v>
      </c>
      <c r="W85" s="14" t="n">
        <f aca="false">IF(U85,(V85-Settings!$B$6)*24,0)</f>
        <v>0</v>
      </c>
    </row>
    <row r="86" customFormat="false" ht="15" hidden="false" customHeight="false" outlineLevel="0" collapsed="false">
      <c r="A86" s="29" t="n">
        <v>46102</v>
      </c>
      <c r="B86" s="30" t="str">
        <f aca="false">CHOOSE(WEEKDAY(A86),"Sun","Mon","Tue","Wed","Thu","Fri","Sat")</f>
        <v>Sat</v>
      </c>
      <c r="C86" s="30" t="str">
        <f aca="false">IF(IFERROR(INDEX(Holidays!$D$5:$D$60,MATCH(A86,Holidays!$A$5:$A$60,0)),"")="Holiday","Holiday",IF(WEEKDAY(A86)&gt;=6,"Weekend",IF(IFERROR(INDEX(Holidays!$D$5:$D$60,MATCH(A86,Holidays!$A$5:$A$60,0)),"")="Eve","Eve","Workday")))</f>
        <v>Weekend</v>
      </c>
      <c r="D86" s="18" t="str">
        <f aca="false">IFERROR(INDEX(Holidays!$C$5:$C$60,MATCH(A86,Holidays!$A$5:$A$60,0)),"")</f>
        <v/>
      </c>
      <c r="E86" s="31"/>
      <c r="F86" s="32"/>
      <c r="G86" s="32"/>
      <c r="H86" s="32"/>
      <c r="I86" s="32"/>
      <c r="J86" s="31"/>
      <c r="K86" s="33" t="str">
        <f aca="false">IF(E86&lt;&gt;"",E86,IF(U86,"Present",IF(C86="Holiday","Holiday","Weekend")))</f>
        <v>Weekend</v>
      </c>
      <c r="L86" s="34" t="str">
        <f aca="false">IF(OR(K86="Present",K86="Manual Work",K86="Partial Vacation",K86="Partial Sick Leave"),IF(ISNUMBER(F86),F86,IF(AND(K86="Present",U86),Settings!$B$6,"")),"")</f>
        <v/>
      </c>
      <c r="M86" s="34" t="str">
        <f aca="false">IF(OR(K86="Present",K86="Manual Work",K86="Partial Vacation",K86="Partial Sick Leave"),IF(ISNUMBER(G86),G86,IF(AND(K86="Present",U86),V86,"")),"")</f>
        <v/>
      </c>
      <c r="N86" s="14" t="n">
        <f aca="false">IF(AND(ISNUMBER(L86),ISNUMBER(M86)),MAX(0,(M86-L86)*24),0)</f>
        <v>0</v>
      </c>
      <c r="O86" s="14" t="n">
        <f aca="false">IF(NOT(U86),0,IF(K86="Vacation",IF(C86="Eve",Settings!$B$9*Settings!$B$11,W86),IF(K86="Partial Vacation",IF(AND(ISNUMBER(H86),ISNUMBER(I86)),MAX(0,(I86-H86)*24),0),0)))</f>
        <v>0</v>
      </c>
      <c r="P86" s="14" t="n">
        <f aca="false">IF(NOT(U86),0,IF(K86="Sick Leave",W86,IF(K86="Partial Sick Leave",IF(AND(ISNUMBER(H86),ISNUMBER(I86)),MAX(0,(I86-H86)*24),0),0)))</f>
        <v>0</v>
      </c>
      <c r="Q86" s="14" t="n">
        <f aca="false">IF(NOT(U86),0,IF(K86="Vacation",IF(C86="Eve",Settings!$B$11,1),IF(K86="Partial Vacation",O86/Settings!$B$9,0)))</f>
        <v>0</v>
      </c>
      <c r="R86" s="14" t="n">
        <f aca="false">IF(NOT(U86),0,IF(K86="Sick Leave",1,IF(K86="Partial Sick Leave",P86/Settings!$B$9,0)))</f>
        <v>0</v>
      </c>
      <c r="S86" s="35" t="str">
        <f aca="false">IF(AND(OR(E86="Vacation",E86="Sick Leave",E86="Partial Vacation",E86="Partial Sick Leave"),NOT(U86)),"Leave not allowed on this day",IF(AND(E86="Manual Work",OR(NOT(ISNUMBER(F86)),NOT(ISNUMBER(G86)))),"Enter start and end",IF(AND(OR(E86="Partial Vacation",E86="Partial Sick Leave"),OR(NOT(ISNUMBER(H86)),NOT(ISNUMBER(I86)))),"Enter leave from and to",IF(AND(ISNUMBER(F86),ISNUMBER(G86),G86&lt;=F86),"End is before start",IF(AND(ISNUMBER(H86),ISNUMBER(I86),I86&lt;=H86),"Leave end is before start",IF(AND(ISNUMBER(F86),ISNUMBER(G86),ISNUMBER(H86),ISNUMBER(I86),F86&lt;I86,H86&lt;G86),"Work and leave hours overlap",IF(AND(E86&lt;&gt;"",WEEKDAY(A86)=7),"Saturday - administrator only","")))))))</f>
        <v/>
      </c>
      <c r="T86" s="36" t="n">
        <f aca="false">MONTH(A86)</f>
        <v>3</v>
      </c>
      <c r="U86" s="37" t="b">
        <f aca="false">OR(C86="Workday",C86="Eve")</f>
        <v>0</v>
      </c>
      <c r="V86" s="34" t="n">
        <f aca="false">IF(C86="Eve",Settings!$B$8,Settings!$B$7)</f>
        <v>0.6875</v>
      </c>
      <c r="W86" s="14" t="n">
        <f aca="false">IF(U86,(V86-Settings!$B$6)*24,0)</f>
        <v>0</v>
      </c>
    </row>
    <row r="87" customFormat="false" ht="15" hidden="false" customHeight="false" outlineLevel="0" collapsed="false">
      <c r="A87" s="29" t="n">
        <v>46103</v>
      </c>
      <c r="B87" s="30" t="str">
        <f aca="false">CHOOSE(WEEKDAY(A87),"Sun","Mon","Tue","Wed","Thu","Fri","Sat")</f>
        <v>Sun</v>
      </c>
      <c r="C87" s="30" t="str">
        <f aca="false">IF(IFERROR(INDEX(Holidays!$D$5:$D$60,MATCH(A87,Holidays!$A$5:$A$60,0)),"")="Holiday","Holiday",IF(WEEKDAY(A87)&gt;=6,"Weekend",IF(IFERROR(INDEX(Holidays!$D$5:$D$60,MATCH(A87,Holidays!$A$5:$A$60,0)),"")="Eve","Eve","Workday")))</f>
        <v>Workday</v>
      </c>
      <c r="D87" s="18" t="str">
        <f aca="false">IFERROR(INDEX(Holidays!$C$5:$C$60,MATCH(A87,Holidays!$A$5:$A$60,0)),"")</f>
        <v/>
      </c>
      <c r="E87" s="31"/>
      <c r="F87" s="32"/>
      <c r="G87" s="32"/>
      <c r="H87" s="32"/>
      <c r="I87" s="32"/>
      <c r="J87" s="31"/>
      <c r="K87" s="33" t="str">
        <f aca="false">IF(E87&lt;&gt;"",E87,IF(U87,"Present",IF(C87="Holiday","Holiday","Weekend")))</f>
        <v>Present</v>
      </c>
      <c r="L87" s="34" t="n">
        <f aca="false">IF(OR(K87="Present",K87="Manual Work",K87="Partial Vacation",K87="Partial Sick Leave"),IF(ISNUMBER(F87),F87,IF(AND(K87="Present",U87),Settings!$B$6,"")),"")</f>
        <v>0.333333333333333</v>
      </c>
      <c r="M87" s="34" t="n">
        <f aca="false">IF(OR(K87="Present",K87="Manual Work",K87="Partial Vacation",K87="Partial Sick Leave"),IF(ISNUMBER(G87),G87,IF(AND(K87="Present",U87),V87,"")),"")</f>
        <v>0.6875</v>
      </c>
      <c r="N87" s="14" t="n">
        <f aca="false">IF(AND(ISNUMBER(L87),ISNUMBER(M87)),MAX(0,(M87-L87)*24),0)</f>
        <v>8.5</v>
      </c>
      <c r="O87" s="14" t="n">
        <f aca="false">IF(NOT(U87),0,IF(K87="Vacation",IF(C87="Eve",Settings!$B$9*Settings!$B$11,W87),IF(K87="Partial Vacation",IF(AND(ISNUMBER(H87),ISNUMBER(I87)),MAX(0,(I87-H87)*24),0),0)))</f>
        <v>0</v>
      </c>
      <c r="P87" s="14" t="n">
        <f aca="false">IF(NOT(U87),0,IF(K87="Sick Leave",W87,IF(K87="Partial Sick Leave",IF(AND(ISNUMBER(H87),ISNUMBER(I87)),MAX(0,(I87-H87)*24),0),0)))</f>
        <v>0</v>
      </c>
      <c r="Q87" s="14" t="n">
        <f aca="false">IF(NOT(U87),0,IF(K87="Vacation",IF(C87="Eve",Settings!$B$11,1),IF(K87="Partial Vacation",O87/Settings!$B$9,0)))</f>
        <v>0</v>
      </c>
      <c r="R87" s="14" t="n">
        <f aca="false">IF(NOT(U87),0,IF(K87="Sick Leave",1,IF(K87="Partial Sick Leave",P87/Settings!$B$9,0)))</f>
        <v>0</v>
      </c>
      <c r="S87" s="35" t="str">
        <f aca="false">IF(AND(OR(E87="Vacation",E87="Sick Leave",E87="Partial Vacation",E87="Partial Sick Leave"),NOT(U87)),"Leave not allowed on this day",IF(AND(E87="Manual Work",OR(NOT(ISNUMBER(F87)),NOT(ISNUMBER(G87)))),"Enter start and end",IF(AND(OR(E87="Partial Vacation",E87="Partial Sick Leave"),OR(NOT(ISNUMBER(H87)),NOT(ISNUMBER(I87)))),"Enter leave from and to",IF(AND(ISNUMBER(F87),ISNUMBER(G87),G87&lt;=F87),"End is before start",IF(AND(ISNUMBER(H87),ISNUMBER(I87),I87&lt;=H87),"Leave end is before start",IF(AND(ISNUMBER(F87),ISNUMBER(G87),ISNUMBER(H87),ISNUMBER(I87),F87&lt;I87,H87&lt;G87),"Work and leave hours overlap",IF(AND(E87&lt;&gt;"",WEEKDAY(A87)=7),"Saturday - administrator only","")))))))</f>
        <v/>
      </c>
      <c r="T87" s="36" t="n">
        <f aca="false">MONTH(A87)</f>
        <v>3</v>
      </c>
      <c r="U87" s="37" t="b">
        <f aca="false">OR(C87="Workday",C87="Eve")</f>
        <v>1</v>
      </c>
      <c r="V87" s="34" t="n">
        <f aca="false">IF(C87="Eve",Settings!$B$8,Settings!$B$7)</f>
        <v>0.6875</v>
      </c>
      <c r="W87" s="14" t="n">
        <f aca="false">IF(U87,(V87-Settings!$B$6)*24,0)</f>
        <v>8.5</v>
      </c>
    </row>
    <row r="88" customFormat="false" ht="15" hidden="false" customHeight="false" outlineLevel="0" collapsed="false">
      <c r="A88" s="29" t="n">
        <v>46104</v>
      </c>
      <c r="B88" s="30" t="str">
        <f aca="false">CHOOSE(WEEKDAY(A88),"Sun","Mon","Tue","Wed","Thu","Fri","Sat")</f>
        <v>Mon</v>
      </c>
      <c r="C88" s="30" t="str">
        <f aca="false">IF(IFERROR(INDEX(Holidays!$D$5:$D$60,MATCH(A88,Holidays!$A$5:$A$60,0)),"")="Holiday","Holiday",IF(WEEKDAY(A88)&gt;=6,"Weekend",IF(IFERROR(INDEX(Holidays!$D$5:$D$60,MATCH(A88,Holidays!$A$5:$A$60,0)),"")="Eve","Eve","Workday")))</f>
        <v>Workday</v>
      </c>
      <c r="D88" s="18" t="str">
        <f aca="false">IFERROR(INDEX(Holidays!$C$5:$C$60,MATCH(A88,Holidays!$A$5:$A$60,0)),"")</f>
        <v/>
      </c>
      <c r="E88" s="31"/>
      <c r="F88" s="32"/>
      <c r="G88" s="32"/>
      <c r="H88" s="32"/>
      <c r="I88" s="32"/>
      <c r="J88" s="31"/>
      <c r="K88" s="33" t="str">
        <f aca="false">IF(E88&lt;&gt;"",E88,IF(U88,"Present",IF(C88="Holiday","Holiday","Weekend")))</f>
        <v>Present</v>
      </c>
      <c r="L88" s="34" t="n">
        <f aca="false">IF(OR(K88="Present",K88="Manual Work",K88="Partial Vacation",K88="Partial Sick Leave"),IF(ISNUMBER(F88),F88,IF(AND(K88="Present",U88),Settings!$B$6,"")),"")</f>
        <v>0.333333333333333</v>
      </c>
      <c r="M88" s="34" t="n">
        <f aca="false">IF(OR(K88="Present",K88="Manual Work",K88="Partial Vacation",K88="Partial Sick Leave"),IF(ISNUMBER(G88),G88,IF(AND(K88="Present",U88),V88,"")),"")</f>
        <v>0.6875</v>
      </c>
      <c r="N88" s="14" t="n">
        <f aca="false">IF(AND(ISNUMBER(L88),ISNUMBER(M88)),MAX(0,(M88-L88)*24),0)</f>
        <v>8.5</v>
      </c>
      <c r="O88" s="14" t="n">
        <f aca="false">IF(NOT(U88),0,IF(K88="Vacation",IF(C88="Eve",Settings!$B$9*Settings!$B$11,W88),IF(K88="Partial Vacation",IF(AND(ISNUMBER(H88),ISNUMBER(I88)),MAX(0,(I88-H88)*24),0),0)))</f>
        <v>0</v>
      </c>
      <c r="P88" s="14" t="n">
        <f aca="false">IF(NOT(U88),0,IF(K88="Sick Leave",W88,IF(K88="Partial Sick Leave",IF(AND(ISNUMBER(H88),ISNUMBER(I88)),MAX(0,(I88-H88)*24),0),0)))</f>
        <v>0</v>
      </c>
      <c r="Q88" s="14" t="n">
        <f aca="false">IF(NOT(U88),0,IF(K88="Vacation",IF(C88="Eve",Settings!$B$11,1),IF(K88="Partial Vacation",O88/Settings!$B$9,0)))</f>
        <v>0</v>
      </c>
      <c r="R88" s="14" t="n">
        <f aca="false">IF(NOT(U88),0,IF(K88="Sick Leave",1,IF(K88="Partial Sick Leave",P88/Settings!$B$9,0)))</f>
        <v>0</v>
      </c>
      <c r="S88" s="35" t="str">
        <f aca="false">IF(AND(OR(E88="Vacation",E88="Sick Leave",E88="Partial Vacation",E88="Partial Sick Leave"),NOT(U88)),"Leave not allowed on this day",IF(AND(E88="Manual Work",OR(NOT(ISNUMBER(F88)),NOT(ISNUMBER(G88)))),"Enter start and end",IF(AND(OR(E88="Partial Vacation",E88="Partial Sick Leave"),OR(NOT(ISNUMBER(H88)),NOT(ISNUMBER(I88)))),"Enter leave from and to",IF(AND(ISNUMBER(F88),ISNUMBER(G88),G88&lt;=F88),"End is before start",IF(AND(ISNUMBER(H88),ISNUMBER(I88),I88&lt;=H88),"Leave end is before start",IF(AND(ISNUMBER(F88),ISNUMBER(G88),ISNUMBER(H88),ISNUMBER(I88),F88&lt;I88,H88&lt;G88),"Work and leave hours overlap",IF(AND(E88&lt;&gt;"",WEEKDAY(A88)=7),"Saturday - administrator only","")))))))</f>
        <v/>
      </c>
      <c r="T88" s="36" t="n">
        <f aca="false">MONTH(A88)</f>
        <v>3</v>
      </c>
      <c r="U88" s="37" t="b">
        <f aca="false">OR(C88="Workday",C88="Eve")</f>
        <v>1</v>
      </c>
      <c r="V88" s="34" t="n">
        <f aca="false">IF(C88="Eve",Settings!$B$8,Settings!$B$7)</f>
        <v>0.6875</v>
      </c>
      <c r="W88" s="14" t="n">
        <f aca="false">IF(U88,(V88-Settings!$B$6)*24,0)</f>
        <v>8.5</v>
      </c>
    </row>
    <row r="89" customFormat="false" ht="15" hidden="false" customHeight="false" outlineLevel="0" collapsed="false">
      <c r="A89" s="29" t="n">
        <v>46105</v>
      </c>
      <c r="B89" s="30" t="str">
        <f aca="false">CHOOSE(WEEKDAY(A89),"Sun","Mon","Tue","Wed","Thu","Fri","Sat")</f>
        <v>Tue</v>
      </c>
      <c r="C89" s="30" t="str">
        <f aca="false">IF(IFERROR(INDEX(Holidays!$D$5:$D$60,MATCH(A89,Holidays!$A$5:$A$60,0)),"")="Holiday","Holiday",IF(WEEKDAY(A89)&gt;=6,"Weekend",IF(IFERROR(INDEX(Holidays!$D$5:$D$60,MATCH(A89,Holidays!$A$5:$A$60,0)),"")="Eve","Eve","Workday")))</f>
        <v>Workday</v>
      </c>
      <c r="D89" s="18" t="str">
        <f aca="false">IFERROR(INDEX(Holidays!$C$5:$C$60,MATCH(A89,Holidays!$A$5:$A$60,0)),"")</f>
        <v/>
      </c>
      <c r="E89" s="31"/>
      <c r="F89" s="32"/>
      <c r="G89" s="32"/>
      <c r="H89" s="32"/>
      <c r="I89" s="32"/>
      <c r="J89" s="31"/>
      <c r="K89" s="33" t="str">
        <f aca="false">IF(E89&lt;&gt;"",E89,IF(U89,"Present",IF(C89="Holiday","Holiday","Weekend")))</f>
        <v>Present</v>
      </c>
      <c r="L89" s="34" t="n">
        <f aca="false">IF(OR(K89="Present",K89="Manual Work",K89="Partial Vacation",K89="Partial Sick Leave"),IF(ISNUMBER(F89),F89,IF(AND(K89="Present",U89),Settings!$B$6,"")),"")</f>
        <v>0.333333333333333</v>
      </c>
      <c r="M89" s="34" t="n">
        <f aca="false">IF(OR(K89="Present",K89="Manual Work",K89="Partial Vacation",K89="Partial Sick Leave"),IF(ISNUMBER(G89),G89,IF(AND(K89="Present",U89),V89,"")),"")</f>
        <v>0.6875</v>
      </c>
      <c r="N89" s="14" t="n">
        <f aca="false">IF(AND(ISNUMBER(L89),ISNUMBER(M89)),MAX(0,(M89-L89)*24),0)</f>
        <v>8.5</v>
      </c>
      <c r="O89" s="14" t="n">
        <f aca="false">IF(NOT(U89),0,IF(K89="Vacation",IF(C89="Eve",Settings!$B$9*Settings!$B$11,W89),IF(K89="Partial Vacation",IF(AND(ISNUMBER(H89),ISNUMBER(I89)),MAX(0,(I89-H89)*24),0),0)))</f>
        <v>0</v>
      </c>
      <c r="P89" s="14" t="n">
        <f aca="false">IF(NOT(U89),0,IF(K89="Sick Leave",W89,IF(K89="Partial Sick Leave",IF(AND(ISNUMBER(H89),ISNUMBER(I89)),MAX(0,(I89-H89)*24),0),0)))</f>
        <v>0</v>
      </c>
      <c r="Q89" s="14" t="n">
        <f aca="false">IF(NOT(U89),0,IF(K89="Vacation",IF(C89="Eve",Settings!$B$11,1),IF(K89="Partial Vacation",O89/Settings!$B$9,0)))</f>
        <v>0</v>
      </c>
      <c r="R89" s="14" t="n">
        <f aca="false">IF(NOT(U89),0,IF(K89="Sick Leave",1,IF(K89="Partial Sick Leave",P89/Settings!$B$9,0)))</f>
        <v>0</v>
      </c>
      <c r="S89" s="35" t="str">
        <f aca="false">IF(AND(OR(E89="Vacation",E89="Sick Leave",E89="Partial Vacation",E89="Partial Sick Leave"),NOT(U89)),"Leave not allowed on this day",IF(AND(E89="Manual Work",OR(NOT(ISNUMBER(F89)),NOT(ISNUMBER(G89)))),"Enter start and end",IF(AND(OR(E89="Partial Vacation",E89="Partial Sick Leave"),OR(NOT(ISNUMBER(H89)),NOT(ISNUMBER(I89)))),"Enter leave from and to",IF(AND(ISNUMBER(F89),ISNUMBER(G89),G89&lt;=F89),"End is before start",IF(AND(ISNUMBER(H89),ISNUMBER(I89),I89&lt;=H89),"Leave end is before start",IF(AND(ISNUMBER(F89),ISNUMBER(G89),ISNUMBER(H89),ISNUMBER(I89),F89&lt;I89,H89&lt;G89),"Work and leave hours overlap",IF(AND(E89&lt;&gt;"",WEEKDAY(A89)=7),"Saturday - administrator only","")))))))</f>
        <v/>
      </c>
      <c r="T89" s="36" t="n">
        <f aca="false">MONTH(A89)</f>
        <v>3</v>
      </c>
      <c r="U89" s="37" t="b">
        <f aca="false">OR(C89="Workday",C89="Eve")</f>
        <v>1</v>
      </c>
      <c r="V89" s="34" t="n">
        <f aca="false">IF(C89="Eve",Settings!$B$8,Settings!$B$7)</f>
        <v>0.6875</v>
      </c>
      <c r="W89" s="14" t="n">
        <f aca="false">IF(U89,(V89-Settings!$B$6)*24,0)</f>
        <v>8.5</v>
      </c>
    </row>
    <row r="90" customFormat="false" ht="15" hidden="false" customHeight="false" outlineLevel="0" collapsed="false">
      <c r="A90" s="29" t="n">
        <v>46106</v>
      </c>
      <c r="B90" s="30" t="str">
        <f aca="false">CHOOSE(WEEKDAY(A90),"Sun","Mon","Tue","Wed","Thu","Fri","Sat")</f>
        <v>Wed</v>
      </c>
      <c r="C90" s="30" t="str">
        <f aca="false">IF(IFERROR(INDEX(Holidays!$D$5:$D$60,MATCH(A90,Holidays!$A$5:$A$60,0)),"")="Holiday","Holiday",IF(WEEKDAY(A90)&gt;=6,"Weekend",IF(IFERROR(INDEX(Holidays!$D$5:$D$60,MATCH(A90,Holidays!$A$5:$A$60,0)),"")="Eve","Eve","Workday")))</f>
        <v>Workday</v>
      </c>
      <c r="D90" s="18" t="str">
        <f aca="false">IFERROR(INDEX(Holidays!$C$5:$C$60,MATCH(A90,Holidays!$A$5:$A$60,0)),"")</f>
        <v/>
      </c>
      <c r="E90" s="31"/>
      <c r="F90" s="32"/>
      <c r="G90" s="32"/>
      <c r="H90" s="32"/>
      <c r="I90" s="32"/>
      <c r="J90" s="31"/>
      <c r="K90" s="33" t="str">
        <f aca="false">IF(E90&lt;&gt;"",E90,IF(U90,"Present",IF(C90="Holiday","Holiday","Weekend")))</f>
        <v>Present</v>
      </c>
      <c r="L90" s="34" t="n">
        <f aca="false">IF(OR(K90="Present",K90="Manual Work",K90="Partial Vacation",K90="Partial Sick Leave"),IF(ISNUMBER(F90),F90,IF(AND(K90="Present",U90),Settings!$B$6,"")),"")</f>
        <v>0.333333333333333</v>
      </c>
      <c r="M90" s="34" t="n">
        <f aca="false">IF(OR(K90="Present",K90="Manual Work",K90="Partial Vacation",K90="Partial Sick Leave"),IF(ISNUMBER(G90),G90,IF(AND(K90="Present",U90),V90,"")),"")</f>
        <v>0.6875</v>
      </c>
      <c r="N90" s="14" t="n">
        <f aca="false">IF(AND(ISNUMBER(L90),ISNUMBER(M90)),MAX(0,(M90-L90)*24),0)</f>
        <v>8.5</v>
      </c>
      <c r="O90" s="14" t="n">
        <f aca="false">IF(NOT(U90),0,IF(K90="Vacation",IF(C90="Eve",Settings!$B$9*Settings!$B$11,W90),IF(K90="Partial Vacation",IF(AND(ISNUMBER(H90),ISNUMBER(I90)),MAX(0,(I90-H90)*24),0),0)))</f>
        <v>0</v>
      </c>
      <c r="P90" s="14" t="n">
        <f aca="false">IF(NOT(U90),0,IF(K90="Sick Leave",W90,IF(K90="Partial Sick Leave",IF(AND(ISNUMBER(H90),ISNUMBER(I90)),MAX(0,(I90-H90)*24),0),0)))</f>
        <v>0</v>
      </c>
      <c r="Q90" s="14" t="n">
        <f aca="false">IF(NOT(U90),0,IF(K90="Vacation",IF(C90="Eve",Settings!$B$11,1),IF(K90="Partial Vacation",O90/Settings!$B$9,0)))</f>
        <v>0</v>
      </c>
      <c r="R90" s="14" t="n">
        <f aca="false">IF(NOT(U90),0,IF(K90="Sick Leave",1,IF(K90="Partial Sick Leave",P90/Settings!$B$9,0)))</f>
        <v>0</v>
      </c>
      <c r="S90" s="35" t="str">
        <f aca="false">IF(AND(OR(E90="Vacation",E90="Sick Leave",E90="Partial Vacation",E90="Partial Sick Leave"),NOT(U90)),"Leave not allowed on this day",IF(AND(E90="Manual Work",OR(NOT(ISNUMBER(F90)),NOT(ISNUMBER(G90)))),"Enter start and end",IF(AND(OR(E90="Partial Vacation",E90="Partial Sick Leave"),OR(NOT(ISNUMBER(H90)),NOT(ISNUMBER(I90)))),"Enter leave from and to",IF(AND(ISNUMBER(F90),ISNUMBER(G90),G90&lt;=F90),"End is before start",IF(AND(ISNUMBER(H90),ISNUMBER(I90),I90&lt;=H90),"Leave end is before start",IF(AND(ISNUMBER(F90),ISNUMBER(G90),ISNUMBER(H90),ISNUMBER(I90),F90&lt;I90,H90&lt;G90),"Work and leave hours overlap",IF(AND(E90&lt;&gt;"",WEEKDAY(A90)=7),"Saturday - administrator only","")))))))</f>
        <v/>
      </c>
      <c r="T90" s="36" t="n">
        <f aca="false">MONTH(A90)</f>
        <v>3</v>
      </c>
      <c r="U90" s="37" t="b">
        <f aca="false">OR(C90="Workday",C90="Eve")</f>
        <v>1</v>
      </c>
      <c r="V90" s="34" t="n">
        <f aca="false">IF(C90="Eve",Settings!$B$8,Settings!$B$7)</f>
        <v>0.6875</v>
      </c>
      <c r="W90" s="14" t="n">
        <f aca="false">IF(U90,(V90-Settings!$B$6)*24,0)</f>
        <v>8.5</v>
      </c>
    </row>
    <row r="91" customFormat="false" ht="15" hidden="false" customHeight="false" outlineLevel="0" collapsed="false">
      <c r="A91" s="29" t="n">
        <v>46107</v>
      </c>
      <c r="B91" s="30" t="str">
        <f aca="false">CHOOSE(WEEKDAY(A91),"Sun","Mon","Tue","Wed","Thu","Fri","Sat")</f>
        <v>Thu</v>
      </c>
      <c r="C91" s="30" t="str">
        <f aca="false">IF(IFERROR(INDEX(Holidays!$D$5:$D$60,MATCH(A91,Holidays!$A$5:$A$60,0)),"")="Holiday","Holiday",IF(WEEKDAY(A91)&gt;=6,"Weekend",IF(IFERROR(INDEX(Holidays!$D$5:$D$60,MATCH(A91,Holidays!$A$5:$A$60,0)),"")="Eve","Eve","Workday")))</f>
        <v>Workday</v>
      </c>
      <c r="D91" s="18" t="str">
        <f aca="false">IFERROR(INDEX(Holidays!$C$5:$C$60,MATCH(A91,Holidays!$A$5:$A$60,0)),"")</f>
        <v/>
      </c>
      <c r="E91" s="31"/>
      <c r="F91" s="32"/>
      <c r="G91" s="32"/>
      <c r="H91" s="32"/>
      <c r="I91" s="32"/>
      <c r="J91" s="31"/>
      <c r="K91" s="33" t="str">
        <f aca="false">IF(E91&lt;&gt;"",E91,IF(U91,"Present",IF(C91="Holiday","Holiday","Weekend")))</f>
        <v>Present</v>
      </c>
      <c r="L91" s="34" t="n">
        <f aca="false">IF(OR(K91="Present",K91="Manual Work",K91="Partial Vacation",K91="Partial Sick Leave"),IF(ISNUMBER(F91),F91,IF(AND(K91="Present",U91),Settings!$B$6,"")),"")</f>
        <v>0.333333333333333</v>
      </c>
      <c r="M91" s="34" t="n">
        <f aca="false">IF(OR(K91="Present",K91="Manual Work",K91="Partial Vacation",K91="Partial Sick Leave"),IF(ISNUMBER(G91),G91,IF(AND(K91="Present",U91),V91,"")),"")</f>
        <v>0.6875</v>
      </c>
      <c r="N91" s="14" t="n">
        <f aca="false">IF(AND(ISNUMBER(L91),ISNUMBER(M91)),MAX(0,(M91-L91)*24),0)</f>
        <v>8.5</v>
      </c>
      <c r="O91" s="14" t="n">
        <f aca="false">IF(NOT(U91),0,IF(K91="Vacation",IF(C91="Eve",Settings!$B$9*Settings!$B$11,W91),IF(K91="Partial Vacation",IF(AND(ISNUMBER(H91),ISNUMBER(I91)),MAX(0,(I91-H91)*24),0),0)))</f>
        <v>0</v>
      </c>
      <c r="P91" s="14" t="n">
        <f aca="false">IF(NOT(U91),0,IF(K91="Sick Leave",W91,IF(K91="Partial Sick Leave",IF(AND(ISNUMBER(H91),ISNUMBER(I91)),MAX(0,(I91-H91)*24),0),0)))</f>
        <v>0</v>
      </c>
      <c r="Q91" s="14" t="n">
        <f aca="false">IF(NOT(U91),0,IF(K91="Vacation",IF(C91="Eve",Settings!$B$11,1),IF(K91="Partial Vacation",O91/Settings!$B$9,0)))</f>
        <v>0</v>
      </c>
      <c r="R91" s="14" t="n">
        <f aca="false">IF(NOT(U91),0,IF(K91="Sick Leave",1,IF(K91="Partial Sick Leave",P91/Settings!$B$9,0)))</f>
        <v>0</v>
      </c>
      <c r="S91" s="35" t="str">
        <f aca="false">IF(AND(OR(E91="Vacation",E91="Sick Leave",E91="Partial Vacation",E91="Partial Sick Leave"),NOT(U91)),"Leave not allowed on this day",IF(AND(E91="Manual Work",OR(NOT(ISNUMBER(F91)),NOT(ISNUMBER(G91)))),"Enter start and end",IF(AND(OR(E91="Partial Vacation",E91="Partial Sick Leave"),OR(NOT(ISNUMBER(H91)),NOT(ISNUMBER(I91)))),"Enter leave from and to",IF(AND(ISNUMBER(F91),ISNUMBER(G91),G91&lt;=F91),"End is before start",IF(AND(ISNUMBER(H91),ISNUMBER(I91),I91&lt;=H91),"Leave end is before start",IF(AND(ISNUMBER(F91),ISNUMBER(G91),ISNUMBER(H91),ISNUMBER(I91),F91&lt;I91,H91&lt;G91),"Work and leave hours overlap",IF(AND(E91&lt;&gt;"",WEEKDAY(A91)=7),"Saturday - administrator only","")))))))</f>
        <v/>
      </c>
      <c r="T91" s="36" t="n">
        <f aca="false">MONTH(A91)</f>
        <v>3</v>
      </c>
      <c r="U91" s="37" t="b">
        <f aca="false">OR(C91="Workday",C91="Eve")</f>
        <v>1</v>
      </c>
      <c r="V91" s="34" t="n">
        <f aca="false">IF(C91="Eve",Settings!$B$8,Settings!$B$7)</f>
        <v>0.6875</v>
      </c>
      <c r="W91" s="14" t="n">
        <f aca="false">IF(U91,(V91-Settings!$B$6)*24,0)</f>
        <v>8.5</v>
      </c>
    </row>
    <row r="92" customFormat="false" ht="15" hidden="false" customHeight="false" outlineLevel="0" collapsed="false">
      <c r="A92" s="29" t="n">
        <v>46108</v>
      </c>
      <c r="B92" s="30" t="str">
        <f aca="false">CHOOSE(WEEKDAY(A92),"Sun","Mon","Tue","Wed","Thu","Fri","Sat")</f>
        <v>Fri</v>
      </c>
      <c r="C92" s="30" t="str">
        <f aca="false">IF(IFERROR(INDEX(Holidays!$D$5:$D$60,MATCH(A92,Holidays!$A$5:$A$60,0)),"")="Holiday","Holiday",IF(WEEKDAY(A92)&gt;=6,"Weekend",IF(IFERROR(INDEX(Holidays!$D$5:$D$60,MATCH(A92,Holidays!$A$5:$A$60,0)),"")="Eve","Eve","Workday")))</f>
        <v>Weekend</v>
      </c>
      <c r="D92" s="18" t="str">
        <f aca="false">IFERROR(INDEX(Holidays!$C$5:$C$60,MATCH(A92,Holidays!$A$5:$A$60,0)),"")</f>
        <v/>
      </c>
      <c r="E92" s="31"/>
      <c r="F92" s="32"/>
      <c r="G92" s="32"/>
      <c r="H92" s="32"/>
      <c r="I92" s="32"/>
      <c r="J92" s="31"/>
      <c r="K92" s="33" t="str">
        <f aca="false">IF(E92&lt;&gt;"",E92,IF(U92,"Present",IF(C92="Holiday","Holiday","Weekend")))</f>
        <v>Weekend</v>
      </c>
      <c r="L92" s="34" t="str">
        <f aca="false">IF(OR(K92="Present",K92="Manual Work",K92="Partial Vacation",K92="Partial Sick Leave"),IF(ISNUMBER(F92),F92,IF(AND(K92="Present",U92),Settings!$B$6,"")),"")</f>
        <v/>
      </c>
      <c r="M92" s="34" t="str">
        <f aca="false">IF(OR(K92="Present",K92="Manual Work",K92="Partial Vacation",K92="Partial Sick Leave"),IF(ISNUMBER(G92),G92,IF(AND(K92="Present",U92),V92,"")),"")</f>
        <v/>
      </c>
      <c r="N92" s="14" t="n">
        <f aca="false">IF(AND(ISNUMBER(L92),ISNUMBER(M92)),MAX(0,(M92-L92)*24),0)</f>
        <v>0</v>
      </c>
      <c r="O92" s="14" t="n">
        <f aca="false">IF(NOT(U92),0,IF(K92="Vacation",IF(C92="Eve",Settings!$B$9*Settings!$B$11,W92),IF(K92="Partial Vacation",IF(AND(ISNUMBER(H92),ISNUMBER(I92)),MAX(0,(I92-H92)*24),0),0)))</f>
        <v>0</v>
      </c>
      <c r="P92" s="14" t="n">
        <f aca="false">IF(NOT(U92),0,IF(K92="Sick Leave",W92,IF(K92="Partial Sick Leave",IF(AND(ISNUMBER(H92),ISNUMBER(I92)),MAX(0,(I92-H92)*24),0),0)))</f>
        <v>0</v>
      </c>
      <c r="Q92" s="14" t="n">
        <f aca="false">IF(NOT(U92),0,IF(K92="Vacation",IF(C92="Eve",Settings!$B$11,1),IF(K92="Partial Vacation",O92/Settings!$B$9,0)))</f>
        <v>0</v>
      </c>
      <c r="R92" s="14" t="n">
        <f aca="false">IF(NOT(U92),0,IF(K92="Sick Leave",1,IF(K92="Partial Sick Leave",P92/Settings!$B$9,0)))</f>
        <v>0</v>
      </c>
      <c r="S92" s="35" t="str">
        <f aca="false">IF(AND(OR(E92="Vacation",E92="Sick Leave",E92="Partial Vacation",E92="Partial Sick Leave"),NOT(U92)),"Leave not allowed on this day",IF(AND(E92="Manual Work",OR(NOT(ISNUMBER(F92)),NOT(ISNUMBER(G92)))),"Enter start and end",IF(AND(OR(E92="Partial Vacation",E92="Partial Sick Leave"),OR(NOT(ISNUMBER(H92)),NOT(ISNUMBER(I92)))),"Enter leave from and to",IF(AND(ISNUMBER(F92),ISNUMBER(G92),G92&lt;=F92),"End is before start",IF(AND(ISNUMBER(H92),ISNUMBER(I92),I92&lt;=H92),"Leave end is before start",IF(AND(ISNUMBER(F92),ISNUMBER(G92),ISNUMBER(H92),ISNUMBER(I92),F92&lt;I92,H92&lt;G92),"Work and leave hours overlap",IF(AND(E92&lt;&gt;"",WEEKDAY(A92)=7),"Saturday - administrator only","")))))))</f>
        <v/>
      </c>
      <c r="T92" s="36" t="n">
        <f aca="false">MONTH(A92)</f>
        <v>3</v>
      </c>
      <c r="U92" s="37" t="b">
        <f aca="false">OR(C92="Workday",C92="Eve")</f>
        <v>0</v>
      </c>
      <c r="V92" s="34" t="n">
        <f aca="false">IF(C92="Eve",Settings!$B$8,Settings!$B$7)</f>
        <v>0.6875</v>
      </c>
      <c r="W92" s="14" t="n">
        <f aca="false">IF(U92,(V92-Settings!$B$6)*24,0)</f>
        <v>0</v>
      </c>
    </row>
    <row r="93" customFormat="false" ht="15" hidden="false" customHeight="false" outlineLevel="0" collapsed="false">
      <c r="A93" s="29" t="n">
        <v>46109</v>
      </c>
      <c r="B93" s="30" t="str">
        <f aca="false">CHOOSE(WEEKDAY(A93),"Sun","Mon","Tue","Wed","Thu","Fri","Sat")</f>
        <v>Sat</v>
      </c>
      <c r="C93" s="30" t="str">
        <f aca="false">IF(IFERROR(INDEX(Holidays!$D$5:$D$60,MATCH(A93,Holidays!$A$5:$A$60,0)),"")="Holiday","Holiday",IF(WEEKDAY(A93)&gt;=6,"Weekend",IF(IFERROR(INDEX(Holidays!$D$5:$D$60,MATCH(A93,Holidays!$A$5:$A$60,0)),"")="Eve","Eve","Workday")))</f>
        <v>Weekend</v>
      </c>
      <c r="D93" s="18" t="str">
        <f aca="false">IFERROR(INDEX(Holidays!$C$5:$C$60,MATCH(A93,Holidays!$A$5:$A$60,0)),"")</f>
        <v/>
      </c>
      <c r="E93" s="31"/>
      <c r="F93" s="32"/>
      <c r="G93" s="32"/>
      <c r="H93" s="32"/>
      <c r="I93" s="32"/>
      <c r="J93" s="31"/>
      <c r="K93" s="33" t="str">
        <f aca="false">IF(E93&lt;&gt;"",E93,IF(U93,"Present",IF(C93="Holiday","Holiday","Weekend")))</f>
        <v>Weekend</v>
      </c>
      <c r="L93" s="34" t="str">
        <f aca="false">IF(OR(K93="Present",K93="Manual Work",K93="Partial Vacation",K93="Partial Sick Leave"),IF(ISNUMBER(F93),F93,IF(AND(K93="Present",U93),Settings!$B$6,"")),"")</f>
        <v/>
      </c>
      <c r="M93" s="34" t="str">
        <f aca="false">IF(OR(K93="Present",K93="Manual Work",K93="Partial Vacation",K93="Partial Sick Leave"),IF(ISNUMBER(G93),G93,IF(AND(K93="Present",U93),V93,"")),"")</f>
        <v/>
      </c>
      <c r="N93" s="14" t="n">
        <f aca="false">IF(AND(ISNUMBER(L93),ISNUMBER(M93)),MAX(0,(M93-L93)*24),0)</f>
        <v>0</v>
      </c>
      <c r="O93" s="14" t="n">
        <f aca="false">IF(NOT(U93),0,IF(K93="Vacation",IF(C93="Eve",Settings!$B$9*Settings!$B$11,W93),IF(K93="Partial Vacation",IF(AND(ISNUMBER(H93),ISNUMBER(I93)),MAX(0,(I93-H93)*24),0),0)))</f>
        <v>0</v>
      </c>
      <c r="P93" s="14" t="n">
        <f aca="false">IF(NOT(U93),0,IF(K93="Sick Leave",W93,IF(K93="Partial Sick Leave",IF(AND(ISNUMBER(H93),ISNUMBER(I93)),MAX(0,(I93-H93)*24),0),0)))</f>
        <v>0</v>
      </c>
      <c r="Q93" s="14" t="n">
        <f aca="false">IF(NOT(U93),0,IF(K93="Vacation",IF(C93="Eve",Settings!$B$11,1),IF(K93="Partial Vacation",O93/Settings!$B$9,0)))</f>
        <v>0</v>
      </c>
      <c r="R93" s="14" t="n">
        <f aca="false">IF(NOT(U93),0,IF(K93="Sick Leave",1,IF(K93="Partial Sick Leave",P93/Settings!$B$9,0)))</f>
        <v>0</v>
      </c>
      <c r="S93" s="35" t="str">
        <f aca="false">IF(AND(OR(E93="Vacation",E93="Sick Leave",E93="Partial Vacation",E93="Partial Sick Leave"),NOT(U93)),"Leave not allowed on this day",IF(AND(E93="Manual Work",OR(NOT(ISNUMBER(F93)),NOT(ISNUMBER(G93)))),"Enter start and end",IF(AND(OR(E93="Partial Vacation",E93="Partial Sick Leave"),OR(NOT(ISNUMBER(H93)),NOT(ISNUMBER(I93)))),"Enter leave from and to",IF(AND(ISNUMBER(F93),ISNUMBER(G93),G93&lt;=F93),"End is before start",IF(AND(ISNUMBER(H93),ISNUMBER(I93),I93&lt;=H93),"Leave end is before start",IF(AND(ISNUMBER(F93),ISNUMBER(G93),ISNUMBER(H93),ISNUMBER(I93),F93&lt;I93,H93&lt;G93),"Work and leave hours overlap",IF(AND(E93&lt;&gt;"",WEEKDAY(A93)=7),"Saturday - administrator only","")))))))</f>
        <v/>
      </c>
      <c r="T93" s="36" t="n">
        <f aca="false">MONTH(A93)</f>
        <v>3</v>
      </c>
      <c r="U93" s="37" t="b">
        <f aca="false">OR(C93="Workday",C93="Eve")</f>
        <v>0</v>
      </c>
      <c r="V93" s="34" t="n">
        <f aca="false">IF(C93="Eve",Settings!$B$8,Settings!$B$7)</f>
        <v>0.6875</v>
      </c>
      <c r="W93" s="14" t="n">
        <f aca="false">IF(U93,(V93-Settings!$B$6)*24,0)</f>
        <v>0</v>
      </c>
    </row>
    <row r="94" customFormat="false" ht="15" hidden="false" customHeight="false" outlineLevel="0" collapsed="false">
      <c r="A94" s="29" t="n">
        <v>46110</v>
      </c>
      <c r="B94" s="30" t="str">
        <f aca="false">CHOOSE(WEEKDAY(A94),"Sun","Mon","Tue","Wed","Thu","Fri","Sat")</f>
        <v>Sun</v>
      </c>
      <c r="C94" s="30" t="str">
        <f aca="false">IF(IFERROR(INDEX(Holidays!$D$5:$D$60,MATCH(A94,Holidays!$A$5:$A$60,0)),"")="Holiday","Holiday",IF(WEEKDAY(A94)&gt;=6,"Weekend",IF(IFERROR(INDEX(Holidays!$D$5:$D$60,MATCH(A94,Holidays!$A$5:$A$60,0)),"")="Eve","Eve","Workday")))</f>
        <v>Workday</v>
      </c>
      <c r="D94" s="18" t="str">
        <f aca="false">IFERROR(INDEX(Holidays!$C$5:$C$60,MATCH(A94,Holidays!$A$5:$A$60,0)),"")</f>
        <v/>
      </c>
      <c r="E94" s="31"/>
      <c r="F94" s="32"/>
      <c r="G94" s="32"/>
      <c r="H94" s="32"/>
      <c r="I94" s="32"/>
      <c r="J94" s="31"/>
      <c r="K94" s="33" t="str">
        <f aca="false">IF(E94&lt;&gt;"",E94,IF(U94,"Present",IF(C94="Holiday","Holiday","Weekend")))</f>
        <v>Present</v>
      </c>
      <c r="L94" s="34" t="n">
        <f aca="false">IF(OR(K94="Present",K94="Manual Work",K94="Partial Vacation",K94="Partial Sick Leave"),IF(ISNUMBER(F94),F94,IF(AND(K94="Present",U94),Settings!$B$6,"")),"")</f>
        <v>0.333333333333333</v>
      </c>
      <c r="M94" s="34" t="n">
        <f aca="false">IF(OR(K94="Present",K94="Manual Work",K94="Partial Vacation",K94="Partial Sick Leave"),IF(ISNUMBER(G94),G94,IF(AND(K94="Present",U94),V94,"")),"")</f>
        <v>0.6875</v>
      </c>
      <c r="N94" s="14" t="n">
        <f aca="false">IF(AND(ISNUMBER(L94),ISNUMBER(M94)),MAX(0,(M94-L94)*24),0)</f>
        <v>8.5</v>
      </c>
      <c r="O94" s="14" t="n">
        <f aca="false">IF(NOT(U94),0,IF(K94="Vacation",IF(C94="Eve",Settings!$B$9*Settings!$B$11,W94),IF(K94="Partial Vacation",IF(AND(ISNUMBER(H94),ISNUMBER(I94)),MAX(0,(I94-H94)*24),0),0)))</f>
        <v>0</v>
      </c>
      <c r="P94" s="14" t="n">
        <f aca="false">IF(NOT(U94),0,IF(K94="Sick Leave",W94,IF(K94="Partial Sick Leave",IF(AND(ISNUMBER(H94),ISNUMBER(I94)),MAX(0,(I94-H94)*24),0),0)))</f>
        <v>0</v>
      </c>
      <c r="Q94" s="14" t="n">
        <f aca="false">IF(NOT(U94),0,IF(K94="Vacation",IF(C94="Eve",Settings!$B$11,1),IF(K94="Partial Vacation",O94/Settings!$B$9,0)))</f>
        <v>0</v>
      </c>
      <c r="R94" s="14" t="n">
        <f aca="false">IF(NOT(U94),0,IF(K94="Sick Leave",1,IF(K94="Partial Sick Leave",P94/Settings!$B$9,0)))</f>
        <v>0</v>
      </c>
      <c r="S94" s="35" t="str">
        <f aca="false">IF(AND(OR(E94="Vacation",E94="Sick Leave",E94="Partial Vacation",E94="Partial Sick Leave"),NOT(U94)),"Leave not allowed on this day",IF(AND(E94="Manual Work",OR(NOT(ISNUMBER(F94)),NOT(ISNUMBER(G94)))),"Enter start and end",IF(AND(OR(E94="Partial Vacation",E94="Partial Sick Leave"),OR(NOT(ISNUMBER(H94)),NOT(ISNUMBER(I94)))),"Enter leave from and to",IF(AND(ISNUMBER(F94),ISNUMBER(G94),G94&lt;=F94),"End is before start",IF(AND(ISNUMBER(H94),ISNUMBER(I94),I94&lt;=H94),"Leave end is before start",IF(AND(ISNUMBER(F94),ISNUMBER(G94),ISNUMBER(H94),ISNUMBER(I94),F94&lt;I94,H94&lt;G94),"Work and leave hours overlap",IF(AND(E94&lt;&gt;"",WEEKDAY(A94)=7),"Saturday - administrator only","")))))))</f>
        <v/>
      </c>
      <c r="T94" s="36" t="n">
        <f aca="false">MONTH(A94)</f>
        <v>3</v>
      </c>
      <c r="U94" s="37" t="b">
        <f aca="false">OR(C94="Workday",C94="Eve")</f>
        <v>1</v>
      </c>
      <c r="V94" s="34" t="n">
        <f aca="false">IF(C94="Eve",Settings!$B$8,Settings!$B$7)</f>
        <v>0.6875</v>
      </c>
      <c r="W94" s="14" t="n">
        <f aca="false">IF(U94,(V94-Settings!$B$6)*24,0)</f>
        <v>8.5</v>
      </c>
    </row>
    <row r="95" customFormat="false" ht="15" hidden="false" customHeight="false" outlineLevel="0" collapsed="false">
      <c r="A95" s="29" t="n">
        <v>46111</v>
      </c>
      <c r="B95" s="30" t="str">
        <f aca="false">CHOOSE(WEEKDAY(A95),"Sun","Mon","Tue","Wed","Thu","Fri","Sat")</f>
        <v>Mon</v>
      </c>
      <c r="C95" s="30" t="str">
        <f aca="false">IF(IFERROR(INDEX(Holidays!$D$5:$D$60,MATCH(A95,Holidays!$A$5:$A$60,0)),"")="Holiday","Holiday",IF(WEEKDAY(A95)&gt;=6,"Weekend",IF(IFERROR(INDEX(Holidays!$D$5:$D$60,MATCH(A95,Holidays!$A$5:$A$60,0)),"")="Eve","Eve","Workday")))</f>
        <v>Workday</v>
      </c>
      <c r="D95" s="18" t="str">
        <f aca="false">IFERROR(INDEX(Holidays!$C$5:$C$60,MATCH(A95,Holidays!$A$5:$A$60,0)),"")</f>
        <v/>
      </c>
      <c r="E95" s="31"/>
      <c r="F95" s="32"/>
      <c r="G95" s="32"/>
      <c r="H95" s="32"/>
      <c r="I95" s="32"/>
      <c r="J95" s="31"/>
      <c r="K95" s="33" t="str">
        <f aca="false">IF(E95&lt;&gt;"",E95,IF(U95,"Present",IF(C95="Holiday","Holiday","Weekend")))</f>
        <v>Present</v>
      </c>
      <c r="L95" s="34" t="n">
        <f aca="false">IF(OR(K95="Present",K95="Manual Work",K95="Partial Vacation",K95="Partial Sick Leave"),IF(ISNUMBER(F95),F95,IF(AND(K95="Present",U95),Settings!$B$6,"")),"")</f>
        <v>0.333333333333333</v>
      </c>
      <c r="M95" s="34" t="n">
        <f aca="false">IF(OR(K95="Present",K95="Manual Work",K95="Partial Vacation",K95="Partial Sick Leave"),IF(ISNUMBER(G95),G95,IF(AND(K95="Present",U95),V95,"")),"")</f>
        <v>0.6875</v>
      </c>
      <c r="N95" s="14" t="n">
        <f aca="false">IF(AND(ISNUMBER(L95),ISNUMBER(M95)),MAX(0,(M95-L95)*24),0)</f>
        <v>8.5</v>
      </c>
      <c r="O95" s="14" t="n">
        <f aca="false">IF(NOT(U95),0,IF(K95="Vacation",IF(C95="Eve",Settings!$B$9*Settings!$B$11,W95),IF(K95="Partial Vacation",IF(AND(ISNUMBER(H95),ISNUMBER(I95)),MAX(0,(I95-H95)*24),0),0)))</f>
        <v>0</v>
      </c>
      <c r="P95" s="14" t="n">
        <f aca="false">IF(NOT(U95),0,IF(K95="Sick Leave",W95,IF(K95="Partial Sick Leave",IF(AND(ISNUMBER(H95),ISNUMBER(I95)),MAX(0,(I95-H95)*24),0),0)))</f>
        <v>0</v>
      </c>
      <c r="Q95" s="14" t="n">
        <f aca="false">IF(NOT(U95),0,IF(K95="Vacation",IF(C95="Eve",Settings!$B$11,1),IF(K95="Partial Vacation",O95/Settings!$B$9,0)))</f>
        <v>0</v>
      </c>
      <c r="R95" s="14" t="n">
        <f aca="false">IF(NOT(U95),0,IF(K95="Sick Leave",1,IF(K95="Partial Sick Leave",P95/Settings!$B$9,0)))</f>
        <v>0</v>
      </c>
      <c r="S95" s="35" t="str">
        <f aca="false">IF(AND(OR(E95="Vacation",E95="Sick Leave",E95="Partial Vacation",E95="Partial Sick Leave"),NOT(U95)),"Leave not allowed on this day",IF(AND(E95="Manual Work",OR(NOT(ISNUMBER(F95)),NOT(ISNUMBER(G95)))),"Enter start and end",IF(AND(OR(E95="Partial Vacation",E95="Partial Sick Leave"),OR(NOT(ISNUMBER(H95)),NOT(ISNUMBER(I95)))),"Enter leave from and to",IF(AND(ISNUMBER(F95),ISNUMBER(G95),G95&lt;=F95),"End is before start",IF(AND(ISNUMBER(H95),ISNUMBER(I95),I95&lt;=H95),"Leave end is before start",IF(AND(ISNUMBER(F95),ISNUMBER(G95),ISNUMBER(H95),ISNUMBER(I95),F95&lt;I95,H95&lt;G95),"Work and leave hours overlap",IF(AND(E95&lt;&gt;"",WEEKDAY(A95)=7),"Saturday - administrator only","")))))))</f>
        <v/>
      </c>
      <c r="T95" s="36" t="n">
        <f aca="false">MONTH(A95)</f>
        <v>3</v>
      </c>
      <c r="U95" s="37" t="b">
        <f aca="false">OR(C95="Workday",C95="Eve")</f>
        <v>1</v>
      </c>
      <c r="V95" s="34" t="n">
        <f aca="false">IF(C95="Eve",Settings!$B$8,Settings!$B$7)</f>
        <v>0.6875</v>
      </c>
      <c r="W95" s="14" t="n">
        <f aca="false">IF(U95,(V95-Settings!$B$6)*24,0)</f>
        <v>8.5</v>
      </c>
    </row>
    <row r="96" customFormat="false" ht="15" hidden="false" customHeight="false" outlineLevel="0" collapsed="false">
      <c r="A96" s="29" t="n">
        <v>46112</v>
      </c>
      <c r="B96" s="30" t="str">
        <f aca="false">CHOOSE(WEEKDAY(A96),"Sun","Mon","Tue","Wed","Thu","Fri","Sat")</f>
        <v>Tue</v>
      </c>
      <c r="C96" s="30" t="str">
        <f aca="false">IF(IFERROR(INDEX(Holidays!$D$5:$D$60,MATCH(A96,Holidays!$A$5:$A$60,0)),"")="Holiday","Holiday",IF(WEEKDAY(A96)&gt;=6,"Weekend",IF(IFERROR(INDEX(Holidays!$D$5:$D$60,MATCH(A96,Holidays!$A$5:$A$60,0)),"")="Eve","Eve","Workday")))</f>
        <v>Workday</v>
      </c>
      <c r="D96" s="18" t="str">
        <f aca="false">IFERROR(INDEX(Holidays!$C$5:$C$60,MATCH(A96,Holidays!$A$5:$A$60,0)),"")</f>
        <v/>
      </c>
      <c r="E96" s="31"/>
      <c r="F96" s="32"/>
      <c r="G96" s="32"/>
      <c r="H96" s="32"/>
      <c r="I96" s="32"/>
      <c r="J96" s="31"/>
      <c r="K96" s="33" t="str">
        <f aca="false">IF(E96&lt;&gt;"",E96,IF(U96,"Present",IF(C96="Holiday","Holiday","Weekend")))</f>
        <v>Present</v>
      </c>
      <c r="L96" s="34" t="n">
        <f aca="false">IF(OR(K96="Present",K96="Manual Work",K96="Partial Vacation",K96="Partial Sick Leave"),IF(ISNUMBER(F96),F96,IF(AND(K96="Present",U96),Settings!$B$6,"")),"")</f>
        <v>0.333333333333333</v>
      </c>
      <c r="M96" s="34" t="n">
        <f aca="false">IF(OR(K96="Present",K96="Manual Work",K96="Partial Vacation",K96="Partial Sick Leave"),IF(ISNUMBER(G96),G96,IF(AND(K96="Present",U96),V96,"")),"")</f>
        <v>0.6875</v>
      </c>
      <c r="N96" s="14" t="n">
        <f aca="false">IF(AND(ISNUMBER(L96),ISNUMBER(M96)),MAX(0,(M96-L96)*24),0)</f>
        <v>8.5</v>
      </c>
      <c r="O96" s="14" t="n">
        <f aca="false">IF(NOT(U96),0,IF(K96="Vacation",IF(C96="Eve",Settings!$B$9*Settings!$B$11,W96),IF(K96="Partial Vacation",IF(AND(ISNUMBER(H96),ISNUMBER(I96)),MAX(0,(I96-H96)*24),0),0)))</f>
        <v>0</v>
      </c>
      <c r="P96" s="14" t="n">
        <f aca="false">IF(NOT(U96),0,IF(K96="Sick Leave",W96,IF(K96="Partial Sick Leave",IF(AND(ISNUMBER(H96),ISNUMBER(I96)),MAX(0,(I96-H96)*24),0),0)))</f>
        <v>0</v>
      </c>
      <c r="Q96" s="14" t="n">
        <f aca="false">IF(NOT(U96),0,IF(K96="Vacation",IF(C96="Eve",Settings!$B$11,1),IF(K96="Partial Vacation",O96/Settings!$B$9,0)))</f>
        <v>0</v>
      </c>
      <c r="R96" s="14" t="n">
        <f aca="false">IF(NOT(U96),0,IF(K96="Sick Leave",1,IF(K96="Partial Sick Leave",P96/Settings!$B$9,0)))</f>
        <v>0</v>
      </c>
      <c r="S96" s="35" t="str">
        <f aca="false">IF(AND(OR(E96="Vacation",E96="Sick Leave",E96="Partial Vacation",E96="Partial Sick Leave"),NOT(U96)),"Leave not allowed on this day",IF(AND(E96="Manual Work",OR(NOT(ISNUMBER(F96)),NOT(ISNUMBER(G96)))),"Enter start and end",IF(AND(OR(E96="Partial Vacation",E96="Partial Sick Leave"),OR(NOT(ISNUMBER(H96)),NOT(ISNUMBER(I96)))),"Enter leave from and to",IF(AND(ISNUMBER(F96),ISNUMBER(G96),G96&lt;=F96),"End is before start",IF(AND(ISNUMBER(H96),ISNUMBER(I96),I96&lt;=H96),"Leave end is before start",IF(AND(ISNUMBER(F96),ISNUMBER(G96),ISNUMBER(H96),ISNUMBER(I96),F96&lt;I96,H96&lt;G96),"Work and leave hours overlap",IF(AND(E96&lt;&gt;"",WEEKDAY(A96)=7),"Saturday - administrator only","")))))))</f>
        <v/>
      </c>
      <c r="T96" s="36" t="n">
        <f aca="false">MONTH(A96)</f>
        <v>3</v>
      </c>
      <c r="U96" s="37" t="b">
        <f aca="false">OR(C96="Workday",C96="Eve")</f>
        <v>1</v>
      </c>
      <c r="V96" s="34" t="n">
        <f aca="false">IF(C96="Eve",Settings!$B$8,Settings!$B$7)</f>
        <v>0.6875</v>
      </c>
      <c r="W96" s="14" t="n">
        <f aca="false">IF(U96,(V96-Settings!$B$6)*24,0)</f>
        <v>8.5</v>
      </c>
    </row>
    <row r="97" customFormat="false" ht="15" hidden="false" customHeight="false" outlineLevel="0" collapsed="false">
      <c r="A97" s="29" t="n">
        <v>46113</v>
      </c>
      <c r="B97" s="30" t="str">
        <f aca="false">CHOOSE(WEEKDAY(A97),"Sun","Mon","Tue","Wed","Thu","Fri","Sat")</f>
        <v>Wed</v>
      </c>
      <c r="C97" s="30" t="str">
        <f aca="false">IF(IFERROR(INDEX(Holidays!$D$5:$D$60,MATCH(A97,Holidays!$A$5:$A$60,0)),"")="Holiday","Holiday",IF(WEEKDAY(A97)&gt;=6,"Weekend",IF(IFERROR(INDEX(Holidays!$D$5:$D$60,MATCH(A97,Holidays!$A$5:$A$60,0)),"")="Eve","Eve","Workday")))</f>
        <v>Eve</v>
      </c>
      <c r="D97" s="18" t="str">
        <f aca="false">IFERROR(INDEX(Holidays!$C$5:$C$60,MATCH(A97,Holidays!$A$5:$A$60,0)),"")</f>
        <v>Erev Pesach</v>
      </c>
      <c r="E97" s="31"/>
      <c r="F97" s="32"/>
      <c r="G97" s="32"/>
      <c r="H97" s="32"/>
      <c r="I97" s="32"/>
      <c r="J97" s="31"/>
      <c r="K97" s="33" t="str">
        <f aca="false">IF(E97&lt;&gt;"",E97,IF(U97,"Present",IF(C97="Holiday","Holiday","Weekend")))</f>
        <v>Present</v>
      </c>
      <c r="L97" s="34" t="n">
        <f aca="false">IF(OR(K97="Present",K97="Manual Work",K97="Partial Vacation",K97="Partial Sick Leave"),IF(ISNUMBER(F97),F97,IF(AND(K97="Present",U97),Settings!$B$6,"")),"")</f>
        <v>0.333333333333333</v>
      </c>
      <c r="M97" s="34" t="n">
        <f aca="false">IF(OR(K97="Present",K97="Manual Work",K97="Partial Vacation",K97="Partial Sick Leave"),IF(ISNUMBER(G97),G97,IF(AND(K97="Present",U97),V97,"")),"")</f>
        <v>0.583333333333333</v>
      </c>
      <c r="N97" s="14" t="n">
        <f aca="false">IF(AND(ISNUMBER(L97),ISNUMBER(M97)),MAX(0,(M97-L97)*24),0)</f>
        <v>6</v>
      </c>
      <c r="O97" s="14" t="n">
        <f aca="false">IF(NOT(U97),0,IF(K97="Vacation",IF(C97="Eve",Settings!$B$9*Settings!$B$11,W97),IF(K97="Partial Vacation",IF(AND(ISNUMBER(H97),ISNUMBER(I97)),MAX(0,(I97-H97)*24),0),0)))</f>
        <v>0</v>
      </c>
      <c r="P97" s="14" t="n">
        <f aca="false">IF(NOT(U97),0,IF(K97="Sick Leave",W97,IF(K97="Partial Sick Leave",IF(AND(ISNUMBER(H97),ISNUMBER(I97)),MAX(0,(I97-H97)*24),0),0)))</f>
        <v>0</v>
      </c>
      <c r="Q97" s="14" t="n">
        <f aca="false">IF(NOT(U97),0,IF(K97="Vacation",IF(C97="Eve",Settings!$B$11,1),IF(K97="Partial Vacation",O97/Settings!$B$9,0)))</f>
        <v>0</v>
      </c>
      <c r="R97" s="14" t="n">
        <f aca="false">IF(NOT(U97),0,IF(K97="Sick Leave",1,IF(K97="Partial Sick Leave",P97/Settings!$B$9,0)))</f>
        <v>0</v>
      </c>
      <c r="S97" s="35" t="str">
        <f aca="false">IF(AND(OR(E97="Vacation",E97="Sick Leave",E97="Partial Vacation",E97="Partial Sick Leave"),NOT(U97)),"Leave not allowed on this day",IF(AND(E97="Manual Work",OR(NOT(ISNUMBER(F97)),NOT(ISNUMBER(G97)))),"Enter start and end",IF(AND(OR(E97="Partial Vacation",E97="Partial Sick Leave"),OR(NOT(ISNUMBER(H97)),NOT(ISNUMBER(I97)))),"Enter leave from and to",IF(AND(ISNUMBER(F97),ISNUMBER(G97),G97&lt;=F97),"End is before start",IF(AND(ISNUMBER(H97),ISNUMBER(I97),I97&lt;=H97),"Leave end is before start",IF(AND(ISNUMBER(F97),ISNUMBER(G97),ISNUMBER(H97),ISNUMBER(I97),F97&lt;I97,H97&lt;G97),"Work and leave hours overlap",IF(AND(E97&lt;&gt;"",WEEKDAY(A97)=7),"Saturday - administrator only","")))))))</f>
        <v/>
      </c>
      <c r="T97" s="36" t="n">
        <f aca="false">MONTH(A97)</f>
        <v>4</v>
      </c>
      <c r="U97" s="37" t="b">
        <f aca="false">OR(C97="Workday",C97="Eve")</f>
        <v>1</v>
      </c>
      <c r="V97" s="34" t="n">
        <f aca="false">IF(C97="Eve",Settings!$B$8,Settings!$B$7)</f>
        <v>0.583333333333333</v>
      </c>
      <c r="W97" s="14" t="n">
        <f aca="false">IF(U97,(V97-Settings!$B$6)*24,0)</f>
        <v>6</v>
      </c>
    </row>
    <row r="98" customFormat="false" ht="15" hidden="false" customHeight="false" outlineLevel="0" collapsed="false">
      <c r="A98" s="29" t="n">
        <v>46114</v>
      </c>
      <c r="B98" s="30" t="str">
        <f aca="false">CHOOSE(WEEKDAY(A98),"Sun","Mon","Tue","Wed","Thu","Fri","Sat")</f>
        <v>Thu</v>
      </c>
      <c r="C98" s="30" t="str">
        <f aca="false">IF(IFERROR(INDEX(Holidays!$D$5:$D$60,MATCH(A98,Holidays!$A$5:$A$60,0)),"")="Holiday","Holiday",IF(WEEKDAY(A98)&gt;=6,"Weekend",IF(IFERROR(INDEX(Holidays!$D$5:$D$60,MATCH(A98,Holidays!$A$5:$A$60,0)),"")="Eve","Eve","Workday")))</f>
        <v>Holiday</v>
      </c>
      <c r="D98" s="18" t="str">
        <f aca="false">IFERROR(INDEX(Holidays!$C$5:$C$60,MATCH(A98,Holidays!$A$5:$A$60,0)),"")</f>
        <v>Pesach</v>
      </c>
      <c r="E98" s="31"/>
      <c r="F98" s="32"/>
      <c r="G98" s="32"/>
      <c r="H98" s="32"/>
      <c r="I98" s="32"/>
      <c r="J98" s="31"/>
      <c r="K98" s="33" t="str">
        <f aca="false">IF(E98&lt;&gt;"",E98,IF(U98,"Present",IF(C98="Holiday","Holiday","Weekend")))</f>
        <v>Holiday</v>
      </c>
      <c r="L98" s="34" t="str">
        <f aca="false">IF(OR(K98="Present",K98="Manual Work",K98="Partial Vacation",K98="Partial Sick Leave"),IF(ISNUMBER(F98),F98,IF(AND(K98="Present",U98),Settings!$B$6,"")),"")</f>
        <v/>
      </c>
      <c r="M98" s="34" t="str">
        <f aca="false">IF(OR(K98="Present",K98="Manual Work",K98="Partial Vacation",K98="Partial Sick Leave"),IF(ISNUMBER(G98),G98,IF(AND(K98="Present",U98),V98,"")),"")</f>
        <v/>
      </c>
      <c r="N98" s="14" t="n">
        <f aca="false">IF(AND(ISNUMBER(L98),ISNUMBER(M98)),MAX(0,(M98-L98)*24),0)</f>
        <v>0</v>
      </c>
      <c r="O98" s="14" t="n">
        <f aca="false">IF(NOT(U98),0,IF(K98="Vacation",IF(C98="Eve",Settings!$B$9*Settings!$B$11,W98),IF(K98="Partial Vacation",IF(AND(ISNUMBER(H98),ISNUMBER(I98)),MAX(0,(I98-H98)*24),0),0)))</f>
        <v>0</v>
      </c>
      <c r="P98" s="14" t="n">
        <f aca="false">IF(NOT(U98),0,IF(K98="Sick Leave",W98,IF(K98="Partial Sick Leave",IF(AND(ISNUMBER(H98),ISNUMBER(I98)),MAX(0,(I98-H98)*24),0),0)))</f>
        <v>0</v>
      </c>
      <c r="Q98" s="14" t="n">
        <f aca="false">IF(NOT(U98),0,IF(K98="Vacation",IF(C98="Eve",Settings!$B$11,1),IF(K98="Partial Vacation",O98/Settings!$B$9,0)))</f>
        <v>0</v>
      </c>
      <c r="R98" s="14" t="n">
        <f aca="false">IF(NOT(U98),0,IF(K98="Sick Leave",1,IF(K98="Partial Sick Leave",P98/Settings!$B$9,0)))</f>
        <v>0</v>
      </c>
      <c r="S98" s="35" t="str">
        <f aca="false">IF(AND(OR(E98="Vacation",E98="Sick Leave",E98="Partial Vacation",E98="Partial Sick Leave"),NOT(U98)),"Leave not allowed on this day",IF(AND(E98="Manual Work",OR(NOT(ISNUMBER(F98)),NOT(ISNUMBER(G98)))),"Enter start and end",IF(AND(OR(E98="Partial Vacation",E98="Partial Sick Leave"),OR(NOT(ISNUMBER(H98)),NOT(ISNUMBER(I98)))),"Enter leave from and to",IF(AND(ISNUMBER(F98),ISNUMBER(G98),G98&lt;=F98),"End is before start",IF(AND(ISNUMBER(H98),ISNUMBER(I98),I98&lt;=H98),"Leave end is before start",IF(AND(ISNUMBER(F98),ISNUMBER(G98),ISNUMBER(H98),ISNUMBER(I98),F98&lt;I98,H98&lt;G98),"Work and leave hours overlap",IF(AND(E98&lt;&gt;"",WEEKDAY(A98)=7),"Saturday - administrator only","")))))))</f>
        <v/>
      </c>
      <c r="T98" s="36" t="n">
        <f aca="false">MONTH(A98)</f>
        <v>4</v>
      </c>
      <c r="U98" s="37" t="b">
        <f aca="false">OR(C98="Workday",C98="Eve")</f>
        <v>0</v>
      </c>
      <c r="V98" s="34" t="n">
        <f aca="false">IF(C98="Eve",Settings!$B$8,Settings!$B$7)</f>
        <v>0.6875</v>
      </c>
      <c r="W98" s="14" t="n">
        <f aca="false">IF(U98,(V98-Settings!$B$6)*24,0)</f>
        <v>0</v>
      </c>
    </row>
    <row r="99" customFormat="false" ht="15" hidden="false" customHeight="false" outlineLevel="0" collapsed="false">
      <c r="A99" s="29" t="n">
        <v>46115</v>
      </c>
      <c r="B99" s="30" t="str">
        <f aca="false">CHOOSE(WEEKDAY(A99),"Sun","Mon","Tue","Wed","Thu","Fri","Sat")</f>
        <v>Fri</v>
      </c>
      <c r="C99" s="30" t="str">
        <f aca="false">IF(IFERROR(INDEX(Holidays!$D$5:$D$60,MATCH(A99,Holidays!$A$5:$A$60,0)),"")="Holiday","Holiday",IF(WEEKDAY(A99)&gt;=6,"Weekend",IF(IFERROR(INDEX(Holidays!$D$5:$D$60,MATCH(A99,Holidays!$A$5:$A$60,0)),"")="Eve","Eve","Workday")))</f>
        <v>Weekend</v>
      </c>
      <c r="D99" s="18" t="str">
        <f aca="false">IFERROR(INDEX(Holidays!$C$5:$C$60,MATCH(A99,Holidays!$A$5:$A$60,0)),"")</f>
        <v/>
      </c>
      <c r="E99" s="31"/>
      <c r="F99" s="32"/>
      <c r="G99" s="32"/>
      <c r="H99" s="32"/>
      <c r="I99" s="32"/>
      <c r="J99" s="31"/>
      <c r="K99" s="33" t="str">
        <f aca="false">IF(E99&lt;&gt;"",E99,IF(U99,"Present",IF(C99="Holiday","Holiday","Weekend")))</f>
        <v>Weekend</v>
      </c>
      <c r="L99" s="34" t="str">
        <f aca="false">IF(OR(K99="Present",K99="Manual Work",K99="Partial Vacation",K99="Partial Sick Leave"),IF(ISNUMBER(F99),F99,IF(AND(K99="Present",U99),Settings!$B$6,"")),"")</f>
        <v/>
      </c>
      <c r="M99" s="34" t="str">
        <f aca="false">IF(OR(K99="Present",K99="Manual Work",K99="Partial Vacation",K99="Partial Sick Leave"),IF(ISNUMBER(G99),G99,IF(AND(K99="Present",U99),V99,"")),"")</f>
        <v/>
      </c>
      <c r="N99" s="14" t="n">
        <f aca="false">IF(AND(ISNUMBER(L99),ISNUMBER(M99)),MAX(0,(M99-L99)*24),0)</f>
        <v>0</v>
      </c>
      <c r="O99" s="14" t="n">
        <f aca="false">IF(NOT(U99),0,IF(K99="Vacation",IF(C99="Eve",Settings!$B$9*Settings!$B$11,W99),IF(K99="Partial Vacation",IF(AND(ISNUMBER(H99),ISNUMBER(I99)),MAX(0,(I99-H99)*24),0),0)))</f>
        <v>0</v>
      </c>
      <c r="P99" s="14" t="n">
        <f aca="false">IF(NOT(U99),0,IF(K99="Sick Leave",W99,IF(K99="Partial Sick Leave",IF(AND(ISNUMBER(H99),ISNUMBER(I99)),MAX(0,(I99-H99)*24),0),0)))</f>
        <v>0</v>
      </c>
      <c r="Q99" s="14" t="n">
        <f aca="false">IF(NOT(U99),0,IF(K99="Vacation",IF(C99="Eve",Settings!$B$11,1),IF(K99="Partial Vacation",O99/Settings!$B$9,0)))</f>
        <v>0</v>
      </c>
      <c r="R99" s="14" t="n">
        <f aca="false">IF(NOT(U99),0,IF(K99="Sick Leave",1,IF(K99="Partial Sick Leave",P99/Settings!$B$9,0)))</f>
        <v>0</v>
      </c>
      <c r="S99" s="35" t="str">
        <f aca="false">IF(AND(OR(E99="Vacation",E99="Sick Leave",E99="Partial Vacation",E99="Partial Sick Leave"),NOT(U99)),"Leave not allowed on this day",IF(AND(E99="Manual Work",OR(NOT(ISNUMBER(F99)),NOT(ISNUMBER(G99)))),"Enter start and end",IF(AND(OR(E99="Partial Vacation",E99="Partial Sick Leave"),OR(NOT(ISNUMBER(H99)),NOT(ISNUMBER(I99)))),"Enter leave from and to",IF(AND(ISNUMBER(F99),ISNUMBER(G99),G99&lt;=F99),"End is before start",IF(AND(ISNUMBER(H99),ISNUMBER(I99),I99&lt;=H99),"Leave end is before start",IF(AND(ISNUMBER(F99),ISNUMBER(G99),ISNUMBER(H99),ISNUMBER(I99),F99&lt;I99,H99&lt;G99),"Work and leave hours overlap",IF(AND(E99&lt;&gt;"",WEEKDAY(A99)=7),"Saturday - administrator only","")))))))</f>
        <v/>
      </c>
      <c r="T99" s="36" t="n">
        <f aca="false">MONTH(A99)</f>
        <v>4</v>
      </c>
      <c r="U99" s="37" t="b">
        <f aca="false">OR(C99="Workday",C99="Eve")</f>
        <v>0</v>
      </c>
      <c r="V99" s="34" t="n">
        <f aca="false">IF(C99="Eve",Settings!$B$8,Settings!$B$7)</f>
        <v>0.6875</v>
      </c>
      <c r="W99" s="14" t="n">
        <f aca="false">IF(U99,(V99-Settings!$B$6)*24,0)</f>
        <v>0</v>
      </c>
    </row>
    <row r="100" customFormat="false" ht="15" hidden="false" customHeight="false" outlineLevel="0" collapsed="false">
      <c r="A100" s="29" t="n">
        <v>46116</v>
      </c>
      <c r="B100" s="30" t="str">
        <f aca="false">CHOOSE(WEEKDAY(A100),"Sun","Mon","Tue","Wed","Thu","Fri","Sat")</f>
        <v>Sat</v>
      </c>
      <c r="C100" s="30" t="str">
        <f aca="false">IF(IFERROR(INDEX(Holidays!$D$5:$D$60,MATCH(A100,Holidays!$A$5:$A$60,0)),"")="Holiday","Holiday",IF(WEEKDAY(A100)&gt;=6,"Weekend",IF(IFERROR(INDEX(Holidays!$D$5:$D$60,MATCH(A100,Holidays!$A$5:$A$60,0)),"")="Eve","Eve","Workday")))</f>
        <v>Weekend</v>
      </c>
      <c r="D100" s="18" t="str">
        <f aca="false">IFERROR(INDEX(Holidays!$C$5:$C$60,MATCH(A100,Holidays!$A$5:$A$60,0)),"")</f>
        <v/>
      </c>
      <c r="E100" s="31"/>
      <c r="F100" s="32"/>
      <c r="G100" s="32"/>
      <c r="H100" s="32"/>
      <c r="I100" s="32"/>
      <c r="J100" s="31"/>
      <c r="K100" s="33" t="str">
        <f aca="false">IF(E100&lt;&gt;"",E100,IF(U100,"Present",IF(C100="Holiday","Holiday","Weekend")))</f>
        <v>Weekend</v>
      </c>
      <c r="L100" s="34" t="str">
        <f aca="false">IF(OR(K100="Present",K100="Manual Work",K100="Partial Vacation",K100="Partial Sick Leave"),IF(ISNUMBER(F100),F100,IF(AND(K100="Present",U100),Settings!$B$6,"")),"")</f>
        <v/>
      </c>
      <c r="M100" s="34" t="str">
        <f aca="false">IF(OR(K100="Present",K100="Manual Work",K100="Partial Vacation",K100="Partial Sick Leave"),IF(ISNUMBER(G100),G100,IF(AND(K100="Present",U100),V100,"")),"")</f>
        <v/>
      </c>
      <c r="N100" s="14" t="n">
        <f aca="false">IF(AND(ISNUMBER(L100),ISNUMBER(M100)),MAX(0,(M100-L100)*24),0)</f>
        <v>0</v>
      </c>
      <c r="O100" s="14" t="n">
        <f aca="false">IF(NOT(U100),0,IF(K100="Vacation",IF(C100="Eve",Settings!$B$9*Settings!$B$11,W100),IF(K100="Partial Vacation",IF(AND(ISNUMBER(H100),ISNUMBER(I100)),MAX(0,(I100-H100)*24),0),0)))</f>
        <v>0</v>
      </c>
      <c r="P100" s="14" t="n">
        <f aca="false">IF(NOT(U100),0,IF(K100="Sick Leave",W100,IF(K100="Partial Sick Leave",IF(AND(ISNUMBER(H100),ISNUMBER(I100)),MAX(0,(I100-H100)*24),0),0)))</f>
        <v>0</v>
      </c>
      <c r="Q100" s="14" t="n">
        <f aca="false">IF(NOT(U100),0,IF(K100="Vacation",IF(C100="Eve",Settings!$B$11,1),IF(K100="Partial Vacation",O100/Settings!$B$9,0)))</f>
        <v>0</v>
      </c>
      <c r="R100" s="14" t="n">
        <f aca="false">IF(NOT(U100),0,IF(K100="Sick Leave",1,IF(K100="Partial Sick Leave",P100/Settings!$B$9,0)))</f>
        <v>0</v>
      </c>
      <c r="S100" s="35" t="str">
        <f aca="false">IF(AND(OR(E100="Vacation",E100="Sick Leave",E100="Partial Vacation",E100="Partial Sick Leave"),NOT(U100)),"Leave not allowed on this day",IF(AND(E100="Manual Work",OR(NOT(ISNUMBER(F100)),NOT(ISNUMBER(G100)))),"Enter start and end",IF(AND(OR(E100="Partial Vacation",E100="Partial Sick Leave"),OR(NOT(ISNUMBER(H100)),NOT(ISNUMBER(I100)))),"Enter leave from and to",IF(AND(ISNUMBER(F100),ISNUMBER(G100),G100&lt;=F100),"End is before start",IF(AND(ISNUMBER(H100),ISNUMBER(I100),I100&lt;=H100),"Leave end is before start",IF(AND(ISNUMBER(F100),ISNUMBER(G100),ISNUMBER(H100),ISNUMBER(I100),F100&lt;I100,H100&lt;G100),"Work and leave hours overlap",IF(AND(E100&lt;&gt;"",WEEKDAY(A100)=7),"Saturday - administrator only","")))))))</f>
        <v/>
      </c>
      <c r="T100" s="36" t="n">
        <f aca="false">MONTH(A100)</f>
        <v>4</v>
      </c>
      <c r="U100" s="37" t="b">
        <f aca="false">OR(C100="Workday",C100="Eve")</f>
        <v>0</v>
      </c>
      <c r="V100" s="34" t="n">
        <f aca="false">IF(C100="Eve",Settings!$B$8,Settings!$B$7)</f>
        <v>0.6875</v>
      </c>
      <c r="W100" s="14" t="n">
        <f aca="false">IF(U100,(V100-Settings!$B$6)*24,0)</f>
        <v>0</v>
      </c>
    </row>
    <row r="101" customFormat="false" ht="15" hidden="false" customHeight="false" outlineLevel="0" collapsed="false">
      <c r="A101" s="29" t="n">
        <v>46117</v>
      </c>
      <c r="B101" s="30" t="str">
        <f aca="false">CHOOSE(WEEKDAY(A101),"Sun","Mon","Tue","Wed","Thu","Fri","Sat")</f>
        <v>Sun</v>
      </c>
      <c r="C101" s="30" t="str">
        <f aca="false">IF(IFERROR(INDEX(Holidays!$D$5:$D$60,MATCH(A101,Holidays!$A$5:$A$60,0)),"")="Holiday","Holiday",IF(WEEKDAY(A101)&gt;=6,"Weekend",IF(IFERROR(INDEX(Holidays!$D$5:$D$60,MATCH(A101,Holidays!$A$5:$A$60,0)),"")="Eve","Eve","Workday")))</f>
        <v>Workday</v>
      </c>
      <c r="D101" s="18" t="str">
        <f aca="false">IFERROR(INDEX(Holidays!$C$5:$C$60,MATCH(A101,Holidays!$A$5:$A$60,0)),"")</f>
        <v/>
      </c>
      <c r="E101" s="31"/>
      <c r="F101" s="32"/>
      <c r="G101" s="32"/>
      <c r="H101" s="32"/>
      <c r="I101" s="32"/>
      <c r="J101" s="31"/>
      <c r="K101" s="33" t="str">
        <f aca="false">IF(E101&lt;&gt;"",E101,IF(U101,"Present",IF(C101="Holiday","Holiday","Weekend")))</f>
        <v>Present</v>
      </c>
      <c r="L101" s="34" t="n">
        <f aca="false">IF(OR(K101="Present",K101="Manual Work",K101="Partial Vacation",K101="Partial Sick Leave"),IF(ISNUMBER(F101),F101,IF(AND(K101="Present",U101),Settings!$B$6,"")),"")</f>
        <v>0.333333333333333</v>
      </c>
      <c r="M101" s="34" t="n">
        <f aca="false">IF(OR(K101="Present",K101="Manual Work",K101="Partial Vacation",K101="Partial Sick Leave"),IF(ISNUMBER(G101),G101,IF(AND(K101="Present",U101),V101,"")),"")</f>
        <v>0.6875</v>
      </c>
      <c r="N101" s="14" t="n">
        <f aca="false">IF(AND(ISNUMBER(L101),ISNUMBER(M101)),MAX(0,(M101-L101)*24),0)</f>
        <v>8.5</v>
      </c>
      <c r="O101" s="14" t="n">
        <f aca="false">IF(NOT(U101),0,IF(K101="Vacation",IF(C101="Eve",Settings!$B$9*Settings!$B$11,W101),IF(K101="Partial Vacation",IF(AND(ISNUMBER(H101),ISNUMBER(I101)),MAX(0,(I101-H101)*24),0),0)))</f>
        <v>0</v>
      </c>
      <c r="P101" s="14" t="n">
        <f aca="false">IF(NOT(U101),0,IF(K101="Sick Leave",W101,IF(K101="Partial Sick Leave",IF(AND(ISNUMBER(H101),ISNUMBER(I101)),MAX(0,(I101-H101)*24),0),0)))</f>
        <v>0</v>
      </c>
      <c r="Q101" s="14" t="n">
        <f aca="false">IF(NOT(U101),0,IF(K101="Vacation",IF(C101="Eve",Settings!$B$11,1),IF(K101="Partial Vacation",O101/Settings!$B$9,0)))</f>
        <v>0</v>
      </c>
      <c r="R101" s="14" t="n">
        <f aca="false">IF(NOT(U101),0,IF(K101="Sick Leave",1,IF(K101="Partial Sick Leave",P101/Settings!$B$9,0)))</f>
        <v>0</v>
      </c>
      <c r="S101" s="35" t="str">
        <f aca="false">IF(AND(OR(E101="Vacation",E101="Sick Leave",E101="Partial Vacation",E101="Partial Sick Leave"),NOT(U101)),"Leave not allowed on this day",IF(AND(E101="Manual Work",OR(NOT(ISNUMBER(F101)),NOT(ISNUMBER(G101)))),"Enter start and end",IF(AND(OR(E101="Partial Vacation",E101="Partial Sick Leave"),OR(NOT(ISNUMBER(H101)),NOT(ISNUMBER(I101)))),"Enter leave from and to",IF(AND(ISNUMBER(F101),ISNUMBER(G101),G101&lt;=F101),"End is before start",IF(AND(ISNUMBER(H101),ISNUMBER(I101),I101&lt;=H101),"Leave end is before start",IF(AND(ISNUMBER(F101),ISNUMBER(G101),ISNUMBER(H101),ISNUMBER(I101),F101&lt;I101,H101&lt;G101),"Work and leave hours overlap",IF(AND(E101&lt;&gt;"",WEEKDAY(A101)=7),"Saturday - administrator only","")))))))</f>
        <v/>
      </c>
      <c r="T101" s="36" t="n">
        <f aca="false">MONTH(A101)</f>
        <v>4</v>
      </c>
      <c r="U101" s="37" t="b">
        <f aca="false">OR(C101="Workday",C101="Eve")</f>
        <v>1</v>
      </c>
      <c r="V101" s="34" t="n">
        <f aca="false">IF(C101="Eve",Settings!$B$8,Settings!$B$7)</f>
        <v>0.6875</v>
      </c>
      <c r="W101" s="14" t="n">
        <f aca="false">IF(U101,(V101-Settings!$B$6)*24,0)</f>
        <v>8.5</v>
      </c>
    </row>
    <row r="102" customFormat="false" ht="15" hidden="false" customHeight="false" outlineLevel="0" collapsed="false">
      <c r="A102" s="29" t="n">
        <v>46118</v>
      </c>
      <c r="B102" s="30" t="str">
        <f aca="false">CHOOSE(WEEKDAY(A102),"Sun","Mon","Tue","Wed","Thu","Fri","Sat")</f>
        <v>Mon</v>
      </c>
      <c r="C102" s="30" t="str">
        <f aca="false">IF(IFERROR(INDEX(Holidays!$D$5:$D$60,MATCH(A102,Holidays!$A$5:$A$60,0)),"")="Holiday","Holiday",IF(WEEKDAY(A102)&gt;=6,"Weekend",IF(IFERROR(INDEX(Holidays!$D$5:$D$60,MATCH(A102,Holidays!$A$5:$A$60,0)),"")="Eve","Eve","Workday")))</f>
        <v>Workday</v>
      </c>
      <c r="D102" s="18" t="str">
        <f aca="false">IFERROR(INDEX(Holidays!$C$5:$C$60,MATCH(A102,Holidays!$A$5:$A$60,0)),"")</f>
        <v/>
      </c>
      <c r="E102" s="31"/>
      <c r="F102" s="32"/>
      <c r="G102" s="32"/>
      <c r="H102" s="32"/>
      <c r="I102" s="32"/>
      <c r="J102" s="31"/>
      <c r="K102" s="33" t="str">
        <f aca="false">IF(E102&lt;&gt;"",E102,IF(U102,"Present",IF(C102="Holiday","Holiday","Weekend")))</f>
        <v>Present</v>
      </c>
      <c r="L102" s="34" t="n">
        <f aca="false">IF(OR(K102="Present",K102="Manual Work",K102="Partial Vacation",K102="Partial Sick Leave"),IF(ISNUMBER(F102),F102,IF(AND(K102="Present",U102),Settings!$B$6,"")),"")</f>
        <v>0.333333333333333</v>
      </c>
      <c r="M102" s="34" t="n">
        <f aca="false">IF(OR(K102="Present",K102="Manual Work",K102="Partial Vacation",K102="Partial Sick Leave"),IF(ISNUMBER(G102),G102,IF(AND(K102="Present",U102),V102,"")),"")</f>
        <v>0.6875</v>
      </c>
      <c r="N102" s="14" t="n">
        <f aca="false">IF(AND(ISNUMBER(L102),ISNUMBER(M102)),MAX(0,(M102-L102)*24),0)</f>
        <v>8.5</v>
      </c>
      <c r="O102" s="14" t="n">
        <f aca="false">IF(NOT(U102),0,IF(K102="Vacation",IF(C102="Eve",Settings!$B$9*Settings!$B$11,W102),IF(K102="Partial Vacation",IF(AND(ISNUMBER(H102),ISNUMBER(I102)),MAX(0,(I102-H102)*24),0),0)))</f>
        <v>0</v>
      </c>
      <c r="P102" s="14" t="n">
        <f aca="false">IF(NOT(U102),0,IF(K102="Sick Leave",W102,IF(K102="Partial Sick Leave",IF(AND(ISNUMBER(H102),ISNUMBER(I102)),MAX(0,(I102-H102)*24),0),0)))</f>
        <v>0</v>
      </c>
      <c r="Q102" s="14" t="n">
        <f aca="false">IF(NOT(U102),0,IF(K102="Vacation",IF(C102="Eve",Settings!$B$11,1),IF(K102="Partial Vacation",O102/Settings!$B$9,0)))</f>
        <v>0</v>
      </c>
      <c r="R102" s="14" t="n">
        <f aca="false">IF(NOT(U102),0,IF(K102="Sick Leave",1,IF(K102="Partial Sick Leave",P102/Settings!$B$9,0)))</f>
        <v>0</v>
      </c>
      <c r="S102" s="35" t="str">
        <f aca="false">IF(AND(OR(E102="Vacation",E102="Sick Leave",E102="Partial Vacation",E102="Partial Sick Leave"),NOT(U102)),"Leave not allowed on this day",IF(AND(E102="Manual Work",OR(NOT(ISNUMBER(F102)),NOT(ISNUMBER(G102)))),"Enter start and end",IF(AND(OR(E102="Partial Vacation",E102="Partial Sick Leave"),OR(NOT(ISNUMBER(H102)),NOT(ISNUMBER(I102)))),"Enter leave from and to",IF(AND(ISNUMBER(F102),ISNUMBER(G102),G102&lt;=F102),"End is before start",IF(AND(ISNUMBER(H102),ISNUMBER(I102),I102&lt;=H102),"Leave end is before start",IF(AND(ISNUMBER(F102),ISNUMBER(G102),ISNUMBER(H102),ISNUMBER(I102),F102&lt;I102,H102&lt;G102),"Work and leave hours overlap",IF(AND(E102&lt;&gt;"",WEEKDAY(A102)=7),"Saturday - administrator only","")))))))</f>
        <v/>
      </c>
      <c r="T102" s="36" t="n">
        <f aca="false">MONTH(A102)</f>
        <v>4</v>
      </c>
      <c r="U102" s="37" t="b">
        <f aca="false">OR(C102="Workday",C102="Eve")</f>
        <v>1</v>
      </c>
      <c r="V102" s="34" t="n">
        <f aca="false">IF(C102="Eve",Settings!$B$8,Settings!$B$7)</f>
        <v>0.6875</v>
      </c>
      <c r="W102" s="14" t="n">
        <f aca="false">IF(U102,(V102-Settings!$B$6)*24,0)</f>
        <v>8.5</v>
      </c>
    </row>
    <row r="103" customFormat="false" ht="15" hidden="false" customHeight="false" outlineLevel="0" collapsed="false">
      <c r="A103" s="29" t="n">
        <v>46119</v>
      </c>
      <c r="B103" s="30" t="str">
        <f aca="false">CHOOSE(WEEKDAY(A103),"Sun","Mon","Tue","Wed","Thu","Fri","Sat")</f>
        <v>Tue</v>
      </c>
      <c r="C103" s="30" t="str">
        <f aca="false">IF(IFERROR(INDEX(Holidays!$D$5:$D$60,MATCH(A103,Holidays!$A$5:$A$60,0)),"")="Holiday","Holiday",IF(WEEKDAY(A103)&gt;=6,"Weekend",IF(IFERROR(INDEX(Holidays!$D$5:$D$60,MATCH(A103,Holidays!$A$5:$A$60,0)),"")="Eve","Eve","Workday")))</f>
        <v>Eve</v>
      </c>
      <c r="D103" s="18" t="str">
        <f aca="false">IFERROR(INDEX(Holidays!$C$5:$C$60,MATCH(A103,Holidays!$A$5:$A$60,0)),"")</f>
        <v>Erev Seventh Day of Pesach</v>
      </c>
      <c r="E103" s="31"/>
      <c r="F103" s="32"/>
      <c r="G103" s="32"/>
      <c r="H103" s="32"/>
      <c r="I103" s="32"/>
      <c r="J103" s="31"/>
      <c r="K103" s="33" t="str">
        <f aca="false">IF(E103&lt;&gt;"",E103,IF(U103,"Present",IF(C103="Holiday","Holiday","Weekend")))</f>
        <v>Present</v>
      </c>
      <c r="L103" s="34" t="n">
        <f aca="false">IF(OR(K103="Present",K103="Manual Work",K103="Partial Vacation",K103="Partial Sick Leave"),IF(ISNUMBER(F103),F103,IF(AND(K103="Present",U103),Settings!$B$6,"")),"")</f>
        <v>0.333333333333333</v>
      </c>
      <c r="M103" s="34" t="n">
        <f aca="false">IF(OR(K103="Present",K103="Manual Work",K103="Partial Vacation",K103="Partial Sick Leave"),IF(ISNUMBER(G103),G103,IF(AND(K103="Present",U103),V103,"")),"")</f>
        <v>0.583333333333333</v>
      </c>
      <c r="N103" s="14" t="n">
        <f aca="false">IF(AND(ISNUMBER(L103),ISNUMBER(M103)),MAX(0,(M103-L103)*24),0)</f>
        <v>6</v>
      </c>
      <c r="O103" s="14" t="n">
        <f aca="false">IF(NOT(U103),0,IF(K103="Vacation",IF(C103="Eve",Settings!$B$9*Settings!$B$11,W103),IF(K103="Partial Vacation",IF(AND(ISNUMBER(H103),ISNUMBER(I103)),MAX(0,(I103-H103)*24),0),0)))</f>
        <v>0</v>
      </c>
      <c r="P103" s="14" t="n">
        <f aca="false">IF(NOT(U103),0,IF(K103="Sick Leave",W103,IF(K103="Partial Sick Leave",IF(AND(ISNUMBER(H103),ISNUMBER(I103)),MAX(0,(I103-H103)*24),0),0)))</f>
        <v>0</v>
      </c>
      <c r="Q103" s="14" t="n">
        <f aca="false">IF(NOT(U103),0,IF(K103="Vacation",IF(C103="Eve",Settings!$B$11,1),IF(K103="Partial Vacation",O103/Settings!$B$9,0)))</f>
        <v>0</v>
      </c>
      <c r="R103" s="14" t="n">
        <f aca="false">IF(NOT(U103),0,IF(K103="Sick Leave",1,IF(K103="Partial Sick Leave",P103/Settings!$B$9,0)))</f>
        <v>0</v>
      </c>
      <c r="S103" s="35" t="str">
        <f aca="false">IF(AND(OR(E103="Vacation",E103="Sick Leave",E103="Partial Vacation",E103="Partial Sick Leave"),NOT(U103)),"Leave not allowed on this day",IF(AND(E103="Manual Work",OR(NOT(ISNUMBER(F103)),NOT(ISNUMBER(G103)))),"Enter start and end",IF(AND(OR(E103="Partial Vacation",E103="Partial Sick Leave"),OR(NOT(ISNUMBER(H103)),NOT(ISNUMBER(I103)))),"Enter leave from and to",IF(AND(ISNUMBER(F103),ISNUMBER(G103),G103&lt;=F103),"End is before start",IF(AND(ISNUMBER(H103),ISNUMBER(I103),I103&lt;=H103),"Leave end is before start",IF(AND(ISNUMBER(F103),ISNUMBER(G103),ISNUMBER(H103),ISNUMBER(I103),F103&lt;I103,H103&lt;G103),"Work and leave hours overlap",IF(AND(E103&lt;&gt;"",WEEKDAY(A103)=7),"Saturday - administrator only","")))))))</f>
        <v/>
      </c>
      <c r="T103" s="36" t="n">
        <f aca="false">MONTH(A103)</f>
        <v>4</v>
      </c>
      <c r="U103" s="37" t="b">
        <f aca="false">OR(C103="Workday",C103="Eve")</f>
        <v>1</v>
      </c>
      <c r="V103" s="34" t="n">
        <f aca="false">IF(C103="Eve",Settings!$B$8,Settings!$B$7)</f>
        <v>0.583333333333333</v>
      </c>
      <c r="W103" s="14" t="n">
        <f aca="false">IF(U103,(V103-Settings!$B$6)*24,0)</f>
        <v>6</v>
      </c>
    </row>
    <row r="104" customFormat="false" ht="15" hidden="false" customHeight="false" outlineLevel="0" collapsed="false">
      <c r="A104" s="29" t="n">
        <v>46120</v>
      </c>
      <c r="B104" s="30" t="str">
        <f aca="false">CHOOSE(WEEKDAY(A104),"Sun","Mon","Tue","Wed","Thu","Fri","Sat")</f>
        <v>Wed</v>
      </c>
      <c r="C104" s="30" t="str">
        <f aca="false">IF(IFERROR(INDEX(Holidays!$D$5:$D$60,MATCH(A104,Holidays!$A$5:$A$60,0)),"")="Holiday","Holiday",IF(WEEKDAY(A104)&gt;=6,"Weekend",IF(IFERROR(INDEX(Holidays!$D$5:$D$60,MATCH(A104,Holidays!$A$5:$A$60,0)),"")="Eve","Eve","Workday")))</f>
        <v>Holiday</v>
      </c>
      <c r="D104" s="18" t="str">
        <f aca="false">IFERROR(INDEX(Holidays!$C$5:$C$60,MATCH(A104,Holidays!$A$5:$A$60,0)),"")</f>
        <v>Seventh Day of Pesach</v>
      </c>
      <c r="E104" s="31"/>
      <c r="F104" s="32"/>
      <c r="G104" s="32"/>
      <c r="H104" s="32"/>
      <c r="I104" s="32"/>
      <c r="J104" s="31"/>
      <c r="K104" s="33" t="str">
        <f aca="false">IF(E104&lt;&gt;"",E104,IF(U104,"Present",IF(C104="Holiday","Holiday","Weekend")))</f>
        <v>Holiday</v>
      </c>
      <c r="L104" s="34" t="str">
        <f aca="false">IF(OR(K104="Present",K104="Manual Work",K104="Partial Vacation",K104="Partial Sick Leave"),IF(ISNUMBER(F104),F104,IF(AND(K104="Present",U104),Settings!$B$6,"")),"")</f>
        <v/>
      </c>
      <c r="M104" s="34" t="str">
        <f aca="false">IF(OR(K104="Present",K104="Manual Work",K104="Partial Vacation",K104="Partial Sick Leave"),IF(ISNUMBER(G104),G104,IF(AND(K104="Present",U104),V104,"")),"")</f>
        <v/>
      </c>
      <c r="N104" s="14" t="n">
        <f aca="false">IF(AND(ISNUMBER(L104),ISNUMBER(M104)),MAX(0,(M104-L104)*24),0)</f>
        <v>0</v>
      </c>
      <c r="O104" s="14" t="n">
        <f aca="false">IF(NOT(U104),0,IF(K104="Vacation",IF(C104="Eve",Settings!$B$9*Settings!$B$11,W104),IF(K104="Partial Vacation",IF(AND(ISNUMBER(H104),ISNUMBER(I104)),MAX(0,(I104-H104)*24),0),0)))</f>
        <v>0</v>
      </c>
      <c r="P104" s="14" t="n">
        <f aca="false">IF(NOT(U104),0,IF(K104="Sick Leave",W104,IF(K104="Partial Sick Leave",IF(AND(ISNUMBER(H104),ISNUMBER(I104)),MAX(0,(I104-H104)*24),0),0)))</f>
        <v>0</v>
      </c>
      <c r="Q104" s="14" t="n">
        <f aca="false">IF(NOT(U104),0,IF(K104="Vacation",IF(C104="Eve",Settings!$B$11,1),IF(K104="Partial Vacation",O104/Settings!$B$9,0)))</f>
        <v>0</v>
      </c>
      <c r="R104" s="14" t="n">
        <f aca="false">IF(NOT(U104),0,IF(K104="Sick Leave",1,IF(K104="Partial Sick Leave",P104/Settings!$B$9,0)))</f>
        <v>0</v>
      </c>
      <c r="S104" s="35" t="str">
        <f aca="false">IF(AND(OR(E104="Vacation",E104="Sick Leave",E104="Partial Vacation",E104="Partial Sick Leave"),NOT(U104)),"Leave not allowed on this day",IF(AND(E104="Manual Work",OR(NOT(ISNUMBER(F104)),NOT(ISNUMBER(G104)))),"Enter start and end",IF(AND(OR(E104="Partial Vacation",E104="Partial Sick Leave"),OR(NOT(ISNUMBER(H104)),NOT(ISNUMBER(I104)))),"Enter leave from and to",IF(AND(ISNUMBER(F104),ISNUMBER(G104),G104&lt;=F104),"End is before start",IF(AND(ISNUMBER(H104),ISNUMBER(I104),I104&lt;=H104),"Leave end is before start",IF(AND(ISNUMBER(F104),ISNUMBER(G104),ISNUMBER(H104),ISNUMBER(I104),F104&lt;I104,H104&lt;G104),"Work and leave hours overlap",IF(AND(E104&lt;&gt;"",WEEKDAY(A104)=7),"Saturday - administrator only","")))))))</f>
        <v/>
      </c>
      <c r="T104" s="36" t="n">
        <f aca="false">MONTH(A104)</f>
        <v>4</v>
      </c>
      <c r="U104" s="37" t="b">
        <f aca="false">OR(C104="Workday",C104="Eve")</f>
        <v>0</v>
      </c>
      <c r="V104" s="34" t="n">
        <f aca="false">IF(C104="Eve",Settings!$B$8,Settings!$B$7)</f>
        <v>0.6875</v>
      </c>
      <c r="W104" s="14" t="n">
        <f aca="false">IF(U104,(V104-Settings!$B$6)*24,0)</f>
        <v>0</v>
      </c>
    </row>
    <row r="105" customFormat="false" ht="15" hidden="false" customHeight="false" outlineLevel="0" collapsed="false">
      <c r="A105" s="29" t="n">
        <v>46121</v>
      </c>
      <c r="B105" s="30" t="str">
        <f aca="false">CHOOSE(WEEKDAY(A105),"Sun","Mon","Tue","Wed","Thu","Fri","Sat")</f>
        <v>Thu</v>
      </c>
      <c r="C105" s="30" t="str">
        <f aca="false">IF(IFERROR(INDEX(Holidays!$D$5:$D$60,MATCH(A105,Holidays!$A$5:$A$60,0)),"")="Holiday","Holiday",IF(WEEKDAY(A105)&gt;=6,"Weekend",IF(IFERROR(INDEX(Holidays!$D$5:$D$60,MATCH(A105,Holidays!$A$5:$A$60,0)),"")="Eve","Eve","Workday")))</f>
        <v>Workday</v>
      </c>
      <c r="D105" s="18" t="str">
        <f aca="false">IFERROR(INDEX(Holidays!$C$5:$C$60,MATCH(A105,Holidays!$A$5:$A$60,0)),"")</f>
        <v/>
      </c>
      <c r="E105" s="31"/>
      <c r="F105" s="32"/>
      <c r="G105" s="32"/>
      <c r="H105" s="32"/>
      <c r="I105" s="32"/>
      <c r="J105" s="31"/>
      <c r="K105" s="33" t="str">
        <f aca="false">IF(E105&lt;&gt;"",E105,IF(U105,"Present",IF(C105="Holiday","Holiday","Weekend")))</f>
        <v>Present</v>
      </c>
      <c r="L105" s="34" t="n">
        <f aca="false">IF(OR(K105="Present",K105="Manual Work",K105="Partial Vacation",K105="Partial Sick Leave"),IF(ISNUMBER(F105),F105,IF(AND(K105="Present",U105),Settings!$B$6,"")),"")</f>
        <v>0.333333333333333</v>
      </c>
      <c r="M105" s="34" t="n">
        <f aca="false">IF(OR(K105="Present",K105="Manual Work",K105="Partial Vacation",K105="Partial Sick Leave"),IF(ISNUMBER(G105),G105,IF(AND(K105="Present",U105),V105,"")),"")</f>
        <v>0.6875</v>
      </c>
      <c r="N105" s="14" t="n">
        <f aca="false">IF(AND(ISNUMBER(L105),ISNUMBER(M105)),MAX(0,(M105-L105)*24),0)</f>
        <v>8.5</v>
      </c>
      <c r="O105" s="14" t="n">
        <f aca="false">IF(NOT(U105),0,IF(K105="Vacation",IF(C105="Eve",Settings!$B$9*Settings!$B$11,W105),IF(K105="Partial Vacation",IF(AND(ISNUMBER(H105),ISNUMBER(I105)),MAX(0,(I105-H105)*24),0),0)))</f>
        <v>0</v>
      </c>
      <c r="P105" s="14" t="n">
        <f aca="false">IF(NOT(U105),0,IF(K105="Sick Leave",W105,IF(K105="Partial Sick Leave",IF(AND(ISNUMBER(H105),ISNUMBER(I105)),MAX(0,(I105-H105)*24),0),0)))</f>
        <v>0</v>
      </c>
      <c r="Q105" s="14" t="n">
        <f aca="false">IF(NOT(U105),0,IF(K105="Vacation",IF(C105="Eve",Settings!$B$11,1),IF(K105="Partial Vacation",O105/Settings!$B$9,0)))</f>
        <v>0</v>
      </c>
      <c r="R105" s="14" t="n">
        <f aca="false">IF(NOT(U105),0,IF(K105="Sick Leave",1,IF(K105="Partial Sick Leave",P105/Settings!$B$9,0)))</f>
        <v>0</v>
      </c>
      <c r="S105" s="35" t="str">
        <f aca="false">IF(AND(OR(E105="Vacation",E105="Sick Leave",E105="Partial Vacation",E105="Partial Sick Leave"),NOT(U105)),"Leave not allowed on this day",IF(AND(E105="Manual Work",OR(NOT(ISNUMBER(F105)),NOT(ISNUMBER(G105)))),"Enter start and end",IF(AND(OR(E105="Partial Vacation",E105="Partial Sick Leave"),OR(NOT(ISNUMBER(H105)),NOT(ISNUMBER(I105)))),"Enter leave from and to",IF(AND(ISNUMBER(F105),ISNUMBER(G105),G105&lt;=F105),"End is before start",IF(AND(ISNUMBER(H105),ISNUMBER(I105),I105&lt;=H105),"Leave end is before start",IF(AND(ISNUMBER(F105),ISNUMBER(G105),ISNUMBER(H105),ISNUMBER(I105),F105&lt;I105,H105&lt;G105),"Work and leave hours overlap",IF(AND(E105&lt;&gt;"",WEEKDAY(A105)=7),"Saturday - administrator only","")))))))</f>
        <v/>
      </c>
      <c r="T105" s="36" t="n">
        <f aca="false">MONTH(A105)</f>
        <v>4</v>
      </c>
      <c r="U105" s="37" t="b">
        <f aca="false">OR(C105="Workday",C105="Eve")</f>
        <v>1</v>
      </c>
      <c r="V105" s="34" t="n">
        <f aca="false">IF(C105="Eve",Settings!$B$8,Settings!$B$7)</f>
        <v>0.6875</v>
      </c>
      <c r="W105" s="14" t="n">
        <f aca="false">IF(U105,(V105-Settings!$B$6)*24,0)</f>
        <v>8.5</v>
      </c>
    </row>
    <row r="106" customFormat="false" ht="15" hidden="false" customHeight="false" outlineLevel="0" collapsed="false">
      <c r="A106" s="29" t="n">
        <v>46122</v>
      </c>
      <c r="B106" s="30" t="str">
        <f aca="false">CHOOSE(WEEKDAY(A106),"Sun","Mon","Tue","Wed","Thu","Fri","Sat")</f>
        <v>Fri</v>
      </c>
      <c r="C106" s="30" t="str">
        <f aca="false">IF(IFERROR(INDEX(Holidays!$D$5:$D$60,MATCH(A106,Holidays!$A$5:$A$60,0)),"")="Holiday","Holiday",IF(WEEKDAY(A106)&gt;=6,"Weekend",IF(IFERROR(INDEX(Holidays!$D$5:$D$60,MATCH(A106,Holidays!$A$5:$A$60,0)),"")="Eve","Eve","Workday")))</f>
        <v>Weekend</v>
      </c>
      <c r="D106" s="18" t="str">
        <f aca="false">IFERROR(INDEX(Holidays!$C$5:$C$60,MATCH(A106,Holidays!$A$5:$A$60,0)),"")</f>
        <v/>
      </c>
      <c r="E106" s="31"/>
      <c r="F106" s="32"/>
      <c r="G106" s="32"/>
      <c r="H106" s="32"/>
      <c r="I106" s="32"/>
      <c r="J106" s="31"/>
      <c r="K106" s="33" t="str">
        <f aca="false">IF(E106&lt;&gt;"",E106,IF(U106,"Present",IF(C106="Holiday","Holiday","Weekend")))</f>
        <v>Weekend</v>
      </c>
      <c r="L106" s="34" t="str">
        <f aca="false">IF(OR(K106="Present",K106="Manual Work",K106="Partial Vacation",K106="Partial Sick Leave"),IF(ISNUMBER(F106),F106,IF(AND(K106="Present",U106),Settings!$B$6,"")),"")</f>
        <v/>
      </c>
      <c r="M106" s="34" t="str">
        <f aca="false">IF(OR(K106="Present",K106="Manual Work",K106="Partial Vacation",K106="Partial Sick Leave"),IF(ISNUMBER(G106),G106,IF(AND(K106="Present",U106),V106,"")),"")</f>
        <v/>
      </c>
      <c r="N106" s="14" t="n">
        <f aca="false">IF(AND(ISNUMBER(L106),ISNUMBER(M106)),MAX(0,(M106-L106)*24),0)</f>
        <v>0</v>
      </c>
      <c r="O106" s="14" t="n">
        <f aca="false">IF(NOT(U106),0,IF(K106="Vacation",IF(C106="Eve",Settings!$B$9*Settings!$B$11,W106),IF(K106="Partial Vacation",IF(AND(ISNUMBER(H106),ISNUMBER(I106)),MAX(0,(I106-H106)*24),0),0)))</f>
        <v>0</v>
      </c>
      <c r="P106" s="14" t="n">
        <f aca="false">IF(NOT(U106),0,IF(K106="Sick Leave",W106,IF(K106="Partial Sick Leave",IF(AND(ISNUMBER(H106),ISNUMBER(I106)),MAX(0,(I106-H106)*24),0),0)))</f>
        <v>0</v>
      </c>
      <c r="Q106" s="14" t="n">
        <f aca="false">IF(NOT(U106),0,IF(K106="Vacation",IF(C106="Eve",Settings!$B$11,1),IF(K106="Partial Vacation",O106/Settings!$B$9,0)))</f>
        <v>0</v>
      </c>
      <c r="R106" s="14" t="n">
        <f aca="false">IF(NOT(U106),0,IF(K106="Sick Leave",1,IF(K106="Partial Sick Leave",P106/Settings!$B$9,0)))</f>
        <v>0</v>
      </c>
      <c r="S106" s="35" t="str">
        <f aca="false">IF(AND(OR(E106="Vacation",E106="Sick Leave",E106="Partial Vacation",E106="Partial Sick Leave"),NOT(U106)),"Leave not allowed on this day",IF(AND(E106="Manual Work",OR(NOT(ISNUMBER(F106)),NOT(ISNUMBER(G106)))),"Enter start and end",IF(AND(OR(E106="Partial Vacation",E106="Partial Sick Leave"),OR(NOT(ISNUMBER(H106)),NOT(ISNUMBER(I106)))),"Enter leave from and to",IF(AND(ISNUMBER(F106),ISNUMBER(G106),G106&lt;=F106),"End is before start",IF(AND(ISNUMBER(H106),ISNUMBER(I106),I106&lt;=H106),"Leave end is before start",IF(AND(ISNUMBER(F106),ISNUMBER(G106),ISNUMBER(H106),ISNUMBER(I106),F106&lt;I106,H106&lt;G106),"Work and leave hours overlap",IF(AND(E106&lt;&gt;"",WEEKDAY(A106)=7),"Saturday - administrator only","")))))))</f>
        <v/>
      </c>
      <c r="T106" s="36" t="n">
        <f aca="false">MONTH(A106)</f>
        <v>4</v>
      </c>
      <c r="U106" s="37" t="b">
        <f aca="false">OR(C106="Workday",C106="Eve")</f>
        <v>0</v>
      </c>
      <c r="V106" s="34" t="n">
        <f aca="false">IF(C106="Eve",Settings!$B$8,Settings!$B$7)</f>
        <v>0.6875</v>
      </c>
      <c r="W106" s="14" t="n">
        <f aca="false">IF(U106,(V106-Settings!$B$6)*24,0)</f>
        <v>0</v>
      </c>
    </row>
    <row r="107" customFormat="false" ht="15" hidden="false" customHeight="false" outlineLevel="0" collapsed="false">
      <c r="A107" s="29" t="n">
        <v>46123</v>
      </c>
      <c r="B107" s="30" t="str">
        <f aca="false">CHOOSE(WEEKDAY(A107),"Sun","Mon","Tue","Wed","Thu","Fri","Sat")</f>
        <v>Sat</v>
      </c>
      <c r="C107" s="30" t="str">
        <f aca="false">IF(IFERROR(INDEX(Holidays!$D$5:$D$60,MATCH(A107,Holidays!$A$5:$A$60,0)),"")="Holiday","Holiday",IF(WEEKDAY(A107)&gt;=6,"Weekend",IF(IFERROR(INDEX(Holidays!$D$5:$D$60,MATCH(A107,Holidays!$A$5:$A$60,0)),"")="Eve","Eve","Workday")))</f>
        <v>Weekend</v>
      </c>
      <c r="D107" s="18" t="str">
        <f aca="false">IFERROR(INDEX(Holidays!$C$5:$C$60,MATCH(A107,Holidays!$A$5:$A$60,0)),"")</f>
        <v/>
      </c>
      <c r="E107" s="31"/>
      <c r="F107" s="32"/>
      <c r="G107" s="32"/>
      <c r="H107" s="32"/>
      <c r="I107" s="32"/>
      <c r="J107" s="31"/>
      <c r="K107" s="33" t="str">
        <f aca="false">IF(E107&lt;&gt;"",E107,IF(U107,"Present",IF(C107="Holiday","Holiday","Weekend")))</f>
        <v>Weekend</v>
      </c>
      <c r="L107" s="34" t="str">
        <f aca="false">IF(OR(K107="Present",K107="Manual Work",K107="Partial Vacation",K107="Partial Sick Leave"),IF(ISNUMBER(F107),F107,IF(AND(K107="Present",U107),Settings!$B$6,"")),"")</f>
        <v/>
      </c>
      <c r="M107" s="34" t="str">
        <f aca="false">IF(OR(K107="Present",K107="Manual Work",K107="Partial Vacation",K107="Partial Sick Leave"),IF(ISNUMBER(G107),G107,IF(AND(K107="Present",U107),V107,"")),"")</f>
        <v/>
      </c>
      <c r="N107" s="14" t="n">
        <f aca="false">IF(AND(ISNUMBER(L107),ISNUMBER(M107)),MAX(0,(M107-L107)*24),0)</f>
        <v>0</v>
      </c>
      <c r="O107" s="14" t="n">
        <f aca="false">IF(NOT(U107),0,IF(K107="Vacation",IF(C107="Eve",Settings!$B$9*Settings!$B$11,W107),IF(K107="Partial Vacation",IF(AND(ISNUMBER(H107),ISNUMBER(I107)),MAX(0,(I107-H107)*24),0),0)))</f>
        <v>0</v>
      </c>
      <c r="P107" s="14" t="n">
        <f aca="false">IF(NOT(U107),0,IF(K107="Sick Leave",W107,IF(K107="Partial Sick Leave",IF(AND(ISNUMBER(H107),ISNUMBER(I107)),MAX(0,(I107-H107)*24),0),0)))</f>
        <v>0</v>
      </c>
      <c r="Q107" s="14" t="n">
        <f aca="false">IF(NOT(U107),0,IF(K107="Vacation",IF(C107="Eve",Settings!$B$11,1),IF(K107="Partial Vacation",O107/Settings!$B$9,0)))</f>
        <v>0</v>
      </c>
      <c r="R107" s="14" t="n">
        <f aca="false">IF(NOT(U107),0,IF(K107="Sick Leave",1,IF(K107="Partial Sick Leave",P107/Settings!$B$9,0)))</f>
        <v>0</v>
      </c>
      <c r="S107" s="35" t="str">
        <f aca="false">IF(AND(OR(E107="Vacation",E107="Sick Leave",E107="Partial Vacation",E107="Partial Sick Leave"),NOT(U107)),"Leave not allowed on this day",IF(AND(E107="Manual Work",OR(NOT(ISNUMBER(F107)),NOT(ISNUMBER(G107)))),"Enter start and end",IF(AND(OR(E107="Partial Vacation",E107="Partial Sick Leave"),OR(NOT(ISNUMBER(H107)),NOT(ISNUMBER(I107)))),"Enter leave from and to",IF(AND(ISNUMBER(F107),ISNUMBER(G107),G107&lt;=F107),"End is before start",IF(AND(ISNUMBER(H107),ISNUMBER(I107),I107&lt;=H107),"Leave end is before start",IF(AND(ISNUMBER(F107),ISNUMBER(G107),ISNUMBER(H107),ISNUMBER(I107),F107&lt;I107,H107&lt;G107),"Work and leave hours overlap",IF(AND(E107&lt;&gt;"",WEEKDAY(A107)=7),"Saturday - administrator only","")))))))</f>
        <v/>
      </c>
      <c r="T107" s="36" t="n">
        <f aca="false">MONTH(A107)</f>
        <v>4</v>
      </c>
      <c r="U107" s="37" t="b">
        <f aca="false">OR(C107="Workday",C107="Eve")</f>
        <v>0</v>
      </c>
      <c r="V107" s="34" t="n">
        <f aca="false">IF(C107="Eve",Settings!$B$8,Settings!$B$7)</f>
        <v>0.6875</v>
      </c>
      <c r="W107" s="14" t="n">
        <f aca="false">IF(U107,(V107-Settings!$B$6)*24,0)</f>
        <v>0</v>
      </c>
    </row>
    <row r="108" customFormat="false" ht="15" hidden="false" customHeight="false" outlineLevel="0" collapsed="false">
      <c r="A108" s="29" t="n">
        <v>46124</v>
      </c>
      <c r="B108" s="30" t="str">
        <f aca="false">CHOOSE(WEEKDAY(A108),"Sun","Mon","Tue","Wed","Thu","Fri","Sat")</f>
        <v>Sun</v>
      </c>
      <c r="C108" s="30" t="str">
        <f aca="false">IF(IFERROR(INDEX(Holidays!$D$5:$D$60,MATCH(A108,Holidays!$A$5:$A$60,0)),"")="Holiday","Holiday",IF(WEEKDAY(A108)&gt;=6,"Weekend",IF(IFERROR(INDEX(Holidays!$D$5:$D$60,MATCH(A108,Holidays!$A$5:$A$60,0)),"")="Eve","Eve","Workday")))</f>
        <v>Workday</v>
      </c>
      <c r="D108" s="18" t="str">
        <f aca="false">IFERROR(INDEX(Holidays!$C$5:$C$60,MATCH(A108,Holidays!$A$5:$A$60,0)),"")</f>
        <v/>
      </c>
      <c r="E108" s="31"/>
      <c r="F108" s="32"/>
      <c r="G108" s="32"/>
      <c r="H108" s="32"/>
      <c r="I108" s="32"/>
      <c r="J108" s="31"/>
      <c r="K108" s="33" t="str">
        <f aca="false">IF(E108&lt;&gt;"",E108,IF(U108,"Present",IF(C108="Holiday","Holiday","Weekend")))</f>
        <v>Present</v>
      </c>
      <c r="L108" s="34" t="n">
        <f aca="false">IF(OR(K108="Present",K108="Manual Work",K108="Partial Vacation",K108="Partial Sick Leave"),IF(ISNUMBER(F108),F108,IF(AND(K108="Present",U108),Settings!$B$6,"")),"")</f>
        <v>0.333333333333333</v>
      </c>
      <c r="M108" s="34" t="n">
        <f aca="false">IF(OR(K108="Present",K108="Manual Work",K108="Partial Vacation",K108="Partial Sick Leave"),IF(ISNUMBER(G108),G108,IF(AND(K108="Present",U108),V108,"")),"")</f>
        <v>0.6875</v>
      </c>
      <c r="N108" s="14" t="n">
        <f aca="false">IF(AND(ISNUMBER(L108),ISNUMBER(M108)),MAX(0,(M108-L108)*24),0)</f>
        <v>8.5</v>
      </c>
      <c r="O108" s="14" t="n">
        <f aca="false">IF(NOT(U108),0,IF(K108="Vacation",IF(C108="Eve",Settings!$B$9*Settings!$B$11,W108),IF(K108="Partial Vacation",IF(AND(ISNUMBER(H108),ISNUMBER(I108)),MAX(0,(I108-H108)*24),0),0)))</f>
        <v>0</v>
      </c>
      <c r="P108" s="14" t="n">
        <f aca="false">IF(NOT(U108),0,IF(K108="Sick Leave",W108,IF(K108="Partial Sick Leave",IF(AND(ISNUMBER(H108),ISNUMBER(I108)),MAX(0,(I108-H108)*24),0),0)))</f>
        <v>0</v>
      </c>
      <c r="Q108" s="14" t="n">
        <f aca="false">IF(NOT(U108),0,IF(K108="Vacation",IF(C108="Eve",Settings!$B$11,1),IF(K108="Partial Vacation",O108/Settings!$B$9,0)))</f>
        <v>0</v>
      </c>
      <c r="R108" s="14" t="n">
        <f aca="false">IF(NOT(U108),0,IF(K108="Sick Leave",1,IF(K108="Partial Sick Leave",P108/Settings!$B$9,0)))</f>
        <v>0</v>
      </c>
      <c r="S108" s="35" t="str">
        <f aca="false">IF(AND(OR(E108="Vacation",E108="Sick Leave",E108="Partial Vacation",E108="Partial Sick Leave"),NOT(U108)),"Leave not allowed on this day",IF(AND(E108="Manual Work",OR(NOT(ISNUMBER(F108)),NOT(ISNUMBER(G108)))),"Enter start and end",IF(AND(OR(E108="Partial Vacation",E108="Partial Sick Leave"),OR(NOT(ISNUMBER(H108)),NOT(ISNUMBER(I108)))),"Enter leave from and to",IF(AND(ISNUMBER(F108),ISNUMBER(G108),G108&lt;=F108),"End is before start",IF(AND(ISNUMBER(H108),ISNUMBER(I108),I108&lt;=H108),"Leave end is before start",IF(AND(ISNUMBER(F108),ISNUMBER(G108),ISNUMBER(H108),ISNUMBER(I108),F108&lt;I108,H108&lt;G108),"Work and leave hours overlap",IF(AND(E108&lt;&gt;"",WEEKDAY(A108)=7),"Saturday - administrator only","")))))))</f>
        <v/>
      </c>
      <c r="T108" s="36" t="n">
        <f aca="false">MONTH(A108)</f>
        <v>4</v>
      </c>
      <c r="U108" s="37" t="b">
        <f aca="false">OR(C108="Workday",C108="Eve")</f>
        <v>1</v>
      </c>
      <c r="V108" s="34" t="n">
        <f aca="false">IF(C108="Eve",Settings!$B$8,Settings!$B$7)</f>
        <v>0.6875</v>
      </c>
      <c r="W108" s="14" t="n">
        <f aca="false">IF(U108,(V108-Settings!$B$6)*24,0)</f>
        <v>8.5</v>
      </c>
    </row>
    <row r="109" customFormat="false" ht="15" hidden="false" customHeight="false" outlineLevel="0" collapsed="false">
      <c r="A109" s="29" t="n">
        <v>46125</v>
      </c>
      <c r="B109" s="30" t="str">
        <f aca="false">CHOOSE(WEEKDAY(A109),"Sun","Mon","Tue","Wed","Thu","Fri","Sat")</f>
        <v>Mon</v>
      </c>
      <c r="C109" s="30" t="str">
        <f aca="false">IF(IFERROR(INDEX(Holidays!$D$5:$D$60,MATCH(A109,Holidays!$A$5:$A$60,0)),"")="Holiday","Holiday",IF(WEEKDAY(A109)&gt;=6,"Weekend",IF(IFERROR(INDEX(Holidays!$D$5:$D$60,MATCH(A109,Holidays!$A$5:$A$60,0)),"")="Eve","Eve","Workday")))</f>
        <v>Workday</v>
      </c>
      <c r="D109" s="18" t="str">
        <f aca="false">IFERROR(INDEX(Holidays!$C$5:$C$60,MATCH(A109,Holidays!$A$5:$A$60,0)),"")</f>
        <v/>
      </c>
      <c r="E109" s="31"/>
      <c r="F109" s="32"/>
      <c r="G109" s="32"/>
      <c r="H109" s="32"/>
      <c r="I109" s="32"/>
      <c r="J109" s="31"/>
      <c r="K109" s="33" t="str">
        <f aca="false">IF(E109&lt;&gt;"",E109,IF(U109,"Present",IF(C109="Holiday","Holiday","Weekend")))</f>
        <v>Present</v>
      </c>
      <c r="L109" s="34" t="n">
        <f aca="false">IF(OR(K109="Present",K109="Manual Work",K109="Partial Vacation",K109="Partial Sick Leave"),IF(ISNUMBER(F109),F109,IF(AND(K109="Present",U109),Settings!$B$6,"")),"")</f>
        <v>0.333333333333333</v>
      </c>
      <c r="M109" s="34" t="n">
        <f aca="false">IF(OR(K109="Present",K109="Manual Work",K109="Partial Vacation",K109="Partial Sick Leave"),IF(ISNUMBER(G109),G109,IF(AND(K109="Present",U109),V109,"")),"")</f>
        <v>0.6875</v>
      </c>
      <c r="N109" s="14" t="n">
        <f aca="false">IF(AND(ISNUMBER(L109),ISNUMBER(M109)),MAX(0,(M109-L109)*24),0)</f>
        <v>8.5</v>
      </c>
      <c r="O109" s="14" t="n">
        <f aca="false">IF(NOT(U109),0,IF(K109="Vacation",IF(C109="Eve",Settings!$B$9*Settings!$B$11,W109),IF(K109="Partial Vacation",IF(AND(ISNUMBER(H109),ISNUMBER(I109)),MAX(0,(I109-H109)*24),0),0)))</f>
        <v>0</v>
      </c>
      <c r="P109" s="14" t="n">
        <f aca="false">IF(NOT(U109),0,IF(K109="Sick Leave",W109,IF(K109="Partial Sick Leave",IF(AND(ISNUMBER(H109),ISNUMBER(I109)),MAX(0,(I109-H109)*24),0),0)))</f>
        <v>0</v>
      </c>
      <c r="Q109" s="14" t="n">
        <f aca="false">IF(NOT(U109),0,IF(K109="Vacation",IF(C109="Eve",Settings!$B$11,1),IF(K109="Partial Vacation",O109/Settings!$B$9,0)))</f>
        <v>0</v>
      </c>
      <c r="R109" s="14" t="n">
        <f aca="false">IF(NOT(U109),0,IF(K109="Sick Leave",1,IF(K109="Partial Sick Leave",P109/Settings!$B$9,0)))</f>
        <v>0</v>
      </c>
      <c r="S109" s="35" t="str">
        <f aca="false">IF(AND(OR(E109="Vacation",E109="Sick Leave",E109="Partial Vacation",E109="Partial Sick Leave"),NOT(U109)),"Leave not allowed on this day",IF(AND(E109="Manual Work",OR(NOT(ISNUMBER(F109)),NOT(ISNUMBER(G109)))),"Enter start and end",IF(AND(OR(E109="Partial Vacation",E109="Partial Sick Leave"),OR(NOT(ISNUMBER(H109)),NOT(ISNUMBER(I109)))),"Enter leave from and to",IF(AND(ISNUMBER(F109),ISNUMBER(G109),G109&lt;=F109),"End is before start",IF(AND(ISNUMBER(H109),ISNUMBER(I109),I109&lt;=H109),"Leave end is before start",IF(AND(ISNUMBER(F109),ISNUMBER(G109),ISNUMBER(H109),ISNUMBER(I109),F109&lt;I109,H109&lt;G109),"Work and leave hours overlap",IF(AND(E109&lt;&gt;"",WEEKDAY(A109)=7),"Saturday - administrator only","")))))))</f>
        <v/>
      </c>
      <c r="T109" s="36" t="n">
        <f aca="false">MONTH(A109)</f>
        <v>4</v>
      </c>
      <c r="U109" s="37" t="b">
        <f aca="false">OR(C109="Workday",C109="Eve")</f>
        <v>1</v>
      </c>
      <c r="V109" s="34" t="n">
        <f aca="false">IF(C109="Eve",Settings!$B$8,Settings!$B$7)</f>
        <v>0.6875</v>
      </c>
      <c r="W109" s="14" t="n">
        <f aca="false">IF(U109,(V109-Settings!$B$6)*24,0)</f>
        <v>8.5</v>
      </c>
    </row>
    <row r="110" customFormat="false" ht="15" hidden="false" customHeight="false" outlineLevel="0" collapsed="false">
      <c r="A110" s="29" t="n">
        <v>46126</v>
      </c>
      <c r="B110" s="30" t="str">
        <f aca="false">CHOOSE(WEEKDAY(A110),"Sun","Mon","Tue","Wed","Thu","Fri","Sat")</f>
        <v>Tue</v>
      </c>
      <c r="C110" s="30" t="str">
        <f aca="false">IF(IFERROR(INDEX(Holidays!$D$5:$D$60,MATCH(A110,Holidays!$A$5:$A$60,0)),"")="Holiday","Holiday",IF(WEEKDAY(A110)&gt;=6,"Weekend",IF(IFERROR(INDEX(Holidays!$D$5:$D$60,MATCH(A110,Holidays!$A$5:$A$60,0)),"")="Eve","Eve","Workday")))</f>
        <v>Workday</v>
      </c>
      <c r="D110" s="18" t="str">
        <f aca="false">IFERROR(INDEX(Holidays!$C$5:$C$60,MATCH(A110,Holidays!$A$5:$A$60,0)),"")</f>
        <v/>
      </c>
      <c r="E110" s="31"/>
      <c r="F110" s="32"/>
      <c r="G110" s="32"/>
      <c r="H110" s="32"/>
      <c r="I110" s="32"/>
      <c r="J110" s="31"/>
      <c r="K110" s="33" t="str">
        <f aca="false">IF(E110&lt;&gt;"",E110,IF(U110,"Present",IF(C110="Holiday","Holiday","Weekend")))</f>
        <v>Present</v>
      </c>
      <c r="L110" s="34" t="n">
        <f aca="false">IF(OR(K110="Present",K110="Manual Work",K110="Partial Vacation",K110="Partial Sick Leave"),IF(ISNUMBER(F110),F110,IF(AND(K110="Present",U110),Settings!$B$6,"")),"")</f>
        <v>0.333333333333333</v>
      </c>
      <c r="M110" s="34" t="n">
        <f aca="false">IF(OR(K110="Present",K110="Manual Work",K110="Partial Vacation",K110="Partial Sick Leave"),IF(ISNUMBER(G110),G110,IF(AND(K110="Present",U110),V110,"")),"")</f>
        <v>0.6875</v>
      </c>
      <c r="N110" s="14" t="n">
        <f aca="false">IF(AND(ISNUMBER(L110),ISNUMBER(M110)),MAX(0,(M110-L110)*24),0)</f>
        <v>8.5</v>
      </c>
      <c r="O110" s="14" t="n">
        <f aca="false">IF(NOT(U110),0,IF(K110="Vacation",IF(C110="Eve",Settings!$B$9*Settings!$B$11,W110),IF(K110="Partial Vacation",IF(AND(ISNUMBER(H110),ISNUMBER(I110)),MAX(0,(I110-H110)*24),0),0)))</f>
        <v>0</v>
      </c>
      <c r="P110" s="14" t="n">
        <f aca="false">IF(NOT(U110),0,IF(K110="Sick Leave",W110,IF(K110="Partial Sick Leave",IF(AND(ISNUMBER(H110),ISNUMBER(I110)),MAX(0,(I110-H110)*24),0),0)))</f>
        <v>0</v>
      </c>
      <c r="Q110" s="14" t="n">
        <f aca="false">IF(NOT(U110),0,IF(K110="Vacation",IF(C110="Eve",Settings!$B$11,1),IF(K110="Partial Vacation",O110/Settings!$B$9,0)))</f>
        <v>0</v>
      </c>
      <c r="R110" s="14" t="n">
        <f aca="false">IF(NOT(U110),0,IF(K110="Sick Leave",1,IF(K110="Partial Sick Leave",P110/Settings!$B$9,0)))</f>
        <v>0</v>
      </c>
      <c r="S110" s="35" t="str">
        <f aca="false">IF(AND(OR(E110="Vacation",E110="Sick Leave",E110="Partial Vacation",E110="Partial Sick Leave"),NOT(U110)),"Leave not allowed on this day",IF(AND(E110="Manual Work",OR(NOT(ISNUMBER(F110)),NOT(ISNUMBER(G110)))),"Enter start and end",IF(AND(OR(E110="Partial Vacation",E110="Partial Sick Leave"),OR(NOT(ISNUMBER(H110)),NOT(ISNUMBER(I110)))),"Enter leave from and to",IF(AND(ISNUMBER(F110),ISNUMBER(G110),G110&lt;=F110),"End is before start",IF(AND(ISNUMBER(H110),ISNUMBER(I110),I110&lt;=H110),"Leave end is before start",IF(AND(ISNUMBER(F110),ISNUMBER(G110),ISNUMBER(H110),ISNUMBER(I110),F110&lt;I110,H110&lt;G110),"Work and leave hours overlap",IF(AND(E110&lt;&gt;"",WEEKDAY(A110)=7),"Saturday - administrator only","")))))))</f>
        <v/>
      </c>
      <c r="T110" s="36" t="n">
        <f aca="false">MONTH(A110)</f>
        <v>4</v>
      </c>
      <c r="U110" s="37" t="b">
        <f aca="false">OR(C110="Workday",C110="Eve")</f>
        <v>1</v>
      </c>
      <c r="V110" s="34" t="n">
        <f aca="false">IF(C110="Eve",Settings!$B$8,Settings!$B$7)</f>
        <v>0.6875</v>
      </c>
      <c r="W110" s="14" t="n">
        <f aca="false">IF(U110,(V110-Settings!$B$6)*24,0)</f>
        <v>8.5</v>
      </c>
    </row>
    <row r="111" customFormat="false" ht="15" hidden="false" customHeight="false" outlineLevel="0" collapsed="false">
      <c r="A111" s="29" t="n">
        <v>46127</v>
      </c>
      <c r="B111" s="30" t="str">
        <f aca="false">CHOOSE(WEEKDAY(A111),"Sun","Mon","Tue","Wed","Thu","Fri","Sat")</f>
        <v>Wed</v>
      </c>
      <c r="C111" s="30" t="str">
        <f aca="false">IF(IFERROR(INDEX(Holidays!$D$5:$D$60,MATCH(A111,Holidays!$A$5:$A$60,0)),"")="Holiday","Holiday",IF(WEEKDAY(A111)&gt;=6,"Weekend",IF(IFERROR(INDEX(Holidays!$D$5:$D$60,MATCH(A111,Holidays!$A$5:$A$60,0)),"")="Eve","Eve","Workday")))</f>
        <v>Workday</v>
      </c>
      <c r="D111" s="18" t="str">
        <f aca="false">IFERROR(INDEX(Holidays!$C$5:$C$60,MATCH(A111,Holidays!$A$5:$A$60,0)),"")</f>
        <v/>
      </c>
      <c r="E111" s="31"/>
      <c r="F111" s="32"/>
      <c r="G111" s="32"/>
      <c r="H111" s="32"/>
      <c r="I111" s="32"/>
      <c r="J111" s="31"/>
      <c r="K111" s="33" t="str">
        <f aca="false">IF(E111&lt;&gt;"",E111,IF(U111,"Present",IF(C111="Holiday","Holiday","Weekend")))</f>
        <v>Present</v>
      </c>
      <c r="L111" s="34" t="n">
        <f aca="false">IF(OR(K111="Present",K111="Manual Work",K111="Partial Vacation",K111="Partial Sick Leave"),IF(ISNUMBER(F111),F111,IF(AND(K111="Present",U111),Settings!$B$6,"")),"")</f>
        <v>0.333333333333333</v>
      </c>
      <c r="M111" s="34" t="n">
        <f aca="false">IF(OR(K111="Present",K111="Manual Work",K111="Partial Vacation",K111="Partial Sick Leave"),IF(ISNUMBER(G111),G111,IF(AND(K111="Present",U111),V111,"")),"")</f>
        <v>0.6875</v>
      </c>
      <c r="N111" s="14" t="n">
        <f aca="false">IF(AND(ISNUMBER(L111),ISNUMBER(M111)),MAX(0,(M111-L111)*24),0)</f>
        <v>8.5</v>
      </c>
      <c r="O111" s="14" t="n">
        <f aca="false">IF(NOT(U111),0,IF(K111="Vacation",IF(C111="Eve",Settings!$B$9*Settings!$B$11,W111),IF(K111="Partial Vacation",IF(AND(ISNUMBER(H111),ISNUMBER(I111)),MAX(0,(I111-H111)*24),0),0)))</f>
        <v>0</v>
      </c>
      <c r="P111" s="14" t="n">
        <f aca="false">IF(NOT(U111),0,IF(K111="Sick Leave",W111,IF(K111="Partial Sick Leave",IF(AND(ISNUMBER(H111),ISNUMBER(I111)),MAX(0,(I111-H111)*24),0),0)))</f>
        <v>0</v>
      </c>
      <c r="Q111" s="14" t="n">
        <f aca="false">IF(NOT(U111),0,IF(K111="Vacation",IF(C111="Eve",Settings!$B$11,1),IF(K111="Partial Vacation",O111/Settings!$B$9,0)))</f>
        <v>0</v>
      </c>
      <c r="R111" s="14" t="n">
        <f aca="false">IF(NOT(U111),0,IF(K111="Sick Leave",1,IF(K111="Partial Sick Leave",P111/Settings!$B$9,0)))</f>
        <v>0</v>
      </c>
      <c r="S111" s="35" t="str">
        <f aca="false">IF(AND(OR(E111="Vacation",E111="Sick Leave",E111="Partial Vacation",E111="Partial Sick Leave"),NOT(U111)),"Leave not allowed on this day",IF(AND(E111="Manual Work",OR(NOT(ISNUMBER(F111)),NOT(ISNUMBER(G111)))),"Enter start and end",IF(AND(OR(E111="Partial Vacation",E111="Partial Sick Leave"),OR(NOT(ISNUMBER(H111)),NOT(ISNUMBER(I111)))),"Enter leave from and to",IF(AND(ISNUMBER(F111),ISNUMBER(G111),G111&lt;=F111),"End is before start",IF(AND(ISNUMBER(H111),ISNUMBER(I111),I111&lt;=H111),"Leave end is before start",IF(AND(ISNUMBER(F111),ISNUMBER(G111),ISNUMBER(H111),ISNUMBER(I111),F111&lt;I111,H111&lt;G111),"Work and leave hours overlap",IF(AND(E111&lt;&gt;"",WEEKDAY(A111)=7),"Saturday - administrator only","")))))))</f>
        <v/>
      </c>
      <c r="T111" s="36" t="n">
        <f aca="false">MONTH(A111)</f>
        <v>4</v>
      </c>
      <c r="U111" s="37" t="b">
        <f aca="false">OR(C111="Workday",C111="Eve")</f>
        <v>1</v>
      </c>
      <c r="V111" s="34" t="n">
        <f aca="false">IF(C111="Eve",Settings!$B$8,Settings!$B$7)</f>
        <v>0.6875</v>
      </c>
      <c r="W111" s="14" t="n">
        <f aca="false">IF(U111,(V111-Settings!$B$6)*24,0)</f>
        <v>8.5</v>
      </c>
    </row>
    <row r="112" customFormat="false" ht="15" hidden="false" customHeight="false" outlineLevel="0" collapsed="false">
      <c r="A112" s="29" t="n">
        <v>46128</v>
      </c>
      <c r="B112" s="30" t="str">
        <f aca="false">CHOOSE(WEEKDAY(A112),"Sun","Mon","Tue","Wed","Thu","Fri","Sat")</f>
        <v>Thu</v>
      </c>
      <c r="C112" s="30" t="str">
        <f aca="false">IF(IFERROR(INDEX(Holidays!$D$5:$D$60,MATCH(A112,Holidays!$A$5:$A$60,0)),"")="Holiday","Holiday",IF(WEEKDAY(A112)&gt;=6,"Weekend",IF(IFERROR(INDEX(Holidays!$D$5:$D$60,MATCH(A112,Holidays!$A$5:$A$60,0)),"")="Eve","Eve","Workday")))</f>
        <v>Workday</v>
      </c>
      <c r="D112" s="18" t="str">
        <f aca="false">IFERROR(INDEX(Holidays!$C$5:$C$60,MATCH(A112,Holidays!$A$5:$A$60,0)),"")</f>
        <v/>
      </c>
      <c r="E112" s="31"/>
      <c r="F112" s="32"/>
      <c r="G112" s="32"/>
      <c r="H112" s="32"/>
      <c r="I112" s="32"/>
      <c r="J112" s="31"/>
      <c r="K112" s="33" t="str">
        <f aca="false">IF(E112&lt;&gt;"",E112,IF(U112,"Present",IF(C112="Holiday","Holiday","Weekend")))</f>
        <v>Present</v>
      </c>
      <c r="L112" s="34" t="n">
        <f aca="false">IF(OR(K112="Present",K112="Manual Work",K112="Partial Vacation",K112="Partial Sick Leave"),IF(ISNUMBER(F112),F112,IF(AND(K112="Present",U112),Settings!$B$6,"")),"")</f>
        <v>0.333333333333333</v>
      </c>
      <c r="M112" s="34" t="n">
        <f aca="false">IF(OR(K112="Present",K112="Manual Work",K112="Partial Vacation",K112="Partial Sick Leave"),IF(ISNUMBER(G112),G112,IF(AND(K112="Present",U112),V112,"")),"")</f>
        <v>0.6875</v>
      </c>
      <c r="N112" s="14" t="n">
        <f aca="false">IF(AND(ISNUMBER(L112),ISNUMBER(M112)),MAX(0,(M112-L112)*24),0)</f>
        <v>8.5</v>
      </c>
      <c r="O112" s="14" t="n">
        <f aca="false">IF(NOT(U112),0,IF(K112="Vacation",IF(C112="Eve",Settings!$B$9*Settings!$B$11,W112),IF(K112="Partial Vacation",IF(AND(ISNUMBER(H112),ISNUMBER(I112)),MAX(0,(I112-H112)*24),0),0)))</f>
        <v>0</v>
      </c>
      <c r="P112" s="14" t="n">
        <f aca="false">IF(NOT(U112),0,IF(K112="Sick Leave",W112,IF(K112="Partial Sick Leave",IF(AND(ISNUMBER(H112),ISNUMBER(I112)),MAX(0,(I112-H112)*24),0),0)))</f>
        <v>0</v>
      </c>
      <c r="Q112" s="14" t="n">
        <f aca="false">IF(NOT(U112),0,IF(K112="Vacation",IF(C112="Eve",Settings!$B$11,1),IF(K112="Partial Vacation",O112/Settings!$B$9,0)))</f>
        <v>0</v>
      </c>
      <c r="R112" s="14" t="n">
        <f aca="false">IF(NOT(U112),0,IF(K112="Sick Leave",1,IF(K112="Partial Sick Leave",P112/Settings!$B$9,0)))</f>
        <v>0</v>
      </c>
      <c r="S112" s="35" t="str">
        <f aca="false">IF(AND(OR(E112="Vacation",E112="Sick Leave",E112="Partial Vacation",E112="Partial Sick Leave"),NOT(U112)),"Leave not allowed on this day",IF(AND(E112="Manual Work",OR(NOT(ISNUMBER(F112)),NOT(ISNUMBER(G112)))),"Enter start and end",IF(AND(OR(E112="Partial Vacation",E112="Partial Sick Leave"),OR(NOT(ISNUMBER(H112)),NOT(ISNUMBER(I112)))),"Enter leave from and to",IF(AND(ISNUMBER(F112),ISNUMBER(G112),G112&lt;=F112),"End is before start",IF(AND(ISNUMBER(H112),ISNUMBER(I112),I112&lt;=H112),"Leave end is before start",IF(AND(ISNUMBER(F112),ISNUMBER(G112),ISNUMBER(H112),ISNUMBER(I112),F112&lt;I112,H112&lt;G112),"Work and leave hours overlap",IF(AND(E112&lt;&gt;"",WEEKDAY(A112)=7),"Saturday - administrator only","")))))))</f>
        <v/>
      </c>
      <c r="T112" s="36" t="n">
        <f aca="false">MONTH(A112)</f>
        <v>4</v>
      </c>
      <c r="U112" s="37" t="b">
        <f aca="false">OR(C112="Workday",C112="Eve")</f>
        <v>1</v>
      </c>
      <c r="V112" s="34" t="n">
        <f aca="false">IF(C112="Eve",Settings!$B$8,Settings!$B$7)</f>
        <v>0.6875</v>
      </c>
      <c r="W112" s="14" t="n">
        <f aca="false">IF(U112,(V112-Settings!$B$6)*24,0)</f>
        <v>8.5</v>
      </c>
    </row>
    <row r="113" customFormat="false" ht="15" hidden="false" customHeight="false" outlineLevel="0" collapsed="false">
      <c r="A113" s="29" t="n">
        <v>46129</v>
      </c>
      <c r="B113" s="30" t="str">
        <f aca="false">CHOOSE(WEEKDAY(A113),"Sun","Mon","Tue","Wed","Thu","Fri","Sat")</f>
        <v>Fri</v>
      </c>
      <c r="C113" s="30" t="str">
        <f aca="false">IF(IFERROR(INDEX(Holidays!$D$5:$D$60,MATCH(A113,Holidays!$A$5:$A$60,0)),"")="Holiday","Holiday",IF(WEEKDAY(A113)&gt;=6,"Weekend",IF(IFERROR(INDEX(Holidays!$D$5:$D$60,MATCH(A113,Holidays!$A$5:$A$60,0)),"")="Eve","Eve","Workday")))</f>
        <v>Weekend</v>
      </c>
      <c r="D113" s="18" t="str">
        <f aca="false">IFERROR(INDEX(Holidays!$C$5:$C$60,MATCH(A113,Holidays!$A$5:$A$60,0)),"")</f>
        <v/>
      </c>
      <c r="E113" s="31"/>
      <c r="F113" s="32"/>
      <c r="G113" s="32"/>
      <c r="H113" s="32"/>
      <c r="I113" s="32"/>
      <c r="J113" s="31"/>
      <c r="K113" s="33" t="str">
        <f aca="false">IF(E113&lt;&gt;"",E113,IF(U113,"Present",IF(C113="Holiday","Holiday","Weekend")))</f>
        <v>Weekend</v>
      </c>
      <c r="L113" s="34" t="str">
        <f aca="false">IF(OR(K113="Present",K113="Manual Work",K113="Partial Vacation",K113="Partial Sick Leave"),IF(ISNUMBER(F113),F113,IF(AND(K113="Present",U113),Settings!$B$6,"")),"")</f>
        <v/>
      </c>
      <c r="M113" s="34" t="str">
        <f aca="false">IF(OR(K113="Present",K113="Manual Work",K113="Partial Vacation",K113="Partial Sick Leave"),IF(ISNUMBER(G113),G113,IF(AND(K113="Present",U113),V113,"")),"")</f>
        <v/>
      </c>
      <c r="N113" s="14" t="n">
        <f aca="false">IF(AND(ISNUMBER(L113),ISNUMBER(M113)),MAX(0,(M113-L113)*24),0)</f>
        <v>0</v>
      </c>
      <c r="O113" s="14" t="n">
        <f aca="false">IF(NOT(U113),0,IF(K113="Vacation",IF(C113="Eve",Settings!$B$9*Settings!$B$11,W113),IF(K113="Partial Vacation",IF(AND(ISNUMBER(H113),ISNUMBER(I113)),MAX(0,(I113-H113)*24),0),0)))</f>
        <v>0</v>
      </c>
      <c r="P113" s="14" t="n">
        <f aca="false">IF(NOT(U113),0,IF(K113="Sick Leave",W113,IF(K113="Partial Sick Leave",IF(AND(ISNUMBER(H113),ISNUMBER(I113)),MAX(0,(I113-H113)*24),0),0)))</f>
        <v>0</v>
      </c>
      <c r="Q113" s="14" t="n">
        <f aca="false">IF(NOT(U113),0,IF(K113="Vacation",IF(C113="Eve",Settings!$B$11,1),IF(K113="Partial Vacation",O113/Settings!$B$9,0)))</f>
        <v>0</v>
      </c>
      <c r="R113" s="14" t="n">
        <f aca="false">IF(NOT(U113),0,IF(K113="Sick Leave",1,IF(K113="Partial Sick Leave",P113/Settings!$B$9,0)))</f>
        <v>0</v>
      </c>
      <c r="S113" s="35" t="str">
        <f aca="false">IF(AND(OR(E113="Vacation",E113="Sick Leave",E113="Partial Vacation",E113="Partial Sick Leave"),NOT(U113)),"Leave not allowed on this day",IF(AND(E113="Manual Work",OR(NOT(ISNUMBER(F113)),NOT(ISNUMBER(G113)))),"Enter start and end",IF(AND(OR(E113="Partial Vacation",E113="Partial Sick Leave"),OR(NOT(ISNUMBER(H113)),NOT(ISNUMBER(I113)))),"Enter leave from and to",IF(AND(ISNUMBER(F113),ISNUMBER(G113),G113&lt;=F113),"End is before start",IF(AND(ISNUMBER(H113),ISNUMBER(I113),I113&lt;=H113),"Leave end is before start",IF(AND(ISNUMBER(F113),ISNUMBER(G113),ISNUMBER(H113),ISNUMBER(I113),F113&lt;I113,H113&lt;G113),"Work and leave hours overlap",IF(AND(E113&lt;&gt;"",WEEKDAY(A113)=7),"Saturday - administrator only","")))))))</f>
        <v/>
      </c>
      <c r="T113" s="36" t="n">
        <f aca="false">MONTH(A113)</f>
        <v>4</v>
      </c>
      <c r="U113" s="37" t="b">
        <f aca="false">OR(C113="Workday",C113="Eve")</f>
        <v>0</v>
      </c>
      <c r="V113" s="34" t="n">
        <f aca="false">IF(C113="Eve",Settings!$B$8,Settings!$B$7)</f>
        <v>0.6875</v>
      </c>
      <c r="W113" s="14" t="n">
        <f aca="false">IF(U113,(V113-Settings!$B$6)*24,0)</f>
        <v>0</v>
      </c>
    </row>
    <row r="114" customFormat="false" ht="15" hidden="false" customHeight="false" outlineLevel="0" collapsed="false">
      <c r="A114" s="29" t="n">
        <v>46130</v>
      </c>
      <c r="B114" s="30" t="str">
        <f aca="false">CHOOSE(WEEKDAY(A114),"Sun","Mon","Tue","Wed","Thu","Fri","Sat")</f>
        <v>Sat</v>
      </c>
      <c r="C114" s="30" t="str">
        <f aca="false">IF(IFERROR(INDEX(Holidays!$D$5:$D$60,MATCH(A114,Holidays!$A$5:$A$60,0)),"")="Holiday","Holiday",IF(WEEKDAY(A114)&gt;=6,"Weekend",IF(IFERROR(INDEX(Holidays!$D$5:$D$60,MATCH(A114,Holidays!$A$5:$A$60,0)),"")="Eve","Eve","Workday")))</f>
        <v>Weekend</v>
      </c>
      <c r="D114" s="18" t="str">
        <f aca="false">IFERROR(INDEX(Holidays!$C$5:$C$60,MATCH(A114,Holidays!$A$5:$A$60,0)),"")</f>
        <v/>
      </c>
      <c r="E114" s="31"/>
      <c r="F114" s="32"/>
      <c r="G114" s="32"/>
      <c r="H114" s="32"/>
      <c r="I114" s="32"/>
      <c r="J114" s="31"/>
      <c r="K114" s="33" t="str">
        <f aca="false">IF(E114&lt;&gt;"",E114,IF(U114,"Present",IF(C114="Holiday","Holiday","Weekend")))</f>
        <v>Weekend</v>
      </c>
      <c r="L114" s="34" t="str">
        <f aca="false">IF(OR(K114="Present",K114="Manual Work",K114="Partial Vacation",K114="Partial Sick Leave"),IF(ISNUMBER(F114),F114,IF(AND(K114="Present",U114),Settings!$B$6,"")),"")</f>
        <v/>
      </c>
      <c r="M114" s="34" t="str">
        <f aca="false">IF(OR(K114="Present",K114="Manual Work",K114="Partial Vacation",K114="Partial Sick Leave"),IF(ISNUMBER(G114),G114,IF(AND(K114="Present",U114),V114,"")),"")</f>
        <v/>
      </c>
      <c r="N114" s="14" t="n">
        <f aca="false">IF(AND(ISNUMBER(L114),ISNUMBER(M114)),MAX(0,(M114-L114)*24),0)</f>
        <v>0</v>
      </c>
      <c r="O114" s="14" t="n">
        <f aca="false">IF(NOT(U114),0,IF(K114="Vacation",IF(C114="Eve",Settings!$B$9*Settings!$B$11,W114),IF(K114="Partial Vacation",IF(AND(ISNUMBER(H114),ISNUMBER(I114)),MAX(0,(I114-H114)*24),0),0)))</f>
        <v>0</v>
      </c>
      <c r="P114" s="14" t="n">
        <f aca="false">IF(NOT(U114),0,IF(K114="Sick Leave",W114,IF(K114="Partial Sick Leave",IF(AND(ISNUMBER(H114),ISNUMBER(I114)),MAX(0,(I114-H114)*24),0),0)))</f>
        <v>0</v>
      </c>
      <c r="Q114" s="14" t="n">
        <f aca="false">IF(NOT(U114),0,IF(K114="Vacation",IF(C114="Eve",Settings!$B$11,1),IF(K114="Partial Vacation",O114/Settings!$B$9,0)))</f>
        <v>0</v>
      </c>
      <c r="R114" s="14" t="n">
        <f aca="false">IF(NOT(U114),0,IF(K114="Sick Leave",1,IF(K114="Partial Sick Leave",P114/Settings!$B$9,0)))</f>
        <v>0</v>
      </c>
      <c r="S114" s="35" t="str">
        <f aca="false">IF(AND(OR(E114="Vacation",E114="Sick Leave",E114="Partial Vacation",E114="Partial Sick Leave"),NOT(U114)),"Leave not allowed on this day",IF(AND(E114="Manual Work",OR(NOT(ISNUMBER(F114)),NOT(ISNUMBER(G114)))),"Enter start and end",IF(AND(OR(E114="Partial Vacation",E114="Partial Sick Leave"),OR(NOT(ISNUMBER(H114)),NOT(ISNUMBER(I114)))),"Enter leave from and to",IF(AND(ISNUMBER(F114),ISNUMBER(G114),G114&lt;=F114),"End is before start",IF(AND(ISNUMBER(H114),ISNUMBER(I114),I114&lt;=H114),"Leave end is before start",IF(AND(ISNUMBER(F114),ISNUMBER(G114),ISNUMBER(H114),ISNUMBER(I114),F114&lt;I114,H114&lt;G114),"Work and leave hours overlap",IF(AND(E114&lt;&gt;"",WEEKDAY(A114)=7),"Saturday - administrator only","")))))))</f>
        <v/>
      </c>
      <c r="T114" s="36" t="n">
        <f aca="false">MONTH(A114)</f>
        <v>4</v>
      </c>
      <c r="U114" s="37" t="b">
        <f aca="false">OR(C114="Workday",C114="Eve")</f>
        <v>0</v>
      </c>
      <c r="V114" s="34" t="n">
        <f aca="false">IF(C114="Eve",Settings!$B$8,Settings!$B$7)</f>
        <v>0.6875</v>
      </c>
      <c r="W114" s="14" t="n">
        <f aca="false">IF(U114,(V114-Settings!$B$6)*24,0)</f>
        <v>0</v>
      </c>
    </row>
    <row r="115" customFormat="false" ht="15" hidden="false" customHeight="false" outlineLevel="0" collapsed="false">
      <c r="A115" s="29" t="n">
        <v>46131</v>
      </c>
      <c r="B115" s="30" t="str">
        <f aca="false">CHOOSE(WEEKDAY(A115),"Sun","Mon","Tue","Wed","Thu","Fri","Sat")</f>
        <v>Sun</v>
      </c>
      <c r="C115" s="30" t="str">
        <f aca="false">IF(IFERROR(INDEX(Holidays!$D$5:$D$60,MATCH(A115,Holidays!$A$5:$A$60,0)),"")="Holiday","Holiday",IF(WEEKDAY(A115)&gt;=6,"Weekend",IF(IFERROR(INDEX(Holidays!$D$5:$D$60,MATCH(A115,Holidays!$A$5:$A$60,0)),"")="Eve","Eve","Workday")))</f>
        <v>Workday</v>
      </c>
      <c r="D115" s="18" t="str">
        <f aca="false">IFERROR(INDEX(Holidays!$C$5:$C$60,MATCH(A115,Holidays!$A$5:$A$60,0)),"")</f>
        <v/>
      </c>
      <c r="E115" s="31"/>
      <c r="F115" s="32"/>
      <c r="G115" s="32"/>
      <c r="H115" s="32"/>
      <c r="I115" s="32"/>
      <c r="J115" s="31"/>
      <c r="K115" s="33" t="str">
        <f aca="false">IF(E115&lt;&gt;"",E115,IF(U115,"Present",IF(C115="Holiday","Holiday","Weekend")))</f>
        <v>Present</v>
      </c>
      <c r="L115" s="34" t="n">
        <f aca="false">IF(OR(K115="Present",K115="Manual Work",K115="Partial Vacation",K115="Partial Sick Leave"),IF(ISNUMBER(F115),F115,IF(AND(K115="Present",U115),Settings!$B$6,"")),"")</f>
        <v>0.333333333333333</v>
      </c>
      <c r="M115" s="34" t="n">
        <f aca="false">IF(OR(K115="Present",K115="Manual Work",K115="Partial Vacation",K115="Partial Sick Leave"),IF(ISNUMBER(G115),G115,IF(AND(K115="Present",U115),V115,"")),"")</f>
        <v>0.6875</v>
      </c>
      <c r="N115" s="14" t="n">
        <f aca="false">IF(AND(ISNUMBER(L115),ISNUMBER(M115)),MAX(0,(M115-L115)*24),0)</f>
        <v>8.5</v>
      </c>
      <c r="O115" s="14" t="n">
        <f aca="false">IF(NOT(U115),0,IF(K115="Vacation",IF(C115="Eve",Settings!$B$9*Settings!$B$11,W115),IF(K115="Partial Vacation",IF(AND(ISNUMBER(H115),ISNUMBER(I115)),MAX(0,(I115-H115)*24),0),0)))</f>
        <v>0</v>
      </c>
      <c r="P115" s="14" t="n">
        <f aca="false">IF(NOT(U115),0,IF(K115="Sick Leave",W115,IF(K115="Partial Sick Leave",IF(AND(ISNUMBER(H115),ISNUMBER(I115)),MAX(0,(I115-H115)*24),0),0)))</f>
        <v>0</v>
      </c>
      <c r="Q115" s="14" t="n">
        <f aca="false">IF(NOT(U115),0,IF(K115="Vacation",IF(C115="Eve",Settings!$B$11,1),IF(K115="Partial Vacation",O115/Settings!$B$9,0)))</f>
        <v>0</v>
      </c>
      <c r="R115" s="14" t="n">
        <f aca="false">IF(NOT(U115),0,IF(K115="Sick Leave",1,IF(K115="Partial Sick Leave",P115/Settings!$B$9,0)))</f>
        <v>0</v>
      </c>
      <c r="S115" s="35" t="str">
        <f aca="false">IF(AND(OR(E115="Vacation",E115="Sick Leave",E115="Partial Vacation",E115="Partial Sick Leave"),NOT(U115)),"Leave not allowed on this day",IF(AND(E115="Manual Work",OR(NOT(ISNUMBER(F115)),NOT(ISNUMBER(G115)))),"Enter start and end",IF(AND(OR(E115="Partial Vacation",E115="Partial Sick Leave"),OR(NOT(ISNUMBER(H115)),NOT(ISNUMBER(I115)))),"Enter leave from and to",IF(AND(ISNUMBER(F115),ISNUMBER(G115),G115&lt;=F115),"End is before start",IF(AND(ISNUMBER(H115),ISNUMBER(I115),I115&lt;=H115),"Leave end is before start",IF(AND(ISNUMBER(F115),ISNUMBER(G115),ISNUMBER(H115),ISNUMBER(I115),F115&lt;I115,H115&lt;G115),"Work and leave hours overlap",IF(AND(E115&lt;&gt;"",WEEKDAY(A115)=7),"Saturday - administrator only","")))))))</f>
        <v/>
      </c>
      <c r="T115" s="36" t="n">
        <f aca="false">MONTH(A115)</f>
        <v>4</v>
      </c>
      <c r="U115" s="37" t="b">
        <f aca="false">OR(C115="Workday",C115="Eve")</f>
        <v>1</v>
      </c>
      <c r="V115" s="34" t="n">
        <f aca="false">IF(C115="Eve",Settings!$B$8,Settings!$B$7)</f>
        <v>0.6875</v>
      </c>
      <c r="W115" s="14" t="n">
        <f aca="false">IF(U115,(V115-Settings!$B$6)*24,0)</f>
        <v>8.5</v>
      </c>
    </row>
    <row r="116" customFormat="false" ht="15" hidden="false" customHeight="false" outlineLevel="0" collapsed="false">
      <c r="A116" s="29" t="n">
        <v>46132</v>
      </c>
      <c r="B116" s="30" t="str">
        <f aca="false">CHOOSE(WEEKDAY(A116),"Sun","Mon","Tue","Wed","Thu","Fri","Sat")</f>
        <v>Mon</v>
      </c>
      <c r="C116" s="30" t="str">
        <f aca="false">IF(IFERROR(INDEX(Holidays!$D$5:$D$60,MATCH(A116,Holidays!$A$5:$A$60,0)),"")="Holiday","Holiday",IF(WEEKDAY(A116)&gt;=6,"Weekend",IF(IFERROR(INDEX(Holidays!$D$5:$D$60,MATCH(A116,Holidays!$A$5:$A$60,0)),"")="Eve","Eve","Workday")))</f>
        <v>Workday</v>
      </c>
      <c r="D116" s="18" t="str">
        <f aca="false">IFERROR(INDEX(Holidays!$C$5:$C$60,MATCH(A116,Holidays!$A$5:$A$60,0)),"")</f>
        <v/>
      </c>
      <c r="E116" s="31"/>
      <c r="F116" s="32"/>
      <c r="G116" s="32"/>
      <c r="H116" s="32"/>
      <c r="I116" s="32"/>
      <c r="J116" s="31"/>
      <c r="K116" s="33" t="str">
        <f aca="false">IF(E116&lt;&gt;"",E116,IF(U116,"Present",IF(C116="Holiday","Holiday","Weekend")))</f>
        <v>Present</v>
      </c>
      <c r="L116" s="34" t="n">
        <f aca="false">IF(OR(K116="Present",K116="Manual Work",K116="Partial Vacation",K116="Partial Sick Leave"),IF(ISNUMBER(F116),F116,IF(AND(K116="Present",U116),Settings!$B$6,"")),"")</f>
        <v>0.333333333333333</v>
      </c>
      <c r="M116" s="34" t="n">
        <f aca="false">IF(OR(K116="Present",K116="Manual Work",K116="Partial Vacation",K116="Partial Sick Leave"),IF(ISNUMBER(G116),G116,IF(AND(K116="Present",U116),V116,"")),"")</f>
        <v>0.6875</v>
      </c>
      <c r="N116" s="14" t="n">
        <f aca="false">IF(AND(ISNUMBER(L116),ISNUMBER(M116)),MAX(0,(M116-L116)*24),0)</f>
        <v>8.5</v>
      </c>
      <c r="O116" s="14" t="n">
        <f aca="false">IF(NOT(U116),0,IF(K116="Vacation",IF(C116="Eve",Settings!$B$9*Settings!$B$11,W116),IF(K116="Partial Vacation",IF(AND(ISNUMBER(H116),ISNUMBER(I116)),MAX(0,(I116-H116)*24),0),0)))</f>
        <v>0</v>
      </c>
      <c r="P116" s="14" t="n">
        <f aca="false">IF(NOT(U116),0,IF(K116="Sick Leave",W116,IF(K116="Partial Sick Leave",IF(AND(ISNUMBER(H116),ISNUMBER(I116)),MAX(0,(I116-H116)*24),0),0)))</f>
        <v>0</v>
      </c>
      <c r="Q116" s="14" t="n">
        <f aca="false">IF(NOT(U116),0,IF(K116="Vacation",IF(C116="Eve",Settings!$B$11,1),IF(K116="Partial Vacation",O116/Settings!$B$9,0)))</f>
        <v>0</v>
      </c>
      <c r="R116" s="14" t="n">
        <f aca="false">IF(NOT(U116),0,IF(K116="Sick Leave",1,IF(K116="Partial Sick Leave",P116/Settings!$B$9,0)))</f>
        <v>0</v>
      </c>
      <c r="S116" s="35" t="str">
        <f aca="false">IF(AND(OR(E116="Vacation",E116="Sick Leave",E116="Partial Vacation",E116="Partial Sick Leave"),NOT(U116)),"Leave not allowed on this day",IF(AND(E116="Manual Work",OR(NOT(ISNUMBER(F116)),NOT(ISNUMBER(G116)))),"Enter start and end",IF(AND(OR(E116="Partial Vacation",E116="Partial Sick Leave"),OR(NOT(ISNUMBER(H116)),NOT(ISNUMBER(I116)))),"Enter leave from and to",IF(AND(ISNUMBER(F116),ISNUMBER(G116),G116&lt;=F116),"End is before start",IF(AND(ISNUMBER(H116),ISNUMBER(I116),I116&lt;=H116),"Leave end is before start",IF(AND(ISNUMBER(F116),ISNUMBER(G116),ISNUMBER(H116),ISNUMBER(I116),F116&lt;I116,H116&lt;G116),"Work and leave hours overlap",IF(AND(E116&lt;&gt;"",WEEKDAY(A116)=7),"Saturday - administrator only","")))))))</f>
        <v/>
      </c>
      <c r="T116" s="36" t="n">
        <f aca="false">MONTH(A116)</f>
        <v>4</v>
      </c>
      <c r="U116" s="37" t="b">
        <f aca="false">OR(C116="Workday",C116="Eve")</f>
        <v>1</v>
      </c>
      <c r="V116" s="34" t="n">
        <f aca="false">IF(C116="Eve",Settings!$B$8,Settings!$B$7)</f>
        <v>0.6875</v>
      </c>
      <c r="W116" s="14" t="n">
        <f aca="false">IF(U116,(V116-Settings!$B$6)*24,0)</f>
        <v>8.5</v>
      </c>
    </row>
    <row r="117" customFormat="false" ht="15" hidden="false" customHeight="false" outlineLevel="0" collapsed="false">
      <c r="A117" s="29" t="n">
        <v>46133</v>
      </c>
      <c r="B117" s="30" t="str">
        <f aca="false">CHOOSE(WEEKDAY(A117),"Sun","Mon","Tue","Wed","Thu","Fri","Sat")</f>
        <v>Tue</v>
      </c>
      <c r="C117" s="30" t="str">
        <f aca="false">IF(IFERROR(INDEX(Holidays!$D$5:$D$60,MATCH(A117,Holidays!$A$5:$A$60,0)),"")="Holiday","Holiday",IF(WEEKDAY(A117)&gt;=6,"Weekend",IF(IFERROR(INDEX(Holidays!$D$5:$D$60,MATCH(A117,Holidays!$A$5:$A$60,0)),"")="Eve","Eve","Workday")))</f>
        <v>Workday</v>
      </c>
      <c r="D117" s="18" t="str">
        <f aca="false">IFERROR(INDEX(Holidays!$C$5:$C$60,MATCH(A117,Holidays!$A$5:$A$60,0)),"")</f>
        <v/>
      </c>
      <c r="E117" s="31"/>
      <c r="F117" s="32"/>
      <c r="G117" s="32"/>
      <c r="H117" s="32"/>
      <c r="I117" s="32"/>
      <c r="J117" s="31"/>
      <c r="K117" s="33" t="str">
        <f aca="false">IF(E117&lt;&gt;"",E117,IF(U117,"Present",IF(C117="Holiday","Holiday","Weekend")))</f>
        <v>Present</v>
      </c>
      <c r="L117" s="34" t="n">
        <f aca="false">IF(OR(K117="Present",K117="Manual Work",K117="Partial Vacation",K117="Partial Sick Leave"),IF(ISNUMBER(F117),F117,IF(AND(K117="Present",U117),Settings!$B$6,"")),"")</f>
        <v>0.333333333333333</v>
      </c>
      <c r="M117" s="34" t="n">
        <f aca="false">IF(OR(K117="Present",K117="Manual Work",K117="Partial Vacation",K117="Partial Sick Leave"),IF(ISNUMBER(G117),G117,IF(AND(K117="Present",U117),V117,"")),"")</f>
        <v>0.6875</v>
      </c>
      <c r="N117" s="14" t="n">
        <f aca="false">IF(AND(ISNUMBER(L117),ISNUMBER(M117)),MAX(0,(M117-L117)*24),0)</f>
        <v>8.5</v>
      </c>
      <c r="O117" s="14" t="n">
        <f aca="false">IF(NOT(U117),0,IF(K117="Vacation",IF(C117="Eve",Settings!$B$9*Settings!$B$11,W117),IF(K117="Partial Vacation",IF(AND(ISNUMBER(H117),ISNUMBER(I117)),MAX(0,(I117-H117)*24),0),0)))</f>
        <v>0</v>
      </c>
      <c r="P117" s="14" t="n">
        <f aca="false">IF(NOT(U117),0,IF(K117="Sick Leave",W117,IF(K117="Partial Sick Leave",IF(AND(ISNUMBER(H117),ISNUMBER(I117)),MAX(0,(I117-H117)*24),0),0)))</f>
        <v>0</v>
      </c>
      <c r="Q117" s="14" t="n">
        <f aca="false">IF(NOT(U117),0,IF(K117="Vacation",IF(C117="Eve",Settings!$B$11,1),IF(K117="Partial Vacation",O117/Settings!$B$9,0)))</f>
        <v>0</v>
      </c>
      <c r="R117" s="14" t="n">
        <f aca="false">IF(NOT(U117),0,IF(K117="Sick Leave",1,IF(K117="Partial Sick Leave",P117/Settings!$B$9,0)))</f>
        <v>0</v>
      </c>
      <c r="S117" s="35" t="str">
        <f aca="false">IF(AND(OR(E117="Vacation",E117="Sick Leave",E117="Partial Vacation",E117="Partial Sick Leave"),NOT(U117)),"Leave not allowed on this day",IF(AND(E117="Manual Work",OR(NOT(ISNUMBER(F117)),NOT(ISNUMBER(G117)))),"Enter start and end",IF(AND(OR(E117="Partial Vacation",E117="Partial Sick Leave"),OR(NOT(ISNUMBER(H117)),NOT(ISNUMBER(I117)))),"Enter leave from and to",IF(AND(ISNUMBER(F117),ISNUMBER(G117),G117&lt;=F117),"End is before start",IF(AND(ISNUMBER(H117),ISNUMBER(I117),I117&lt;=H117),"Leave end is before start",IF(AND(ISNUMBER(F117),ISNUMBER(G117),ISNUMBER(H117),ISNUMBER(I117),F117&lt;I117,H117&lt;G117),"Work and leave hours overlap",IF(AND(E117&lt;&gt;"",WEEKDAY(A117)=7),"Saturday - administrator only","")))))))</f>
        <v/>
      </c>
      <c r="T117" s="36" t="n">
        <f aca="false">MONTH(A117)</f>
        <v>4</v>
      </c>
      <c r="U117" s="37" t="b">
        <f aca="false">OR(C117="Workday",C117="Eve")</f>
        <v>1</v>
      </c>
      <c r="V117" s="34" t="n">
        <f aca="false">IF(C117="Eve",Settings!$B$8,Settings!$B$7)</f>
        <v>0.6875</v>
      </c>
      <c r="W117" s="14" t="n">
        <f aca="false">IF(U117,(V117-Settings!$B$6)*24,0)</f>
        <v>8.5</v>
      </c>
    </row>
    <row r="118" customFormat="false" ht="15" hidden="false" customHeight="false" outlineLevel="0" collapsed="false">
      <c r="A118" s="29" t="n">
        <v>46134</v>
      </c>
      <c r="B118" s="30" t="str">
        <f aca="false">CHOOSE(WEEKDAY(A118),"Sun","Mon","Tue","Wed","Thu","Fri","Sat")</f>
        <v>Wed</v>
      </c>
      <c r="C118" s="30" t="str">
        <f aca="false">IF(IFERROR(INDEX(Holidays!$D$5:$D$60,MATCH(A118,Holidays!$A$5:$A$60,0)),"")="Holiday","Holiday",IF(WEEKDAY(A118)&gt;=6,"Weekend",IF(IFERROR(INDEX(Holidays!$D$5:$D$60,MATCH(A118,Holidays!$A$5:$A$60,0)),"")="Eve","Eve","Workday")))</f>
        <v>Holiday</v>
      </c>
      <c r="D118" s="18" t="str">
        <f aca="false">IFERROR(INDEX(Holidays!$C$5:$C$60,MATCH(A118,Holidays!$A$5:$A$60,0)),"")</f>
        <v>Independence Day</v>
      </c>
      <c r="E118" s="31"/>
      <c r="F118" s="32"/>
      <c r="G118" s="32"/>
      <c r="H118" s="32"/>
      <c r="I118" s="32"/>
      <c r="J118" s="31"/>
      <c r="K118" s="33" t="str">
        <f aca="false">IF(E118&lt;&gt;"",E118,IF(U118,"Present",IF(C118="Holiday","Holiday","Weekend")))</f>
        <v>Holiday</v>
      </c>
      <c r="L118" s="34" t="str">
        <f aca="false">IF(OR(K118="Present",K118="Manual Work",K118="Partial Vacation",K118="Partial Sick Leave"),IF(ISNUMBER(F118),F118,IF(AND(K118="Present",U118),Settings!$B$6,"")),"")</f>
        <v/>
      </c>
      <c r="M118" s="34" t="str">
        <f aca="false">IF(OR(K118="Present",K118="Manual Work",K118="Partial Vacation",K118="Partial Sick Leave"),IF(ISNUMBER(G118),G118,IF(AND(K118="Present",U118),V118,"")),"")</f>
        <v/>
      </c>
      <c r="N118" s="14" t="n">
        <f aca="false">IF(AND(ISNUMBER(L118),ISNUMBER(M118)),MAX(0,(M118-L118)*24),0)</f>
        <v>0</v>
      </c>
      <c r="O118" s="14" t="n">
        <f aca="false">IF(NOT(U118),0,IF(K118="Vacation",IF(C118="Eve",Settings!$B$9*Settings!$B$11,W118),IF(K118="Partial Vacation",IF(AND(ISNUMBER(H118),ISNUMBER(I118)),MAX(0,(I118-H118)*24),0),0)))</f>
        <v>0</v>
      </c>
      <c r="P118" s="14" t="n">
        <f aca="false">IF(NOT(U118),0,IF(K118="Sick Leave",W118,IF(K118="Partial Sick Leave",IF(AND(ISNUMBER(H118),ISNUMBER(I118)),MAX(0,(I118-H118)*24),0),0)))</f>
        <v>0</v>
      </c>
      <c r="Q118" s="14" t="n">
        <f aca="false">IF(NOT(U118),0,IF(K118="Vacation",IF(C118="Eve",Settings!$B$11,1),IF(K118="Partial Vacation",O118/Settings!$B$9,0)))</f>
        <v>0</v>
      </c>
      <c r="R118" s="14" t="n">
        <f aca="false">IF(NOT(U118),0,IF(K118="Sick Leave",1,IF(K118="Partial Sick Leave",P118/Settings!$B$9,0)))</f>
        <v>0</v>
      </c>
      <c r="S118" s="35" t="str">
        <f aca="false">IF(AND(OR(E118="Vacation",E118="Sick Leave",E118="Partial Vacation",E118="Partial Sick Leave"),NOT(U118)),"Leave not allowed on this day",IF(AND(E118="Manual Work",OR(NOT(ISNUMBER(F118)),NOT(ISNUMBER(G118)))),"Enter start and end",IF(AND(OR(E118="Partial Vacation",E118="Partial Sick Leave"),OR(NOT(ISNUMBER(H118)),NOT(ISNUMBER(I118)))),"Enter leave from and to",IF(AND(ISNUMBER(F118),ISNUMBER(G118),G118&lt;=F118),"End is before start",IF(AND(ISNUMBER(H118),ISNUMBER(I118),I118&lt;=H118),"Leave end is before start",IF(AND(ISNUMBER(F118),ISNUMBER(G118),ISNUMBER(H118),ISNUMBER(I118),F118&lt;I118,H118&lt;G118),"Work and leave hours overlap",IF(AND(E118&lt;&gt;"",WEEKDAY(A118)=7),"Saturday - administrator only","")))))))</f>
        <v/>
      </c>
      <c r="T118" s="36" t="n">
        <f aca="false">MONTH(A118)</f>
        <v>4</v>
      </c>
      <c r="U118" s="37" t="b">
        <f aca="false">OR(C118="Workday",C118="Eve")</f>
        <v>0</v>
      </c>
      <c r="V118" s="34" t="n">
        <f aca="false">IF(C118="Eve",Settings!$B$8,Settings!$B$7)</f>
        <v>0.6875</v>
      </c>
      <c r="W118" s="14" t="n">
        <f aca="false">IF(U118,(V118-Settings!$B$6)*24,0)</f>
        <v>0</v>
      </c>
    </row>
    <row r="119" customFormat="false" ht="15" hidden="false" customHeight="false" outlineLevel="0" collapsed="false">
      <c r="A119" s="29" t="n">
        <v>46135</v>
      </c>
      <c r="B119" s="30" t="str">
        <f aca="false">CHOOSE(WEEKDAY(A119),"Sun","Mon","Tue","Wed","Thu","Fri","Sat")</f>
        <v>Thu</v>
      </c>
      <c r="C119" s="30" t="str">
        <f aca="false">IF(IFERROR(INDEX(Holidays!$D$5:$D$60,MATCH(A119,Holidays!$A$5:$A$60,0)),"")="Holiday","Holiday",IF(WEEKDAY(A119)&gt;=6,"Weekend",IF(IFERROR(INDEX(Holidays!$D$5:$D$60,MATCH(A119,Holidays!$A$5:$A$60,0)),"")="Eve","Eve","Workday")))</f>
        <v>Workday</v>
      </c>
      <c r="D119" s="18" t="str">
        <f aca="false">IFERROR(INDEX(Holidays!$C$5:$C$60,MATCH(A119,Holidays!$A$5:$A$60,0)),"")</f>
        <v/>
      </c>
      <c r="E119" s="31"/>
      <c r="F119" s="32"/>
      <c r="G119" s="32"/>
      <c r="H119" s="32"/>
      <c r="I119" s="32"/>
      <c r="J119" s="31"/>
      <c r="K119" s="33" t="str">
        <f aca="false">IF(E119&lt;&gt;"",E119,IF(U119,"Present",IF(C119="Holiday","Holiday","Weekend")))</f>
        <v>Present</v>
      </c>
      <c r="L119" s="34" t="n">
        <f aca="false">IF(OR(K119="Present",K119="Manual Work",K119="Partial Vacation",K119="Partial Sick Leave"),IF(ISNUMBER(F119),F119,IF(AND(K119="Present",U119),Settings!$B$6,"")),"")</f>
        <v>0.333333333333333</v>
      </c>
      <c r="M119" s="34" t="n">
        <f aca="false">IF(OR(K119="Present",K119="Manual Work",K119="Partial Vacation",K119="Partial Sick Leave"),IF(ISNUMBER(G119),G119,IF(AND(K119="Present",U119),V119,"")),"")</f>
        <v>0.6875</v>
      </c>
      <c r="N119" s="14" t="n">
        <f aca="false">IF(AND(ISNUMBER(L119),ISNUMBER(M119)),MAX(0,(M119-L119)*24),0)</f>
        <v>8.5</v>
      </c>
      <c r="O119" s="14" t="n">
        <f aca="false">IF(NOT(U119),0,IF(K119="Vacation",IF(C119="Eve",Settings!$B$9*Settings!$B$11,W119),IF(K119="Partial Vacation",IF(AND(ISNUMBER(H119),ISNUMBER(I119)),MAX(0,(I119-H119)*24),0),0)))</f>
        <v>0</v>
      </c>
      <c r="P119" s="14" t="n">
        <f aca="false">IF(NOT(U119),0,IF(K119="Sick Leave",W119,IF(K119="Partial Sick Leave",IF(AND(ISNUMBER(H119),ISNUMBER(I119)),MAX(0,(I119-H119)*24),0),0)))</f>
        <v>0</v>
      </c>
      <c r="Q119" s="14" t="n">
        <f aca="false">IF(NOT(U119),0,IF(K119="Vacation",IF(C119="Eve",Settings!$B$11,1),IF(K119="Partial Vacation",O119/Settings!$B$9,0)))</f>
        <v>0</v>
      </c>
      <c r="R119" s="14" t="n">
        <f aca="false">IF(NOT(U119),0,IF(K119="Sick Leave",1,IF(K119="Partial Sick Leave",P119/Settings!$B$9,0)))</f>
        <v>0</v>
      </c>
      <c r="S119" s="35" t="str">
        <f aca="false">IF(AND(OR(E119="Vacation",E119="Sick Leave",E119="Partial Vacation",E119="Partial Sick Leave"),NOT(U119)),"Leave not allowed on this day",IF(AND(E119="Manual Work",OR(NOT(ISNUMBER(F119)),NOT(ISNUMBER(G119)))),"Enter start and end",IF(AND(OR(E119="Partial Vacation",E119="Partial Sick Leave"),OR(NOT(ISNUMBER(H119)),NOT(ISNUMBER(I119)))),"Enter leave from and to",IF(AND(ISNUMBER(F119),ISNUMBER(G119),G119&lt;=F119),"End is before start",IF(AND(ISNUMBER(H119),ISNUMBER(I119),I119&lt;=H119),"Leave end is before start",IF(AND(ISNUMBER(F119),ISNUMBER(G119),ISNUMBER(H119),ISNUMBER(I119),F119&lt;I119,H119&lt;G119),"Work and leave hours overlap",IF(AND(E119&lt;&gt;"",WEEKDAY(A119)=7),"Saturday - administrator only","")))))))</f>
        <v/>
      </c>
      <c r="T119" s="36" t="n">
        <f aca="false">MONTH(A119)</f>
        <v>4</v>
      </c>
      <c r="U119" s="37" t="b">
        <f aca="false">OR(C119="Workday",C119="Eve")</f>
        <v>1</v>
      </c>
      <c r="V119" s="34" t="n">
        <f aca="false">IF(C119="Eve",Settings!$B$8,Settings!$B$7)</f>
        <v>0.6875</v>
      </c>
      <c r="W119" s="14" t="n">
        <f aca="false">IF(U119,(V119-Settings!$B$6)*24,0)</f>
        <v>8.5</v>
      </c>
    </row>
    <row r="120" customFormat="false" ht="15" hidden="false" customHeight="false" outlineLevel="0" collapsed="false">
      <c r="A120" s="29" t="n">
        <v>46136</v>
      </c>
      <c r="B120" s="30" t="str">
        <f aca="false">CHOOSE(WEEKDAY(A120),"Sun","Mon","Tue","Wed","Thu","Fri","Sat")</f>
        <v>Fri</v>
      </c>
      <c r="C120" s="30" t="str">
        <f aca="false">IF(IFERROR(INDEX(Holidays!$D$5:$D$60,MATCH(A120,Holidays!$A$5:$A$60,0)),"")="Holiday","Holiday",IF(WEEKDAY(A120)&gt;=6,"Weekend",IF(IFERROR(INDEX(Holidays!$D$5:$D$60,MATCH(A120,Holidays!$A$5:$A$60,0)),"")="Eve","Eve","Workday")))</f>
        <v>Weekend</v>
      </c>
      <c r="D120" s="18" t="str">
        <f aca="false">IFERROR(INDEX(Holidays!$C$5:$C$60,MATCH(A120,Holidays!$A$5:$A$60,0)),"")</f>
        <v/>
      </c>
      <c r="E120" s="31"/>
      <c r="F120" s="32"/>
      <c r="G120" s="32"/>
      <c r="H120" s="32"/>
      <c r="I120" s="32"/>
      <c r="J120" s="31"/>
      <c r="K120" s="33" t="str">
        <f aca="false">IF(E120&lt;&gt;"",E120,IF(U120,"Present",IF(C120="Holiday","Holiday","Weekend")))</f>
        <v>Weekend</v>
      </c>
      <c r="L120" s="34" t="str">
        <f aca="false">IF(OR(K120="Present",K120="Manual Work",K120="Partial Vacation",K120="Partial Sick Leave"),IF(ISNUMBER(F120),F120,IF(AND(K120="Present",U120),Settings!$B$6,"")),"")</f>
        <v/>
      </c>
      <c r="M120" s="34" t="str">
        <f aca="false">IF(OR(K120="Present",K120="Manual Work",K120="Partial Vacation",K120="Partial Sick Leave"),IF(ISNUMBER(G120),G120,IF(AND(K120="Present",U120),V120,"")),"")</f>
        <v/>
      </c>
      <c r="N120" s="14" t="n">
        <f aca="false">IF(AND(ISNUMBER(L120),ISNUMBER(M120)),MAX(0,(M120-L120)*24),0)</f>
        <v>0</v>
      </c>
      <c r="O120" s="14" t="n">
        <f aca="false">IF(NOT(U120),0,IF(K120="Vacation",IF(C120="Eve",Settings!$B$9*Settings!$B$11,W120),IF(K120="Partial Vacation",IF(AND(ISNUMBER(H120),ISNUMBER(I120)),MAX(0,(I120-H120)*24),0),0)))</f>
        <v>0</v>
      </c>
      <c r="P120" s="14" t="n">
        <f aca="false">IF(NOT(U120),0,IF(K120="Sick Leave",W120,IF(K120="Partial Sick Leave",IF(AND(ISNUMBER(H120),ISNUMBER(I120)),MAX(0,(I120-H120)*24),0),0)))</f>
        <v>0</v>
      </c>
      <c r="Q120" s="14" t="n">
        <f aca="false">IF(NOT(U120),0,IF(K120="Vacation",IF(C120="Eve",Settings!$B$11,1),IF(K120="Partial Vacation",O120/Settings!$B$9,0)))</f>
        <v>0</v>
      </c>
      <c r="R120" s="14" t="n">
        <f aca="false">IF(NOT(U120),0,IF(K120="Sick Leave",1,IF(K120="Partial Sick Leave",P120/Settings!$B$9,0)))</f>
        <v>0</v>
      </c>
      <c r="S120" s="35" t="str">
        <f aca="false">IF(AND(OR(E120="Vacation",E120="Sick Leave",E120="Partial Vacation",E120="Partial Sick Leave"),NOT(U120)),"Leave not allowed on this day",IF(AND(E120="Manual Work",OR(NOT(ISNUMBER(F120)),NOT(ISNUMBER(G120)))),"Enter start and end",IF(AND(OR(E120="Partial Vacation",E120="Partial Sick Leave"),OR(NOT(ISNUMBER(H120)),NOT(ISNUMBER(I120)))),"Enter leave from and to",IF(AND(ISNUMBER(F120),ISNUMBER(G120),G120&lt;=F120),"End is before start",IF(AND(ISNUMBER(H120),ISNUMBER(I120),I120&lt;=H120),"Leave end is before start",IF(AND(ISNUMBER(F120),ISNUMBER(G120),ISNUMBER(H120),ISNUMBER(I120),F120&lt;I120,H120&lt;G120),"Work and leave hours overlap",IF(AND(E120&lt;&gt;"",WEEKDAY(A120)=7),"Saturday - administrator only","")))))))</f>
        <v/>
      </c>
      <c r="T120" s="36" t="n">
        <f aca="false">MONTH(A120)</f>
        <v>4</v>
      </c>
      <c r="U120" s="37" t="b">
        <f aca="false">OR(C120="Workday",C120="Eve")</f>
        <v>0</v>
      </c>
      <c r="V120" s="34" t="n">
        <f aca="false">IF(C120="Eve",Settings!$B$8,Settings!$B$7)</f>
        <v>0.6875</v>
      </c>
      <c r="W120" s="14" t="n">
        <f aca="false">IF(U120,(V120-Settings!$B$6)*24,0)</f>
        <v>0</v>
      </c>
    </row>
    <row r="121" customFormat="false" ht="15" hidden="false" customHeight="false" outlineLevel="0" collapsed="false">
      <c r="A121" s="29" t="n">
        <v>46137</v>
      </c>
      <c r="B121" s="30" t="str">
        <f aca="false">CHOOSE(WEEKDAY(A121),"Sun","Mon","Tue","Wed","Thu","Fri","Sat")</f>
        <v>Sat</v>
      </c>
      <c r="C121" s="30" t="str">
        <f aca="false">IF(IFERROR(INDEX(Holidays!$D$5:$D$60,MATCH(A121,Holidays!$A$5:$A$60,0)),"")="Holiday","Holiday",IF(WEEKDAY(A121)&gt;=6,"Weekend",IF(IFERROR(INDEX(Holidays!$D$5:$D$60,MATCH(A121,Holidays!$A$5:$A$60,0)),"")="Eve","Eve","Workday")))</f>
        <v>Weekend</v>
      </c>
      <c r="D121" s="18" t="str">
        <f aca="false">IFERROR(INDEX(Holidays!$C$5:$C$60,MATCH(A121,Holidays!$A$5:$A$60,0)),"")</f>
        <v/>
      </c>
      <c r="E121" s="31"/>
      <c r="F121" s="32"/>
      <c r="G121" s="32"/>
      <c r="H121" s="32"/>
      <c r="I121" s="32"/>
      <c r="J121" s="31"/>
      <c r="K121" s="33" t="str">
        <f aca="false">IF(E121&lt;&gt;"",E121,IF(U121,"Present",IF(C121="Holiday","Holiday","Weekend")))</f>
        <v>Weekend</v>
      </c>
      <c r="L121" s="34" t="str">
        <f aca="false">IF(OR(K121="Present",K121="Manual Work",K121="Partial Vacation",K121="Partial Sick Leave"),IF(ISNUMBER(F121),F121,IF(AND(K121="Present",U121),Settings!$B$6,"")),"")</f>
        <v/>
      </c>
      <c r="M121" s="34" t="str">
        <f aca="false">IF(OR(K121="Present",K121="Manual Work",K121="Partial Vacation",K121="Partial Sick Leave"),IF(ISNUMBER(G121),G121,IF(AND(K121="Present",U121),V121,"")),"")</f>
        <v/>
      </c>
      <c r="N121" s="14" t="n">
        <f aca="false">IF(AND(ISNUMBER(L121),ISNUMBER(M121)),MAX(0,(M121-L121)*24),0)</f>
        <v>0</v>
      </c>
      <c r="O121" s="14" t="n">
        <f aca="false">IF(NOT(U121),0,IF(K121="Vacation",IF(C121="Eve",Settings!$B$9*Settings!$B$11,W121),IF(K121="Partial Vacation",IF(AND(ISNUMBER(H121),ISNUMBER(I121)),MAX(0,(I121-H121)*24),0),0)))</f>
        <v>0</v>
      </c>
      <c r="P121" s="14" t="n">
        <f aca="false">IF(NOT(U121),0,IF(K121="Sick Leave",W121,IF(K121="Partial Sick Leave",IF(AND(ISNUMBER(H121),ISNUMBER(I121)),MAX(0,(I121-H121)*24),0),0)))</f>
        <v>0</v>
      </c>
      <c r="Q121" s="14" t="n">
        <f aca="false">IF(NOT(U121),0,IF(K121="Vacation",IF(C121="Eve",Settings!$B$11,1),IF(K121="Partial Vacation",O121/Settings!$B$9,0)))</f>
        <v>0</v>
      </c>
      <c r="R121" s="14" t="n">
        <f aca="false">IF(NOT(U121),0,IF(K121="Sick Leave",1,IF(K121="Partial Sick Leave",P121/Settings!$B$9,0)))</f>
        <v>0</v>
      </c>
      <c r="S121" s="35" t="str">
        <f aca="false">IF(AND(OR(E121="Vacation",E121="Sick Leave",E121="Partial Vacation",E121="Partial Sick Leave"),NOT(U121)),"Leave not allowed on this day",IF(AND(E121="Manual Work",OR(NOT(ISNUMBER(F121)),NOT(ISNUMBER(G121)))),"Enter start and end",IF(AND(OR(E121="Partial Vacation",E121="Partial Sick Leave"),OR(NOT(ISNUMBER(H121)),NOT(ISNUMBER(I121)))),"Enter leave from and to",IF(AND(ISNUMBER(F121),ISNUMBER(G121),G121&lt;=F121),"End is before start",IF(AND(ISNUMBER(H121),ISNUMBER(I121),I121&lt;=H121),"Leave end is before start",IF(AND(ISNUMBER(F121),ISNUMBER(G121),ISNUMBER(H121),ISNUMBER(I121),F121&lt;I121,H121&lt;G121),"Work and leave hours overlap",IF(AND(E121&lt;&gt;"",WEEKDAY(A121)=7),"Saturday - administrator only","")))))))</f>
        <v/>
      </c>
      <c r="T121" s="36" t="n">
        <f aca="false">MONTH(A121)</f>
        <v>4</v>
      </c>
      <c r="U121" s="37" t="b">
        <f aca="false">OR(C121="Workday",C121="Eve")</f>
        <v>0</v>
      </c>
      <c r="V121" s="34" t="n">
        <f aca="false">IF(C121="Eve",Settings!$B$8,Settings!$B$7)</f>
        <v>0.6875</v>
      </c>
      <c r="W121" s="14" t="n">
        <f aca="false">IF(U121,(V121-Settings!$B$6)*24,0)</f>
        <v>0</v>
      </c>
    </row>
    <row r="122" customFormat="false" ht="15" hidden="false" customHeight="false" outlineLevel="0" collapsed="false">
      <c r="A122" s="29" t="n">
        <v>46138</v>
      </c>
      <c r="B122" s="30" t="str">
        <f aca="false">CHOOSE(WEEKDAY(A122),"Sun","Mon","Tue","Wed","Thu","Fri","Sat")</f>
        <v>Sun</v>
      </c>
      <c r="C122" s="30" t="str">
        <f aca="false">IF(IFERROR(INDEX(Holidays!$D$5:$D$60,MATCH(A122,Holidays!$A$5:$A$60,0)),"")="Holiday","Holiday",IF(WEEKDAY(A122)&gt;=6,"Weekend",IF(IFERROR(INDEX(Holidays!$D$5:$D$60,MATCH(A122,Holidays!$A$5:$A$60,0)),"")="Eve","Eve","Workday")))</f>
        <v>Workday</v>
      </c>
      <c r="D122" s="18" t="str">
        <f aca="false">IFERROR(INDEX(Holidays!$C$5:$C$60,MATCH(A122,Holidays!$A$5:$A$60,0)),"")</f>
        <v/>
      </c>
      <c r="E122" s="31"/>
      <c r="F122" s="32"/>
      <c r="G122" s="32"/>
      <c r="H122" s="32"/>
      <c r="I122" s="32"/>
      <c r="J122" s="31"/>
      <c r="K122" s="33" t="str">
        <f aca="false">IF(E122&lt;&gt;"",E122,IF(U122,"Present",IF(C122="Holiday","Holiday","Weekend")))</f>
        <v>Present</v>
      </c>
      <c r="L122" s="34" t="n">
        <f aca="false">IF(OR(K122="Present",K122="Manual Work",K122="Partial Vacation",K122="Partial Sick Leave"),IF(ISNUMBER(F122),F122,IF(AND(K122="Present",U122),Settings!$B$6,"")),"")</f>
        <v>0.333333333333333</v>
      </c>
      <c r="M122" s="34" t="n">
        <f aca="false">IF(OR(K122="Present",K122="Manual Work",K122="Partial Vacation",K122="Partial Sick Leave"),IF(ISNUMBER(G122),G122,IF(AND(K122="Present",U122),V122,"")),"")</f>
        <v>0.6875</v>
      </c>
      <c r="N122" s="14" t="n">
        <f aca="false">IF(AND(ISNUMBER(L122),ISNUMBER(M122)),MAX(0,(M122-L122)*24),0)</f>
        <v>8.5</v>
      </c>
      <c r="O122" s="14" t="n">
        <f aca="false">IF(NOT(U122),0,IF(K122="Vacation",IF(C122="Eve",Settings!$B$9*Settings!$B$11,W122),IF(K122="Partial Vacation",IF(AND(ISNUMBER(H122),ISNUMBER(I122)),MAX(0,(I122-H122)*24),0),0)))</f>
        <v>0</v>
      </c>
      <c r="P122" s="14" t="n">
        <f aca="false">IF(NOT(U122),0,IF(K122="Sick Leave",W122,IF(K122="Partial Sick Leave",IF(AND(ISNUMBER(H122),ISNUMBER(I122)),MAX(0,(I122-H122)*24),0),0)))</f>
        <v>0</v>
      </c>
      <c r="Q122" s="14" t="n">
        <f aca="false">IF(NOT(U122),0,IF(K122="Vacation",IF(C122="Eve",Settings!$B$11,1),IF(K122="Partial Vacation",O122/Settings!$B$9,0)))</f>
        <v>0</v>
      </c>
      <c r="R122" s="14" t="n">
        <f aca="false">IF(NOT(U122),0,IF(K122="Sick Leave",1,IF(K122="Partial Sick Leave",P122/Settings!$B$9,0)))</f>
        <v>0</v>
      </c>
      <c r="S122" s="35" t="str">
        <f aca="false">IF(AND(OR(E122="Vacation",E122="Sick Leave",E122="Partial Vacation",E122="Partial Sick Leave"),NOT(U122)),"Leave not allowed on this day",IF(AND(E122="Manual Work",OR(NOT(ISNUMBER(F122)),NOT(ISNUMBER(G122)))),"Enter start and end",IF(AND(OR(E122="Partial Vacation",E122="Partial Sick Leave"),OR(NOT(ISNUMBER(H122)),NOT(ISNUMBER(I122)))),"Enter leave from and to",IF(AND(ISNUMBER(F122),ISNUMBER(G122),G122&lt;=F122),"End is before start",IF(AND(ISNUMBER(H122),ISNUMBER(I122),I122&lt;=H122),"Leave end is before start",IF(AND(ISNUMBER(F122),ISNUMBER(G122),ISNUMBER(H122),ISNUMBER(I122),F122&lt;I122,H122&lt;G122),"Work and leave hours overlap",IF(AND(E122&lt;&gt;"",WEEKDAY(A122)=7),"Saturday - administrator only","")))))))</f>
        <v/>
      </c>
      <c r="T122" s="36" t="n">
        <f aca="false">MONTH(A122)</f>
        <v>4</v>
      </c>
      <c r="U122" s="37" t="b">
        <f aca="false">OR(C122="Workday",C122="Eve")</f>
        <v>1</v>
      </c>
      <c r="V122" s="34" t="n">
        <f aca="false">IF(C122="Eve",Settings!$B$8,Settings!$B$7)</f>
        <v>0.6875</v>
      </c>
      <c r="W122" s="14" t="n">
        <f aca="false">IF(U122,(V122-Settings!$B$6)*24,0)</f>
        <v>8.5</v>
      </c>
    </row>
    <row r="123" customFormat="false" ht="15" hidden="false" customHeight="false" outlineLevel="0" collapsed="false">
      <c r="A123" s="29" t="n">
        <v>46139</v>
      </c>
      <c r="B123" s="30" t="str">
        <f aca="false">CHOOSE(WEEKDAY(A123),"Sun","Mon","Tue","Wed","Thu","Fri","Sat")</f>
        <v>Mon</v>
      </c>
      <c r="C123" s="30" t="str">
        <f aca="false">IF(IFERROR(INDEX(Holidays!$D$5:$D$60,MATCH(A123,Holidays!$A$5:$A$60,0)),"")="Holiday","Holiday",IF(WEEKDAY(A123)&gt;=6,"Weekend",IF(IFERROR(INDEX(Holidays!$D$5:$D$60,MATCH(A123,Holidays!$A$5:$A$60,0)),"")="Eve","Eve","Workday")))</f>
        <v>Workday</v>
      </c>
      <c r="D123" s="18" t="str">
        <f aca="false">IFERROR(INDEX(Holidays!$C$5:$C$60,MATCH(A123,Holidays!$A$5:$A$60,0)),"")</f>
        <v/>
      </c>
      <c r="E123" s="31"/>
      <c r="F123" s="32"/>
      <c r="G123" s="32"/>
      <c r="H123" s="32"/>
      <c r="I123" s="32"/>
      <c r="J123" s="31"/>
      <c r="K123" s="33" t="str">
        <f aca="false">IF(E123&lt;&gt;"",E123,IF(U123,"Present",IF(C123="Holiday","Holiday","Weekend")))</f>
        <v>Present</v>
      </c>
      <c r="L123" s="34" t="n">
        <f aca="false">IF(OR(K123="Present",K123="Manual Work",K123="Partial Vacation",K123="Partial Sick Leave"),IF(ISNUMBER(F123),F123,IF(AND(K123="Present",U123),Settings!$B$6,"")),"")</f>
        <v>0.333333333333333</v>
      </c>
      <c r="M123" s="34" t="n">
        <f aca="false">IF(OR(K123="Present",K123="Manual Work",K123="Partial Vacation",K123="Partial Sick Leave"),IF(ISNUMBER(G123),G123,IF(AND(K123="Present",U123),V123,"")),"")</f>
        <v>0.6875</v>
      </c>
      <c r="N123" s="14" t="n">
        <f aca="false">IF(AND(ISNUMBER(L123),ISNUMBER(M123)),MAX(0,(M123-L123)*24),0)</f>
        <v>8.5</v>
      </c>
      <c r="O123" s="14" t="n">
        <f aca="false">IF(NOT(U123),0,IF(K123="Vacation",IF(C123="Eve",Settings!$B$9*Settings!$B$11,W123),IF(K123="Partial Vacation",IF(AND(ISNUMBER(H123),ISNUMBER(I123)),MAX(0,(I123-H123)*24),0),0)))</f>
        <v>0</v>
      </c>
      <c r="P123" s="14" t="n">
        <f aca="false">IF(NOT(U123),0,IF(K123="Sick Leave",W123,IF(K123="Partial Sick Leave",IF(AND(ISNUMBER(H123),ISNUMBER(I123)),MAX(0,(I123-H123)*24),0),0)))</f>
        <v>0</v>
      </c>
      <c r="Q123" s="14" t="n">
        <f aca="false">IF(NOT(U123),0,IF(K123="Vacation",IF(C123="Eve",Settings!$B$11,1),IF(K123="Partial Vacation",O123/Settings!$B$9,0)))</f>
        <v>0</v>
      </c>
      <c r="R123" s="14" t="n">
        <f aca="false">IF(NOT(U123),0,IF(K123="Sick Leave",1,IF(K123="Partial Sick Leave",P123/Settings!$B$9,0)))</f>
        <v>0</v>
      </c>
      <c r="S123" s="35" t="str">
        <f aca="false">IF(AND(OR(E123="Vacation",E123="Sick Leave",E123="Partial Vacation",E123="Partial Sick Leave"),NOT(U123)),"Leave not allowed on this day",IF(AND(E123="Manual Work",OR(NOT(ISNUMBER(F123)),NOT(ISNUMBER(G123)))),"Enter start and end",IF(AND(OR(E123="Partial Vacation",E123="Partial Sick Leave"),OR(NOT(ISNUMBER(H123)),NOT(ISNUMBER(I123)))),"Enter leave from and to",IF(AND(ISNUMBER(F123),ISNUMBER(G123),G123&lt;=F123),"End is before start",IF(AND(ISNUMBER(H123),ISNUMBER(I123),I123&lt;=H123),"Leave end is before start",IF(AND(ISNUMBER(F123),ISNUMBER(G123),ISNUMBER(H123),ISNUMBER(I123),F123&lt;I123,H123&lt;G123),"Work and leave hours overlap",IF(AND(E123&lt;&gt;"",WEEKDAY(A123)=7),"Saturday - administrator only","")))))))</f>
        <v/>
      </c>
      <c r="T123" s="36" t="n">
        <f aca="false">MONTH(A123)</f>
        <v>4</v>
      </c>
      <c r="U123" s="37" t="b">
        <f aca="false">OR(C123="Workday",C123="Eve")</f>
        <v>1</v>
      </c>
      <c r="V123" s="34" t="n">
        <f aca="false">IF(C123="Eve",Settings!$B$8,Settings!$B$7)</f>
        <v>0.6875</v>
      </c>
      <c r="W123" s="14" t="n">
        <f aca="false">IF(U123,(V123-Settings!$B$6)*24,0)</f>
        <v>8.5</v>
      </c>
    </row>
    <row r="124" customFormat="false" ht="15" hidden="false" customHeight="false" outlineLevel="0" collapsed="false">
      <c r="A124" s="29" t="n">
        <v>46140</v>
      </c>
      <c r="B124" s="30" t="str">
        <f aca="false">CHOOSE(WEEKDAY(A124),"Sun","Mon","Tue","Wed","Thu","Fri","Sat")</f>
        <v>Tue</v>
      </c>
      <c r="C124" s="30" t="str">
        <f aca="false">IF(IFERROR(INDEX(Holidays!$D$5:$D$60,MATCH(A124,Holidays!$A$5:$A$60,0)),"")="Holiday","Holiday",IF(WEEKDAY(A124)&gt;=6,"Weekend",IF(IFERROR(INDEX(Holidays!$D$5:$D$60,MATCH(A124,Holidays!$A$5:$A$60,0)),"")="Eve","Eve","Workday")))</f>
        <v>Workday</v>
      </c>
      <c r="D124" s="18" t="str">
        <f aca="false">IFERROR(INDEX(Holidays!$C$5:$C$60,MATCH(A124,Holidays!$A$5:$A$60,0)),"")</f>
        <v/>
      </c>
      <c r="E124" s="31"/>
      <c r="F124" s="32"/>
      <c r="G124" s="32"/>
      <c r="H124" s="32"/>
      <c r="I124" s="32"/>
      <c r="J124" s="31"/>
      <c r="K124" s="33" t="str">
        <f aca="false">IF(E124&lt;&gt;"",E124,IF(U124,"Present",IF(C124="Holiday","Holiday","Weekend")))</f>
        <v>Present</v>
      </c>
      <c r="L124" s="34" t="n">
        <f aca="false">IF(OR(K124="Present",K124="Manual Work",K124="Partial Vacation",K124="Partial Sick Leave"),IF(ISNUMBER(F124),F124,IF(AND(K124="Present",U124),Settings!$B$6,"")),"")</f>
        <v>0.333333333333333</v>
      </c>
      <c r="M124" s="34" t="n">
        <f aca="false">IF(OR(K124="Present",K124="Manual Work",K124="Partial Vacation",K124="Partial Sick Leave"),IF(ISNUMBER(G124),G124,IF(AND(K124="Present",U124),V124,"")),"")</f>
        <v>0.6875</v>
      </c>
      <c r="N124" s="14" t="n">
        <f aca="false">IF(AND(ISNUMBER(L124),ISNUMBER(M124)),MAX(0,(M124-L124)*24),0)</f>
        <v>8.5</v>
      </c>
      <c r="O124" s="14" t="n">
        <f aca="false">IF(NOT(U124),0,IF(K124="Vacation",IF(C124="Eve",Settings!$B$9*Settings!$B$11,W124),IF(K124="Partial Vacation",IF(AND(ISNUMBER(H124),ISNUMBER(I124)),MAX(0,(I124-H124)*24),0),0)))</f>
        <v>0</v>
      </c>
      <c r="P124" s="14" t="n">
        <f aca="false">IF(NOT(U124),0,IF(K124="Sick Leave",W124,IF(K124="Partial Sick Leave",IF(AND(ISNUMBER(H124),ISNUMBER(I124)),MAX(0,(I124-H124)*24),0),0)))</f>
        <v>0</v>
      </c>
      <c r="Q124" s="14" t="n">
        <f aca="false">IF(NOT(U124),0,IF(K124="Vacation",IF(C124="Eve",Settings!$B$11,1),IF(K124="Partial Vacation",O124/Settings!$B$9,0)))</f>
        <v>0</v>
      </c>
      <c r="R124" s="14" t="n">
        <f aca="false">IF(NOT(U124),0,IF(K124="Sick Leave",1,IF(K124="Partial Sick Leave",P124/Settings!$B$9,0)))</f>
        <v>0</v>
      </c>
      <c r="S124" s="35" t="str">
        <f aca="false">IF(AND(OR(E124="Vacation",E124="Sick Leave",E124="Partial Vacation",E124="Partial Sick Leave"),NOT(U124)),"Leave not allowed on this day",IF(AND(E124="Manual Work",OR(NOT(ISNUMBER(F124)),NOT(ISNUMBER(G124)))),"Enter start and end",IF(AND(OR(E124="Partial Vacation",E124="Partial Sick Leave"),OR(NOT(ISNUMBER(H124)),NOT(ISNUMBER(I124)))),"Enter leave from and to",IF(AND(ISNUMBER(F124),ISNUMBER(G124),G124&lt;=F124),"End is before start",IF(AND(ISNUMBER(H124),ISNUMBER(I124),I124&lt;=H124),"Leave end is before start",IF(AND(ISNUMBER(F124),ISNUMBER(G124),ISNUMBER(H124),ISNUMBER(I124),F124&lt;I124,H124&lt;G124),"Work and leave hours overlap",IF(AND(E124&lt;&gt;"",WEEKDAY(A124)=7),"Saturday - administrator only","")))))))</f>
        <v/>
      </c>
      <c r="T124" s="36" t="n">
        <f aca="false">MONTH(A124)</f>
        <v>4</v>
      </c>
      <c r="U124" s="37" t="b">
        <f aca="false">OR(C124="Workday",C124="Eve")</f>
        <v>1</v>
      </c>
      <c r="V124" s="34" t="n">
        <f aca="false">IF(C124="Eve",Settings!$B$8,Settings!$B$7)</f>
        <v>0.6875</v>
      </c>
      <c r="W124" s="14" t="n">
        <f aca="false">IF(U124,(V124-Settings!$B$6)*24,0)</f>
        <v>8.5</v>
      </c>
    </row>
    <row r="125" customFormat="false" ht="15" hidden="false" customHeight="false" outlineLevel="0" collapsed="false">
      <c r="A125" s="29" t="n">
        <v>46141</v>
      </c>
      <c r="B125" s="30" t="str">
        <f aca="false">CHOOSE(WEEKDAY(A125),"Sun","Mon","Tue","Wed","Thu","Fri","Sat")</f>
        <v>Wed</v>
      </c>
      <c r="C125" s="30" t="str">
        <f aca="false">IF(IFERROR(INDEX(Holidays!$D$5:$D$60,MATCH(A125,Holidays!$A$5:$A$60,0)),"")="Holiday","Holiday",IF(WEEKDAY(A125)&gt;=6,"Weekend",IF(IFERROR(INDEX(Holidays!$D$5:$D$60,MATCH(A125,Holidays!$A$5:$A$60,0)),"")="Eve","Eve","Workday")))</f>
        <v>Workday</v>
      </c>
      <c r="D125" s="18" t="str">
        <f aca="false">IFERROR(INDEX(Holidays!$C$5:$C$60,MATCH(A125,Holidays!$A$5:$A$60,0)),"")</f>
        <v/>
      </c>
      <c r="E125" s="31"/>
      <c r="F125" s="32"/>
      <c r="G125" s="32"/>
      <c r="H125" s="32"/>
      <c r="I125" s="32"/>
      <c r="J125" s="31"/>
      <c r="K125" s="33" t="str">
        <f aca="false">IF(E125&lt;&gt;"",E125,IF(U125,"Present",IF(C125="Holiday","Holiday","Weekend")))</f>
        <v>Present</v>
      </c>
      <c r="L125" s="34" t="n">
        <f aca="false">IF(OR(K125="Present",K125="Manual Work",K125="Partial Vacation",K125="Partial Sick Leave"),IF(ISNUMBER(F125),F125,IF(AND(K125="Present",U125),Settings!$B$6,"")),"")</f>
        <v>0.333333333333333</v>
      </c>
      <c r="M125" s="34" t="n">
        <f aca="false">IF(OR(K125="Present",K125="Manual Work",K125="Partial Vacation",K125="Partial Sick Leave"),IF(ISNUMBER(G125),G125,IF(AND(K125="Present",U125),V125,"")),"")</f>
        <v>0.6875</v>
      </c>
      <c r="N125" s="14" t="n">
        <f aca="false">IF(AND(ISNUMBER(L125),ISNUMBER(M125)),MAX(0,(M125-L125)*24),0)</f>
        <v>8.5</v>
      </c>
      <c r="O125" s="14" t="n">
        <f aca="false">IF(NOT(U125),0,IF(K125="Vacation",IF(C125="Eve",Settings!$B$9*Settings!$B$11,W125),IF(K125="Partial Vacation",IF(AND(ISNUMBER(H125),ISNUMBER(I125)),MAX(0,(I125-H125)*24),0),0)))</f>
        <v>0</v>
      </c>
      <c r="P125" s="14" t="n">
        <f aca="false">IF(NOT(U125),0,IF(K125="Sick Leave",W125,IF(K125="Partial Sick Leave",IF(AND(ISNUMBER(H125),ISNUMBER(I125)),MAX(0,(I125-H125)*24),0),0)))</f>
        <v>0</v>
      </c>
      <c r="Q125" s="14" t="n">
        <f aca="false">IF(NOT(U125),0,IF(K125="Vacation",IF(C125="Eve",Settings!$B$11,1),IF(K125="Partial Vacation",O125/Settings!$B$9,0)))</f>
        <v>0</v>
      </c>
      <c r="R125" s="14" t="n">
        <f aca="false">IF(NOT(U125),0,IF(K125="Sick Leave",1,IF(K125="Partial Sick Leave",P125/Settings!$B$9,0)))</f>
        <v>0</v>
      </c>
      <c r="S125" s="35" t="str">
        <f aca="false">IF(AND(OR(E125="Vacation",E125="Sick Leave",E125="Partial Vacation",E125="Partial Sick Leave"),NOT(U125)),"Leave not allowed on this day",IF(AND(E125="Manual Work",OR(NOT(ISNUMBER(F125)),NOT(ISNUMBER(G125)))),"Enter start and end",IF(AND(OR(E125="Partial Vacation",E125="Partial Sick Leave"),OR(NOT(ISNUMBER(H125)),NOT(ISNUMBER(I125)))),"Enter leave from and to",IF(AND(ISNUMBER(F125),ISNUMBER(G125),G125&lt;=F125),"End is before start",IF(AND(ISNUMBER(H125),ISNUMBER(I125),I125&lt;=H125),"Leave end is before start",IF(AND(ISNUMBER(F125),ISNUMBER(G125),ISNUMBER(H125),ISNUMBER(I125),F125&lt;I125,H125&lt;G125),"Work and leave hours overlap",IF(AND(E125&lt;&gt;"",WEEKDAY(A125)=7),"Saturday - administrator only","")))))))</f>
        <v/>
      </c>
      <c r="T125" s="36" t="n">
        <f aca="false">MONTH(A125)</f>
        <v>4</v>
      </c>
      <c r="U125" s="37" t="b">
        <f aca="false">OR(C125="Workday",C125="Eve")</f>
        <v>1</v>
      </c>
      <c r="V125" s="34" t="n">
        <f aca="false">IF(C125="Eve",Settings!$B$8,Settings!$B$7)</f>
        <v>0.6875</v>
      </c>
      <c r="W125" s="14" t="n">
        <f aca="false">IF(U125,(V125-Settings!$B$6)*24,0)</f>
        <v>8.5</v>
      </c>
    </row>
    <row r="126" customFormat="false" ht="15" hidden="false" customHeight="false" outlineLevel="0" collapsed="false">
      <c r="A126" s="29" t="n">
        <v>46142</v>
      </c>
      <c r="B126" s="30" t="str">
        <f aca="false">CHOOSE(WEEKDAY(A126),"Sun","Mon","Tue","Wed","Thu","Fri","Sat")</f>
        <v>Thu</v>
      </c>
      <c r="C126" s="30" t="str">
        <f aca="false">IF(IFERROR(INDEX(Holidays!$D$5:$D$60,MATCH(A126,Holidays!$A$5:$A$60,0)),"")="Holiday","Holiday",IF(WEEKDAY(A126)&gt;=6,"Weekend",IF(IFERROR(INDEX(Holidays!$D$5:$D$60,MATCH(A126,Holidays!$A$5:$A$60,0)),"")="Eve","Eve","Workday")))</f>
        <v>Workday</v>
      </c>
      <c r="D126" s="18" t="str">
        <f aca="false">IFERROR(INDEX(Holidays!$C$5:$C$60,MATCH(A126,Holidays!$A$5:$A$60,0)),"")</f>
        <v/>
      </c>
      <c r="E126" s="31"/>
      <c r="F126" s="32"/>
      <c r="G126" s="32"/>
      <c r="H126" s="32"/>
      <c r="I126" s="32"/>
      <c r="J126" s="31"/>
      <c r="K126" s="33" t="str">
        <f aca="false">IF(E126&lt;&gt;"",E126,IF(U126,"Present",IF(C126="Holiday","Holiday","Weekend")))</f>
        <v>Present</v>
      </c>
      <c r="L126" s="34" t="n">
        <f aca="false">IF(OR(K126="Present",K126="Manual Work",K126="Partial Vacation",K126="Partial Sick Leave"),IF(ISNUMBER(F126),F126,IF(AND(K126="Present",U126),Settings!$B$6,"")),"")</f>
        <v>0.333333333333333</v>
      </c>
      <c r="M126" s="34" t="n">
        <f aca="false">IF(OR(K126="Present",K126="Manual Work",K126="Partial Vacation",K126="Partial Sick Leave"),IF(ISNUMBER(G126),G126,IF(AND(K126="Present",U126),V126,"")),"")</f>
        <v>0.6875</v>
      </c>
      <c r="N126" s="14" t="n">
        <f aca="false">IF(AND(ISNUMBER(L126),ISNUMBER(M126)),MAX(0,(M126-L126)*24),0)</f>
        <v>8.5</v>
      </c>
      <c r="O126" s="14" t="n">
        <f aca="false">IF(NOT(U126),0,IF(K126="Vacation",IF(C126="Eve",Settings!$B$9*Settings!$B$11,W126),IF(K126="Partial Vacation",IF(AND(ISNUMBER(H126),ISNUMBER(I126)),MAX(0,(I126-H126)*24),0),0)))</f>
        <v>0</v>
      </c>
      <c r="P126" s="14" t="n">
        <f aca="false">IF(NOT(U126),0,IF(K126="Sick Leave",W126,IF(K126="Partial Sick Leave",IF(AND(ISNUMBER(H126),ISNUMBER(I126)),MAX(0,(I126-H126)*24),0),0)))</f>
        <v>0</v>
      </c>
      <c r="Q126" s="14" t="n">
        <f aca="false">IF(NOT(U126),0,IF(K126="Vacation",IF(C126="Eve",Settings!$B$11,1),IF(K126="Partial Vacation",O126/Settings!$B$9,0)))</f>
        <v>0</v>
      </c>
      <c r="R126" s="14" t="n">
        <f aca="false">IF(NOT(U126),0,IF(K126="Sick Leave",1,IF(K126="Partial Sick Leave",P126/Settings!$B$9,0)))</f>
        <v>0</v>
      </c>
      <c r="S126" s="35" t="str">
        <f aca="false">IF(AND(OR(E126="Vacation",E126="Sick Leave",E126="Partial Vacation",E126="Partial Sick Leave"),NOT(U126)),"Leave not allowed on this day",IF(AND(E126="Manual Work",OR(NOT(ISNUMBER(F126)),NOT(ISNUMBER(G126)))),"Enter start and end",IF(AND(OR(E126="Partial Vacation",E126="Partial Sick Leave"),OR(NOT(ISNUMBER(H126)),NOT(ISNUMBER(I126)))),"Enter leave from and to",IF(AND(ISNUMBER(F126),ISNUMBER(G126),G126&lt;=F126),"End is before start",IF(AND(ISNUMBER(H126),ISNUMBER(I126),I126&lt;=H126),"Leave end is before start",IF(AND(ISNUMBER(F126),ISNUMBER(G126),ISNUMBER(H126),ISNUMBER(I126),F126&lt;I126,H126&lt;G126),"Work and leave hours overlap",IF(AND(E126&lt;&gt;"",WEEKDAY(A126)=7),"Saturday - administrator only","")))))))</f>
        <v/>
      </c>
      <c r="T126" s="36" t="n">
        <f aca="false">MONTH(A126)</f>
        <v>4</v>
      </c>
      <c r="U126" s="37" t="b">
        <f aca="false">OR(C126="Workday",C126="Eve")</f>
        <v>1</v>
      </c>
      <c r="V126" s="34" t="n">
        <f aca="false">IF(C126="Eve",Settings!$B$8,Settings!$B$7)</f>
        <v>0.6875</v>
      </c>
      <c r="W126" s="14" t="n">
        <f aca="false">IF(U126,(V126-Settings!$B$6)*24,0)</f>
        <v>8.5</v>
      </c>
    </row>
    <row r="127" customFormat="false" ht="15" hidden="false" customHeight="false" outlineLevel="0" collapsed="false">
      <c r="A127" s="29" t="n">
        <v>46143</v>
      </c>
      <c r="B127" s="30" t="str">
        <f aca="false">CHOOSE(WEEKDAY(A127),"Sun","Mon","Tue","Wed","Thu","Fri","Sat")</f>
        <v>Fri</v>
      </c>
      <c r="C127" s="30" t="str">
        <f aca="false">IF(IFERROR(INDEX(Holidays!$D$5:$D$60,MATCH(A127,Holidays!$A$5:$A$60,0)),"")="Holiday","Holiday",IF(WEEKDAY(A127)&gt;=6,"Weekend",IF(IFERROR(INDEX(Holidays!$D$5:$D$60,MATCH(A127,Holidays!$A$5:$A$60,0)),"")="Eve","Eve","Workday")))</f>
        <v>Weekend</v>
      </c>
      <c r="D127" s="18" t="str">
        <f aca="false">IFERROR(INDEX(Holidays!$C$5:$C$60,MATCH(A127,Holidays!$A$5:$A$60,0)),"")</f>
        <v/>
      </c>
      <c r="E127" s="31"/>
      <c r="F127" s="32"/>
      <c r="G127" s="32"/>
      <c r="H127" s="32"/>
      <c r="I127" s="32"/>
      <c r="J127" s="31"/>
      <c r="K127" s="33" t="str">
        <f aca="false">IF(E127&lt;&gt;"",E127,IF(U127,"Present",IF(C127="Holiday","Holiday","Weekend")))</f>
        <v>Weekend</v>
      </c>
      <c r="L127" s="34" t="str">
        <f aca="false">IF(OR(K127="Present",K127="Manual Work",K127="Partial Vacation",K127="Partial Sick Leave"),IF(ISNUMBER(F127),F127,IF(AND(K127="Present",U127),Settings!$B$6,"")),"")</f>
        <v/>
      </c>
      <c r="M127" s="34" t="str">
        <f aca="false">IF(OR(K127="Present",K127="Manual Work",K127="Partial Vacation",K127="Partial Sick Leave"),IF(ISNUMBER(G127),G127,IF(AND(K127="Present",U127),V127,"")),"")</f>
        <v/>
      </c>
      <c r="N127" s="14" t="n">
        <f aca="false">IF(AND(ISNUMBER(L127),ISNUMBER(M127)),MAX(0,(M127-L127)*24),0)</f>
        <v>0</v>
      </c>
      <c r="O127" s="14" t="n">
        <f aca="false">IF(NOT(U127),0,IF(K127="Vacation",IF(C127="Eve",Settings!$B$9*Settings!$B$11,W127),IF(K127="Partial Vacation",IF(AND(ISNUMBER(H127),ISNUMBER(I127)),MAX(0,(I127-H127)*24),0),0)))</f>
        <v>0</v>
      </c>
      <c r="P127" s="14" t="n">
        <f aca="false">IF(NOT(U127),0,IF(K127="Sick Leave",W127,IF(K127="Partial Sick Leave",IF(AND(ISNUMBER(H127),ISNUMBER(I127)),MAX(0,(I127-H127)*24),0),0)))</f>
        <v>0</v>
      </c>
      <c r="Q127" s="14" t="n">
        <f aca="false">IF(NOT(U127),0,IF(K127="Vacation",IF(C127="Eve",Settings!$B$11,1),IF(K127="Partial Vacation",O127/Settings!$B$9,0)))</f>
        <v>0</v>
      </c>
      <c r="R127" s="14" t="n">
        <f aca="false">IF(NOT(U127),0,IF(K127="Sick Leave",1,IF(K127="Partial Sick Leave",P127/Settings!$B$9,0)))</f>
        <v>0</v>
      </c>
      <c r="S127" s="35" t="str">
        <f aca="false">IF(AND(OR(E127="Vacation",E127="Sick Leave",E127="Partial Vacation",E127="Partial Sick Leave"),NOT(U127)),"Leave not allowed on this day",IF(AND(E127="Manual Work",OR(NOT(ISNUMBER(F127)),NOT(ISNUMBER(G127)))),"Enter start and end",IF(AND(OR(E127="Partial Vacation",E127="Partial Sick Leave"),OR(NOT(ISNUMBER(H127)),NOT(ISNUMBER(I127)))),"Enter leave from and to",IF(AND(ISNUMBER(F127),ISNUMBER(G127),G127&lt;=F127),"End is before start",IF(AND(ISNUMBER(H127),ISNUMBER(I127),I127&lt;=H127),"Leave end is before start",IF(AND(ISNUMBER(F127),ISNUMBER(G127),ISNUMBER(H127),ISNUMBER(I127),F127&lt;I127,H127&lt;G127),"Work and leave hours overlap",IF(AND(E127&lt;&gt;"",WEEKDAY(A127)=7),"Saturday - administrator only","")))))))</f>
        <v/>
      </c>
      <c r="T127" s="36" t="n">
        <f aca="false">MONTH(A127)</f>
        <v>5</v>
      </c>
      <c r="U127" s="37" t="b">
        <f aca="false">OR(C127="Workday",C127="Eve")</f>
        <v>0</v>
      </c>
      <c r="V127" s="34" t="n">
        <f aca="false">IF(C127="Eve",Settings!$B$8,Settings!$B$7)</f>
        <v>0.6875</v>
      </c>
      <c r="W127" s="14" t="n">
        <f aca="false">IF(U127,(V127-Settings!$B$6)*24,0)</f>
        <v>0</v>
      </c>
    </row>
    <row r="128" customFormat="false" ht="15" hidden="false" customHeight="false" outlineLevel="0" collapsed="false">
      <c r="A128" s="29" t="n">
        <v>46144</v>
      </c>
      <c r="B128" s="30" t="str">
        <f aca="false">CHOOSE(WEEKDAY(A128),"Sun","Mon","Tue","Wed","Thu","Fri","Sat")</f>
        <v>Sat</v>
      </c>
      <c r="C128" s="30" t="str">
        <f aca="false">IF(IFERROR(INDEX(Holidays!$D$5:$D$60,MATCH(A128,Holidays!$A$5:$A$60,0)),"")="Holiday","Holiday",IF(WEEKDAY(A128)&gt;=6,"Weekend",IF(IFERROR(INDEX(Holidays!$D$5:$D$60,MATCH(A128,Holidays!$A$5:$A$60,0)),"")="Eve","Eve","Workday")))</f>
        <v>Weekend</v>
      </c>
      <c r="D128" s="18" t="str">
        <f aca="false">IFERROR(INDEX(Holidays!$C$5:$C$60,MATCH(A128,Holidays!$A$5:$A$60,0)),"")</f>
        <v/>
      </c>
      <c r="E128" s="31"/>
      <c r="F128" s="32"/>
      <c r="G128" s="32"/>
      <c r="H128" s="32"/>
      <c r="I128" s="32"/>
      <c r="J128" s="31"/>
      <c r="K128" s="33" t="str">
        <f aca="false">IF(E128&lt;&gt;"",E128,IF(U128,"Present",IF(C128="Holiday","Holiday","Weekend")))</f>
        <v>Weekend</v>
      </c>
      <c r="L128" s="34" t="str">
        <f aca="false">IF(OR(K128="Present",K128="Manual Work",K128="Partial Vacation",K128="Partial Sick Leave"),IF(ISNUMBER(F128),F128,IF(AND(K128="Present",U128),Settings!$B$6,"")),"")</f>
        <v/>
      </c>
      <c r="M128" s="34" t="str">
        <f aca="false">IF(OR(K128="Present",K128="Manual Work",K128="Partial Vacation",K128="Partial Sick Leave"),IF(ISNUMBER(G128),G128,IF(AND(K128="Present",U128),V128,"")),"")</f>
        <v/>
      </c>
      <c r="N128" s="14" t="n">
        <f aca="false">IF(AND(ISNUMBER(L128),ISNUMBER(M128)),MAX(0,(M128-L128)*24),0)</f>
        <v>0</v>
      </c>
      <c r="O128" s="14" t="n">
        <f aca="false">IF(NOT(U128),0,IF(K128="Vacation",IF(C128="Eve",Settings!$B$9*Settings!$B$11,W128),IF(K128="Partial Vacation",IF(AND(ISNUMBER(H128),ISNUMBER(I128)),MAX(0,(I128-H128)*24),0),0)))</f>
        <v>0</v>
      </c>
      <c r="P128" s="14" t="n">
        <f aca="false">IF(NOT(U128),0,IF(K128="Sick Leave",W128,IF(K128="Partial Sick Leave",IF(AND(ISNUMBER(H128),ISNUMBER(I128)),MAX(0,(I128-H128)*24),0),0)))</f>
        <v>0</v>
      </c>
      <c r="Q128" s="14" t="n">
        <f aca="false">IF(NOT(U128),0,IF(K128="Vacation",IF(C128="Eve",Settings!$B$11,1),IF(K128="Partial Vacation",O128/Settings!$B$9,0)))</f>
        <v>0</v>
      </c>
      <c r="R128" s="14" t="n">
        <f aca="false">IF(NOT(U128),0,IF(K128="Sick Leave",1,IF(K128="Partial Sick Leave",P128/Settings!$B$9,0)))</f>
        <v>0</v>
      </c>
      <c r="S128" s="35" t="str">
        <f aca="false">IF(AND(OR(E128="Vacation",E128="Sick Leave",E128="Partial Vacation",E128="Partial Sick Leave"),NOT(U128)),"Leave not allowed on this day",IF(AND(E128="Manual Work",OR(NOT(ISNUMBER(F128)),NOT(ISNUMBER(G128)))),"Enter start and end",IF(AND(OR(E128="Partial Vacation",E128="Partial Sick Leave"),OR(NOT(ISNUMBER(H128)),NOT(ISNUMBER(I128)))),"Enter leave from and to",IF(AND(ISNUMBER(F128),ISNUMBER(G128),G128&lt;=F128),"End is before start",IF(AND(ISNUMBER(H128),ISNUMBER(I128),I128&lt;=H128),"Leave end is before start",IF(AND(ISNUMBER(F128),ISNUMBER(G128),ISNUMBER(H128),ISNUMBER(I128),F128&lt;I128,H128&lt;G128),"Work and leave hours overlap",IF(AND(E128&lt;&gt;"",WEEKDAY(A128)=7),"Saturday - administrator only","")))))))</f>
        <v/>
      </c>
      <c r="T128" s="36" t="n">
        <f aca="false">MONTH(A128)</f>
        <v>5</v>
      </c>
      <c r="U128" s="37" t="b">
        <f aca="false">OR(C128="Workday",C128="Eve")</f>
        <v>0</v>
      </c>
      <c r="V128" s="34" t="n">
        <f aca="false">IF(C128="Eve",Settings!$B$8,Settings!$B$7)</f>
        <v>0.6875</v>
      </c>
      <c r="W128" s="14" t="n">
        <f aca="false">IF(U128,(V128-Settings!$B$6)*24,0)</f>
        <v>0</v>
      </c>
    </row>
    <row r="129" customFormat="false" ht="15" hidden="false" customHeight="false" outlineLevel="0" collapsed="false">
      <c r="A129" s="29" t="n">
        <v>46145</v>
      </c>
      <c r="B129" s="30" t="str">
        <f aca="false">CHOOSE(WEEKDAY(A129),"Sun","Mon","Tue","Wed","Thu","Fri","Sat")</f>
        <v>Sun</v>
      </c>
      <c r="C129" s="30" t="str">
        <f aca="false">IF(IFERROR(INDEX(Holidays!$D$5:$D$60,MATCH(A129,Holidays!$A$5:$A$60,0)),"")="Holiday","Holiday",IF(WEEKDAY(A129)&gt;=6,"Weekend",IF(IFERROR(INDEX(Holidays!$D$5:$D$60,MATCH(A129,Holidays!$A$5:$A$60,0)),"")="Eve","Eve","Workday")))</f>
        <v>Workday</v>
      </c>
      <c r="D129" s="18" t="str">
        <f aca="false">IFERROR(INDEX(Holidays!$C$5:$C$60,MATCH(A129,Holidays!$A$5:$A$60,0)),"")</f>
        <v/>
      </c>
      <c r="E129" s="31"/>
      <c r="F129" s="32"/>
      <c r="G129" s="32"/>
      <c r="H129" s="32"/>
      <c r="I129" s="32"/>
      <c r="J129" s="31"/>
      <c r="K129" s="33" t="str">
        <f aca="false">IF(E129&lt;&gt;"",E129,IF(U129,"Present",IF(C129="Holiday","Holiday","Weekend")))</f>
        <v>Present</v>
      </c>
      <c r="L129" s="34" t="n">
        <f aca="false">IF(OR(K129="Present",K129="Manual Work",K129="Partial Vacation",K129="Partial Sick Leave"),IF(ISNUMBER(F129),F129,IF(AND(K129="Present",U129),Settings!$B$6,"")),"")</f>
        <v>0.333333333333333</v>
      </c>
      <c r="M129" s="34" t="n">
        <f aca="false">IF(OR(K129="Present",K129="Manual Work",K129="Partial Vacation",K129="Partial Sick Leave"),IF(ISNUMBER(G129),G129,IF(AND(K129="Present",U129),V129,"")),"")</f>
        <v>0.6875</v>
      </c>
      <c r="N129" s="14" t="n">
        <f aca="false">IF(AND(ISNUMBER(L129),ISNUMBER(M129)),MAX(0,(M129-L129)*24),0)</f>
        <v>8.5</v>
      </c>
      <c r="O129" s="14" t="n">
        <f aca="false">IF(NOT(U129),0,IF(K129="Vacation",IF(C129="Eve",Settings!$B$9*Settings!$B$11,W129),IF(K129="Partial Vacation",IF(AND(ISNUMBER(H129),ISNUMBER(I129)),MAX(0,(I129-H129)*24),0),0)))</f>
        <v>0</v>
      </c>
      <c r="P129" s="14" t="n">
        <f aca="false">IF(NOT(U129),0,IF(K129="Sick Leave",W129,IF(K129="Partial Sick Leave",IF(AND(ISNUMBER(H129),ISNUMBER(I129)),MAX(0,(I129-H129)*24),0),0)))</f>
        <v>0</v>
      </c>
      <c r="Q129" s="14" t="n">
        <f aca="false">IF(NOT(U129),0,IF(K129="Vacation",IF(C129="Eve",Settings!$B$11,1),IF(K129="Partial Vacation",O129/Settings!$B$9,0)))</f>
        <v>0</v>
      </c>
      <c r="R129" s="14" t="n">
        <f aca="false">IF(NOT(U129),0,IF(K129="Sick Leave",1,IF(K129="Partial Sick Leave",P129/Settings!$B$9,0)))</f>
        <v>0</v>
      </c>
      <c r="S129" s="35" t="str">
        <f aca="false">IF(AND(OR(E129="Vacation",E129="Sick Leave",E129="Partial Vacation",E129="Partial Sick Leave"),NOT(U129)),"Leave not allowed on this day",IF(AND(E129="Manual Work",OR(NOT(ISNUMBER(F129)),NOT(ISNUMBER(G129)))),"Enter start and end",IF(AND(OR(E129="Partial Vacation",E129="Partial Sick Leave"),OR(NOT(ISNUMBER(H129)),NOT(ISNUMBER(I129)))),"Enter leave from and to",IF(AND(ISNUMBER(F129),ISNUMBER(G129),G129&lt;=F129),"End is before start",IF(AND(ISNUMBER(H129),ISNUMBER(I129),I129&lt;=H129),"Leave end is before start",IF(AND(ISNUMBER(F129),ISNUMBER(G129),ISNUMBER(H129),ISNUMBER(I129),F129&lt;I129,H129&lt;G129),"Work and leave hours overlap",IF(AND(E129&lt;&gt;"",WEEKDAY(A129)=7),"Saturday - administrator only","")))))))</f>
        <v/>
      </c>
      <c r="T129" s="36" t="n">
        <f aca="false">MONTH(A129)</f>
        <v>5</v>
      </c>
      <c r="U129" s="37" t="b">
        <f aca="false">OR(C129="Workday",C129="Eve")</f>
        <v>1</v>
      </c>
      <c r="V129" s="34" t="n">
        <f aca="false">IF(C129="Eve",Settings!$B$8,Settings!$B$7)</f>
        <v>0.6875</v>
      </c>
      <c r="W129" s="14" t="n">
        <f aca="false">IF(U129,(V129-Settings!$B$6)*24,0)</f>
        <v>8.5</v>
      </c>
    </row>
    <row r="130" customFormat="false" ht="15" hidden="false" customHeight="false" outlineLevel="0" collapsed="false">
      <c r="A130" s="29" t="n">
        <v>46146</v>
      </c>
      <c r="B130" s="30" t="str">
        <f aca="false">CHOOSE(WEEKDAY(A130),"Sun","Mon","Tue","Wed","Thu","Fri","Sat")</f>
        <v>Mon</v>
      </c>
      <c r="C130" s="30" t="str">
        <f aca="false">IF(IFERROR(INDEX(Holidays!$D$5:$D$60,MATCH(A130,Holidays!$A$5:$A$60,0)),"")="Holiday","Holiday",IF(WEEKDAY(A130)&gt;=6,"Weekend",IF(IFERROR(INDEX(Holidays!$D$5:$D$60,MATCH(A130,Holidays!$A$5:$A$60,0)),"")="Eve","Eve","Workday")))</f>
        <v>Workday</v>
      </c>
      <c r="D130" s="18" t="str">
        <f aca="false">IFERROR(INDEX(Holidays!$C$5:$C$60,MATCH(A130,Holidays!$A$5:$A$60,0)),"")</f>
        <v/>
      </c>
      <c r="E130" s="31"/>
      <c r="F130" s="32"/>
      <c r="G130" s="32"/>
      <c r="H130" s="32"/>
      <c r="I130" s="32"/>
      <c r="J130" s="31"/>
      <c r="K130" s="33" t="str">
        <f aca="false">IF(E130&lt;&gt;"",E130,IF(U130,"Present",IF(C130="Holiday","Holiday","Weekend")))</f>
        <v>Present</v>
      </c>
      <c r="L130" s="34" t="n">
        <f aca="false">IF(OR(K130="Present",K130="Manual Work",K130="Partial Vacation",K130="Partial Sick Leave"),IF(ISNUMBER(F130),F130,IF(AND(K130="Present",U130),Settings!$B$6,"")),"")</f>
        <v>0.333333333333333</v>
      </c>
      <c r="M130" s="34" t="n">
        <f aca="false">IF(OR(K130="Present",K130="Manual Work",K130="Partial Vacation",K130="Partial Sick Leave"),IF(ISNUMBER(G130),G130,IF(AND(K130="Present",U130),V130,"")),"")</f>
        <v>0.6875</v>
      </c>
      <c r="N130" s="14" t="n">
        <f aca="false">IF(AND(ISNUMBER(L130),ISNUMBER(M130)),MAX(0,(M130-L130)*24),0)</f>
        <v>8.5</v>
      </c>
      <c r="O130" s="14" t="n">
        <f aca="false">IF(NOT(U130),0,IF(K130="Vacation",IF(C130="Eve",Settings!$B$9*Settings!$B$11,W130),IF(K130="Partial Vacation",IF(AND(ISNUMBER(H130),ISNUMBER(I130)),MAX(0,(I130-H130)*24),0),0)))</f>
        <v>0</v>
      </c>
      <c r="P130" s="14" t="n">
        <f aca="false">IF(NOT(U130),0,IF(K130="Sick Leave",W130,IF(K130="Partial Sick Leave",IF(AND(ISNUMBER(H130),ISNUMBER(I130)),MAX(0,(I130-H130)*24),0),0)))</f>
        <v>0</v>
      </c>
      <c r="Q130" s="14" t="n">
        <f aca="false">IF(NOT(U130),0,IF(K130="Vacation",IF(C130="Eve",Settings!$B$11,1),IF(K130="Partial Vacation",O130/Settings!$B$9,0)))</f>
        <v>0</v>
      </c>
      <c r="R130" s="14" t="n">
        <f aca="false">IF(NOT(U130),0,IF(K130="Sick Leave",1,IF(K130="Partial Sick Leave",P130/Settings!$B$9,0)))</f>
        <v>0</v>
      </c>
      <c r="S130" s="35" t="str">
        <f aca="false">IF(AND(OR(E130="Vacation",E130="Sick Leave",E130="Partial Vacation",E130="Partial Sick Leave"),NOT(U130)),"Leave not allowed on this day",IF(AND(E130="Manual Work",OR(NOT(ISNUMBER(F130)),NOT(ISNUMBER(G130)))),"Enter start and end",IF(AND(OR(E130="Partial Vacation",E130="Partial Sick Leave"),OR(NOT(ISNUMBER(H130)),NOT(ISNUMBER(I130)))),"Enter leave from and to",IF(AND(ISNUMBER(F130),ISNUMBER(G130),G130&lt;=F130),"End is before start",IF(AND(ISNUMBER(H130),ISNUMBER(I130),I130&lt;=H130),"Leave end is before start",IF(AND(ISNUMBER(F130),ISNUMBER(G130),ISNUMBER(H130),ISNUMBER(I130),F130&lt;I130,H130&lt;G130),"Work and leave hours overlap",IF(AND(E130&lt;&gt;"",WEEKDAY(A130)=7),"Saturday - administrator only","")))))))</f>
        <v/>
      </c>
      <c r="T130" s="36" t="n">
        <f aca="false">MONTH(A130)</f>
        <v>5</v>
      </c>
      <c r="U130" s="37" t="b">
        <f aca="false">OR(C130="Workday",C130="Eve")</f>
        <v>1</v>
      </c>
      <c r="V130" s="34" t="n">
        <f aca="false">IF(C130="Eve",Settings!$B$8,Settings!$B$7)</f>
        <v>0.6875</v>
      </c>
      <c r="W130" s="14" t="n">
        <f aca="false">IF(U130,(V130-Settings!$B$6)*24,0)</f>
        <v>8.5</v>
      </c>
    </row>
    <row r="131" customFormat="false" ht="15" hidden="false" customHeight="false" outlineLevel="0" collapsed="false">
      <c r="A131" s="29" t="n">
        <v>46147</v>
      </c>
      <c r="B131" s="30" t="str">
        <f aca="false">CHOOSE(WEEKDAY(A131),"Sun","Mon","Tue","Wed","Thu","Fri","Sat")</f>
        <v>Tue</v>
      </c>
      <c r="C131" s="30" t="str">
        <f aca="false">IF(IFERROR(INDEX(Holidays!$D$5:$D$60,MATCH(A131,Holidays!$A$5:$A$60,0)),"")="Holiday","Holiday",IF(WEEKDAY(A131)&gt;=6,"Weekend",IF(IFERROR(INDEX(Holidays!$D$5:$D$60,MATCH(A131,Holidays!$A$5:$A$60,0)),"")="Eve","Eve","Workday")))</f>
        <v>Workday</v>
      </c>
      <c r="D131" s="18" t="str">
        <f aca="false">IFERROR(INDEX(Holidays!$C$5:$C$60,MATCH(A131,Holidays!$A$5:$A$60,0)),"")</f>
        <v/>
      </c>
      <c r="E131" s="31"/>
      <c r="F131" s="32"/>
      <c r="G131" s="32"/>
      <c r="H131" s="32"/>
      <c r="I131" s="32"/>
      <c r="J131" s="31"/>
      <c r="K131" s="33" t="str">
        <f aca="false">IF(E131&lt;&gt;"",E131,IF(U131,"Present",IF(C131="Holiday","Holiday","Weekend")))</f>
        <v>Present</v>
      </c>
      <c r="L131" s="34" t="n">
        <f aca="false">IF(OR(K131="Present",K131="Manual Work",K131="Partial Vacation",K131="Partial Sick Leave"),IF(ISNUMBER(F131),F131,IF(AND(K131="Present",U131),Settings!$B$6,"")),"")</f>
        <v>0.333333333333333</v>
      </c>
      <c r="M131" s="34" t="n">
        <f aca="false">IF(OR(K131="Present",K131="Manual Work",K131="Partial Vacation",K131="Partial Sick Leave"),IF(ISNUMBER(G131),G131,IF(AND(K131="Present",U131),V131,"")),"")</f>
        <v>0.6875</v>
      </c>
      <c r="N131" s="14" t="n">
        <f aca="false">IF(AND(ISNUMBER(L131),ISNUMBER(M131)),MAX(0,(M131-L131)*24),0)</f>
        <v>8.5</v>
      </c>
      <c r="O131" s="14" t="n">
        <f aca="false">IF(NOT(U131),0,IF(K131="Vacation",IF(C131="Eve",Settings!$B$9*Settings!$B$11,W131),IF(K131="Partial Vacation",IF(AND(ISNUMBER(H131),ISNUMBER(I131)),MAX(0,(I131-H131)*24),0),0)))</f>
        <v>0</v>
      </c>
      <c r="P131" s="14" t="n">
        <f aca="false">IF(NOT(U131),0,IF(K131="Sick Leave",W131,IF(K131="Partial Sick Leave",IF(AND(ISNUMBER(H131),ISNUMBER(I131)),MAX(0,(I131-H131)*24),0),0)))</f>
        <v>0</v>
      </c>
      <c r="Q131" s="14" t="n">
        <f aca="false">IF(NOT(U131),0,IF(K131="Vacation",IF(C131="Eve",Settings!$B$11,1),IF(K131="Partial Vacation",O131/Settings!$B$9,0)))</f>
        <v>0</v>
      </c>
      <c r="R131" s="14" t="n">
        <f aca="false">IF(NOT(U131),0,IF(K131="Sick Leave",1,IF(K131="Partial Sick Leave",P131/Settings!$B$9,0)))</f>
        <v>0</v>
      </c>
      <c r="S131" s="35" t="str">
        <f aca="false">IF(AND(OR(E131="Vacation",E131="Sick Leave",E131="Partial Vacation",E131="Partial Sick Leave"),NOT(U131)),"Leave not allowed on this day",IF(AND(E131="Manual Work",OR(NOT(ISNUMBER(F131)),NOT(ISNUMBER(G131)))),"Enter start and end",IF(AND(OR(E131="Partial Vacation",E131="Partial Sick Leave"),OR(NOT(ISNUMBER(H131)),NOT(ISNUMBER(I131)))),"Enter leave from and to",IF(AND(ISNUMBER(F131),ISNUMBER(G131),G131&lt;=F131),"End is before start",IF(AND(ISNUMBER(H131),ISNUMBER(I131),I131&lt;=H131),"Leave end is before start",IF(AND(ISNUMBER(F131),ISNUMBER(G131),ISNUMBER(H131),ISNUMBER(I131),F131&lt;I131,H131&lt;G131),"Work and leave hours overlap",IF(AND(E131&lt;&gt;"",WEEKDAY(A131)=7),"Saturday - administrator only","")))))))</f>
        <v/>
      </c>
      <c r="T131" s="36" t="n">
        <f aca="false">MONTH(A131)</f>
        <v>5</v>
      </c>
      <c r="U131" s="37" t="b">
        <f aca="false">OR(C131="Workday",C131="Eve")</f>
        <v>1</v>
      </c>
      <c r="V131" s="34" t="n">
        <f aca="false">IF(C131="Eve",Settings!$B$8,Settings!$B$7)</f>
        <v>0.6875</v>
      </c>
      <c r="W131" s="14" t="n">
        <f aca="false">IF(U131,(V131-Settings!$B$6)*24,0)</f>
        <v>8.5</v>
      </c>
    </row>
    <row r="132" customFormat="false" ht="15" hidden="false" customHeight="false" outlineLevel="0" collapsed="false">
      <c r="A132" s="29" t="n">
        <v>46148</v>
      </c>
      <c r="B132" s="30" t="str">
        <f aca="false">CHOOSE(WEEKDAY(A132),"Sun","Mon","Tue","Wed","Thu","Fri","Sat")</f>
        <v>Wed</v>
      </c>
      <c r="C132" s="30" t="str">
        <f aca="false">IF(IFERROR(INDEX(Holidays!$D$5:$D$60,MATCH(A132,Holidays!$A$5:$A$60,0)),"")="Holiday","Holiday",IF(WEEKDAY(A132)&gt;=6,"Weekend",IF(IFERROR(INDEX(Holidays!$D$5:$D$60,MATCH(A132,Holidays!$A$5:$A$60,0)),"")="Eve","Eve","Workday")))</f>
        <v>Workday</v>
      </c>
      <c r="D132" s="18" t="str">
        <f aca="false">IFERROR(INDEX(Holidays!$C$5:$C$60,MATCH(A132,Holidays!$A$5:$A$60,0)),"")</f>
        <v/>
      </c>
      <c r="E132" s="31"/>
      <c r="F132" s="32"/>
      <c r="G132" s="32"/>
      <c r="H132" s="32"/>
      <c r="I132" s="32"/>
      <c r="J132" s="31"/>
      <c r="K132" s="33" t="str">
        <f aca="false">IF(E132&lt;&gt;"",E132,IF(U132,"Present",IF(C132="Holiday","Holiday","Weekend")))</f>
        <v>Present</v>
      </c>
      <c r="L132" s="34" t="n">
        <f aca="false">IF(OR(K132="Present",K132="Manual Work",K132="Partial Vacation",K132="Partial Sick Leave"),IF(ISNUMBER(F132),F132,IF(AND(K132="Present",U132),Settings!$B$6,"")),"")</f>
        <v>0.333333333333333</v>
      </c>
      <c r="M132" s="34" t="n">
        <f aca="false">IF(OR(K132="Present",K132="Manual Work",K132="Partial Vacation",K132="Partial Sick Leave"),IF(ISNUMBER(G132),G132,IF(AND(K132="Present",U132),V132,"")),"")</f>
        <v>0.6875</v>
      </c>
      <c r="N132" s="14" t="n">
        <f aca="false">IF(AND(ISNUMBER(L132),ISNUMBER(M132)),MAX(0,(M132-L132)*24),0)</f>
        <v>8.5</v>
      </c>
      <c r="O132" s="14" t="n">
        <f aca="false">IF(NOT(U132),0,IF(K132="Vacation",IF(C132="Eve",Settings!$B$9*Settings!$B$11,W132),IF(K132="Partial Vacation",IF(AND(ISNUMBER(H132),ISNUMBER(I132)),MAX(0,(I132-H132)*24),0),0)))</f>
        <v>0</v>
      </c>
      <c r="P132" s="14" t="n">
        <f aca="false">IF(NOT(U132),0,IF(K132="Sick Leave",W132,IF(K132="Partial Sick Leave",IF(AND(ISNUMBER(H132),ISNUMBER(I132)),MAX(0,(I132-H132)*24),0),0)))</f>
        <v>0</v>
      </c>
      <c r="Q132" s="14" t="n">
        <f aca="false">IF(NOT(U132),0,IF(K132="Vacation",IF(C132="Eve",Settings!$B$11,1),IF(K132="Partial Vacation",O132/Settings!$B$9,0)))</f>
        <v>0</v>
      </c>
      <c r="R132" s="14" t="n">
        <f aca="false">IF(NOT(U132),0,IF(K132="Sick Leave",1,IF(K132="Partial Sick Leave",P132/Settings!$B$9,0)))</f>
        <v>0</v>
      </c>
      <c r="S132" s="35" t="str">
        <f aca="false">IF(AND(OR(E132="Vacation",E132="Sick Leave",E132="Partial Vacation",E132="Partial Sick Leave"),NOT(U132)),"Leave not allowed on this day",IF(AND(E132="Manual Work",OR(NOT(ISNUMBER(F132)),NOT(ISNUMBER(G132)))),"Enter start and end",IF(AND(OR(E132="Partial Vacation",E132="Partial Sick Leave"),OR(NOT(ISNUMBER(H132)),NOT(ISNUMBER(I132)))),"Enter leave from and to",IF(AND(ISNUMBER(F132),ISNUMBER(G132),G132&lt;=F132),"End is before start",IF(AND(ISNUMBER(H132),ISNUMBER(I132),I132&lt;=H132),"Leave end is before start",IF(AND(ISNUMBER(F132),ISNUMBER(G132),ISNUMBER(H132),ISNUMBER(I132),F132&lt;I132,H132&lt;G132),"Work and leave hours overlap",IF(AND(E132&lt;&gt;"",WEEKDAY(A132)=7),"Saturday - administrator only","")))))))</f>
        <v/>
      </c>
      <c r="T132" s="36" t="n">
        <f aca="false">MONTH(A132)</f>
        <v>5</v>
      </c>
      <c r="U132" s="37" t="b">
        <f aca="false">OR(C132="Workday",C132="Eve")</f>
        <v>1</v>
      </c>
      <c r="V132" s="34" t="n">
        <f aca="false">IF(C132="Eve",Settings!$B$8,Settings!$B$7)</f>
        <v>0.6875</v>
      </c>
      <c r="W132" s="14" t="n">
        <f aca="false">IF(U132,(V132-Settings!$B$6)*24,0)</f>
        <v>8.5</v>
      </c>
    </row>
    <row r="133" customFormat="false" ht="15" hidden="false" customHeight="false" outlineLevel="0" collapsed="false">
      <c r="A133" s="29" t="n">
        <v>46149</v>
      </c>
      <c r="B133" s="30" t="str">
        <f aca="false">CHOOSE(WEEKDAY(A133),"Sun","Mon","Tue","Wed","Thu","Fri","Sat")</f>
        <v>Thu</v>
      </c>
      <c r="C133" s="30" t="str">
        <f aca="false">IF(IFERROR(INDEX(Holidays!$D$5:$D$60,MATCH(A133,Holidays!$A$5:$A$60,0)),"")="Holiday","Holiday",IF(WEEKDAY(A133)&gt;=6,"Weekend",IF(IFERROR(INDEX(Holidays!$D$5:$D$60,MATCH(A133,Holidays!$A$5:$A$60,0)),"")="Eve","Eve","Workday")))</f>
        <v>Workday</v>
      </c>
      <c r="D133" s="18" t="str">
        <f aca="false">IFERROR(INDEX(Holidays!$C$5:$C$60,MATCH(A133,Holidays!$A$5:$A$60,0)),"")</f>
        <v/>
      </c>
      <c r="E133" s="31"/>
      <c r="F133" s="32"/>
      <c r="G133" s="32"/>
      <c r="H133" s="32"/>
      <c r="I133" s="32"/>
      <c r="J133" s="31"/>
      <c r="K133" s="33" t="str">
        <f aca="false">IF(E133&lt;&gt;"",E133,IF(U133,"Present",IF(C133="Holiday","Holiday","Weekend")))</f>
        <v>Present</v>
      </c>
      <c r="L133" s="34" t="n">
        <f aca="false">IF(OR(K133="Present",K133="Manual Work",K133="Partial Vacation",K133="Partial Sick Leave"),IF(ISNUMBER(F133),F133,IF(AND(K133="Present",U133),Settings!$B$6,"")),"")</f>
        <v>0.333333333333333</v>
      </c>
      <c r="M133" s="34" t="n">
        <f aca="false">IF(OR(K133="Present",K133="Manual Work",K133="Partial Vacation",K133="Partial Sick Leave"),IF(ISNUMBER(G133),G133,IF(AND(K133="Present",U133),V133,"")),"")</f>
        <v>0.6875</v>
      </c>
      <c r="N133" s="14" t="n">
        <f aca="false">IF(AND(ISNUMBER(L133),ISNUMBER(M133)),MAX(0,(M133-L133)*24),0)</f>
        <v>8.5</v>
      </c>
      <c r="O133" s="14" t="n">
        <f aca="false">IF(NOT(U133),0,IF(K133="Vacation",IF(C133="Eve",Settings!$B$9*Settings!$B$11,W133),IF(K133="Partial Vacation",IF(AND(ISNUMBER(H133),ISNUMBER(I133)),MAX(0,(I133-H133)*24),0),0)))</f>
        <v>0</v>
      </c>
      <c r="P133" s="14" t="n">
        <f aca="false">IF(NOT(U133),0,IF(K133="Sick Leave",W133,IF(K133="Partial Sick Leave",IF(AND(ISNUMBER(H133),ISNUMBER(I133)),MAX(0,(I133-H133)*24),0),0)))</f>
        <v>0</v>
      </c>
      <c r="Q133" s="14" t="n">
        <f aca="false">IF(NOT(U133),0,IF(K133="Vacation",IF(C133="Eve",Settings!$B$11,1),IF(K133="Partial Vacation",O133/Settings!$B$9,0)))</f>
        <v>0</v>
      </c>
      <c r="R133" s="14" t="n">
        <f aca="false">IF(NOT(U133),0,IF(K133="Sick Leave",1,IF(K133="Partial Sick Leave",P133/Settings!$B$9,0)))</f>
        <v>0</v>
      </c>
      <c r="S133" s="35" t="str">
        <f aca="false">IF(AND(OR(E133="Vacation",E133="Sick Leave",E133="Partial Vacation",E133="Partial Sick Leave"),NOT(U133)),"Leave not allowed on this day",IF(AND(E133="Manual Work",OR(NOT(ISNUMBER(F133)),NOT(ISNUMBER(G133)))),"Enter start and end",IF(AND(OR(E133="Partial Vacation",E133="Partial Sick Leave"),OR(NOT(ISNUMBER(H133)),NOT(ISNUMBER(I133)))),"Enter leave from and to",IF(AND(ISNUMBER(F133),ISNUMBER(G133),G133&lt;=F133),"End is before start",IF(AND(ISNUMBER(H133),ISNUMBER(I133),I133&lt;=H133),"Leave end is before start",IF(AND(ISNUMBER(F133),ISNUMBER(G133),ISNUMBER(H133),ISNUMBER(I133),F133&lt;I133,H133&lt;G133),"Work and leave hours overlap",IF(AND(E133&lt;&gt;"",WEEKDAY(A133)=7),"Saturday - administrator only","")))))))</f>
        <v/>
      </c>
      <c r="T133" s="36" t="n">
        <f aca="false">MONTH(A133)</f>
        <v>5</v>
      </c>
      <c r="U133" s="37" t="b">
        <f aca="false">OR(C133="Workday",C133="Eve")</f>
        <v>1</v>
      </c>
      <c r="V133" s="34" t="n">
        <f aca="false">IF(C133="Eve",Settings!$B$8,Settings!$B$7)</f>
        <v>0.6875</v>
      </c>
      <c r="W133" s="14" t="n">
        <f aca="false">IF(U133,(V133-Settings!$B$6)*24,0)</f>
        <v>8.5</v>
      </c>
    </row>
    <row r="134" customFormat="false" ht="15" hidden="false" customHeight="false" outlineLevel="0" collapsed="false">
      <c r="A134" s="29" t="n">
        <v>46150</v>
      </c>
      <c r="B134" s="30" t="str">
        <f aca="false">CHOOSE(WEEKDAY(A134),"Sun","Mon","Tue","Wed","Thu","Fri","Sat")</f>
        <v>Fri</v>
      </c>
      <c r="C134" s="30" t="str">
        <f aca="false">IF(IFERROR(INDEX(Holidays!$D$5:$D$60,MATCH(A134,Holidays!$A$5:$A$60,0)),"")="Holiday","Holiday",IF(WEEKDAY(A134)&gt;=6,"Weekend",IF(IFERROR(INDEX(Holidays!$D$5:$D$60,MATCH(A134,Holidays!$A$5:$A$60,0)),"")="Eve","Eve","Workday")))</f>
        <v>Weekend</v>
      </c>
      <c r="D134" s="18" t="str">
        <f aca="false">IFERROR(INDEX(Holidays!$C$5:$C$60,MATCH(A134,Holidays!$A$5:$A$60,0)),"")</f>
        <v/>
      </c>
      <c r="E134" s="31"/>
      <c r="F134" s="32"/>
      <c r="G134" s="32"/>
      <c r="H134" s="32"/>
      <c r="I134" s="32"/>
      <c r="J134" s="31"/>
      <c r="K134" s="33" t="str">
        <f aca="false">IF(E134&lt;&gt;"",E134,IF(U134,"Present",IF(C134="Holiday","Holiday","Weekend")))</f>
        <v>Weekend</v>
      </c>
      <c r="L134" s="34" t="str">
        <f aca="false">IF(OR(K134="Present",K134="Manual Work",K134="Partial Vacation",K134="Partial Sick Leave"),IF(ISNUMBER(F134),F134,IF(AND(K134="Present",U134),Settings!$B$6,"")),"")</f>
        <v/>
      </c>
      <c r="M134" s="34" t="str">
        <f aca="false">IF(OR(K134="Present",K134="Manual Work",K134="Partial Vacation",K134="Partial Sick Leave"),IF(ISNUMBER(G134),G134,IF(AND(K134="Present",U134),V134,"")),"")</f>
        <v/>
      </c>
      <c r="N134" s="14" t="n">
        <f aca="false">IF(AND(ISNUMBER(L134),ISNUMBER(M134)),MAX(0,(M134-L134)*24),0)</f>
        <v>0</v>
      </c>
      <c r="O134" s="14" t="n">
        <f aca="false">IF(NOT(U134),0,IF(K134="Vacation",IF(C134="Eve",Settings!$B$9*Settings!$B$11,W134),IF(K134="Partial Vacation",IF(AND(ISNUMBER(H134),ISNUMBER(I134)),MAX(0,(I134-H134)*24),0),0)))</f>
        <v>0</v>
      </c>
      <c r="P134" s="14" t="n">
        <f aca="false">IF(NOT(U134),0,IF(K134="Sick Leave",W134,IF(K134="Partial Sick Leave",IF(AND(ISNUMBER(H134),ISNUMBER(I134)),MAX(0,(I134-H134)*24),0),0)))</f>
        <v>0</v>
      </c>
      <c r="Q134" s="14" t="n">
        <f aca="false">IF(NOT(U134),0,IF(K134="Vacation",IF(C134="Eve",Settings!$B$11,1),IF(K134="Partial Vacation",O134/Settings!$B$9,0)))</f>
        <v>0</v>
      </c>
      <c r="R134" s="14" t="n">
        <f aca="false">IF(NOT(U134),0,IF(K134="Sick Leave",1,IF(K134="Partial Sick Leave",P134/Settings!$B$9,0)))</f>
        <v>0</v>
      </c>
      <c r="S134" s="35" t="str">
        <f aca="false">IF(AND(OR(E134="Vacation",E134="Sick Leave",E134="Partial Vacation",E134="Partial Sick Leave"),NOT(U134)),"Leave not allowed on this day",IF(AND(E134="Manual Work",OR(NOT(ISNUMBER(F134)),NOT(ISNUMBER(G134)))),"Enter start and end",IF(AND(OR(E134="Partial Vacation",E134="Partial Sick Leave"),OR(NOT(ISNUMBER(H134)),NOT(ISNUMBER(I134)))),"Enter leave from and to",IF(AND(ISNUMBER(F134),ISNUMBER(G134),G134&lt;=F134),"End is before start",IF(AND(ISNUMBER(H134),ISNUMBER(I134),I134&lt;=H134),"Leave end is before start",IF(AND(ISNUMBER(F134),ISNUMBER(G134),ISNUMBER(H134),ISNUMBER(I134),F134&lt;I134,H134&lt;G134),"Work and leave hours overlap",IF(AND(E134&lt;&gt;"",WEEKDAY(A134)=7),"Saturday - administrator only","")))))))</f>
        <v/>
      </c>
      <c r="T134" s="36" t="n">
        <f aca="false">MONTH(A134)</f>
        <v>5</v>
      </c>
      <c r="U134" s="37" t="b">
        <f aca="false">OR(C134="Workday",C134="Eve")</f>
        <v>0</v>
      </c>
      <c r="V134" s="34" t="n">
        <f aca="false">IF(C134="Eve",Settings!$B$8,Settings!$B$7)</f>
        <v>0.6875</v>
      </c>
      <c r="W134" s="14" t="n">
        <f aca="false">IF(U134,(V134-Settings!$B$6)*24,0)</f>
        <v>0</v>
      </c>
    </row>
    <row r="135" customFormat="false" ht="15" hidden="false" customHeight="false" outlineLevel="0" collapsed="false">
      <c r="A135" s="29" t="n">
        <v>46151</v>
      </c>
      <c r="B135" s="30" t="str">
        <f aca="false">CHOOSE(WEEKDAY(A135),"Sun","Mon","Tue","Wed","Thu","Fri","Sat")</f>
        <v>Sat</v>
      </c>
      <c r="C135" s="30" t="str">
        <f aca="false">IF(IFERROR(INDEX(Holidays!$D$5:$D$60,MATCH(A135,Holidays!$A$5:$A$60,0)),"")="Holiday","Holiday",IF(WEEKDAY(A135)&gt;=6,"Weekend",IF(IFERROR(INDEX(Holidays!$D$5:$D$60,MATCH(A135,Holidays!$A$5:$A$60,0)),"")="Eve","Eve","Workday")))</f>
        <v>Weekend</v>
      </c>
      <c r="D135" s="18" t="str">
        <f aca="false">IFERROR(INDEX(Holidays!$C$5:$C$60,MATCH(A135,Holidays!$A$5:$A$60,0)),"")</f>
        <v/>
      </c>
      <c r="E135" s="31"/>
      <c r="F135" s="32"/>
      <c r="G135" s="32"/>
      <c r="H135" s="32"/>
      <c r="I135" s="32"/>
      <c r="J135" s="31"/>
      <c r="K135" s="33" t="str">
        <f aca="false">IF(E135&lt;&gt;"",E135,IF(U135,"Present",IF(C135="Holiday","Holiday","Weekend")))</f>
        <v>Weekend</v>
      </c>
      <c r="L135" s="34" t="str">
        <f aca="false">IF(OR(K135="Present",K135="Manual Work",K135="Partial Vacation",K135="Partial Sick Leave"),IF(ISNUMBER(F135),F135,IF(AND(K135="Present",U135),Settings!$B$6,"")),"")</f>
        <v/>
      </c>
      <c r="M135" s="34" t="str">
        <f aca="false">IF(OR(K135="Present",K135="Manual Work",K135="Partial Vacation",K135="Partial Sick Leave"),IF(ISNUMBER(G135),G135,IF(AND(K135="Present",U135),V135,"")),"")</f>
        <v/>
      </c>
      <c r="N135" s="14" t="n">
        <f aca="false">IF(AND(ISNUMBER(L135),ISNUMBER(M135)),MAX(0,(M135-L135)*24),0)</f>
        <v>0</v>
      </c>
      <c r="O135" s="14" t="n">
        <f aca="false">IF(NOT(U135),0,IF(K135="Vacation",IF(C135="Eve",Settings!$B$9*Settings!$B$11,W135),IF(K135="Partial Vacation",IF(AND(ISNUMBER(H135),ISNUMBER(I135)),MAX(0,(I135-H135)*24),0),0)))</f>
        <v>0</v>
      </c>
      <c r="P135" s="14" t="n">
        <f aca="false">IF(NOT(U135),0,IF(K135="Sick Leave",W135,IF(K135="Partial Sick Leave",IF(AND(ISNUMBER(H135),ISNUMBER(I135)),MAX(0,(I135-H135)*24),0),0)))</f>
        <v>0</v>
      </c>
      <c r="Q135" s="14" t="n">
        <f aca="false">IF(NOT(U135),0,IF(K135="Vacation",IF(C135="Eve",Settings!$B$11,1),IF(K135="Partial Vacation",O135/Settings!$B$9,0)))</f>
        <v>0</v>
      </c>
      <c r="R135" s="14" t="n">
        <f aca="false">IF(NOT(U135),0,IF(K135="Sick Leave",1,IF(K135="Partial Sick Leave",P135/Settings!$B$9,0)))</f>
        <v>0</v>
      </c>
      <c r="S135" s="35" t="str">
        <f aca="false">IF(AND(OR(E135="Vacation",E135="Sick Leave",E135="Partial Vacation",E135="Partial Sick Leave"),NOT(U135)),"Leave not allowed on this day",IF(AND(E135="Manual Work",OR(NOT(ISNUMBER(F135)),NOT(ISNUMBER(G135)))),"Enter start and end",IF(AND(OR(E135="Partial Vacation",E135="Partial Sick Leave"),OR(NOT(ISNUMBER(H135)),NOT(ISNUMBER(I135)))),"Enter leave from and to",IF(AND(ISNUMBER(F135),ISNUMBER(G135),G135&lt;=F135),"End is before start",IF(AND(ISNUMBER(H135),ISNUMBER(I135),I135&lt;=H135),"Leave end is before start",IF(AND(ISNUMBER(F135),ISNUMBER(G135),ISNUMBER(H135),ISNUMBER(I135),F135&lt;I135,H135&lt;G135),"Work and leave hours overlap",IF(AND(E135&lt;&gt;"",WEEKDAY(A135)=7),"Saturday - administrator only","")))))))</f>
        <v/>
      </c>
      <c r="T135" s="36" t="n">
        <f aca="false">MONTH(A135)</f>
        <v>5</v>
      </c>
      <c r="U135" s="37" t="b">
        <f aca="false">OR(C135="Workday",C135="Eve")</f>
        <v>0</v>
      </c>
      <c r="V135" s="34" t="n">
        <f aca="false">IF(C135="Eve",Settings!$B$8,Settings!$B$7)</f>
        <v>0.6875</v>
      </c>
      <c r="W135" s="14" t="n">
        <f aca="false">IF(U135,(V135-Settings!$B$6)*24,0)</f>
        <v>0</v>
      </c>
    </row>
    <row r="136" customFormat="false" ht="15" hidden="false" customHeight="false" outlineLevel="0" collapsed="false">
      <c r="A136" s="29" t="n">
        <v>46152</v>
      </c>
      <c r="B136" s="30" t="str">
        <f aca="false">CHOOSE(WEEKDAY(A136),"Sun","Mon","Tue","Wed","Thu","Fri","Sat")</f>
        <v>Sun</v>
      </c>
      <c r="C136" s="30" t="str">
        <f aca="false">IF(IFERROR(INDEX(Holidays!$D$5:$D$60,MATCH(A136,Holidays!$A$5:$A$60,0)),"")="Holiday","Holiday",IF(WEEKDAY(A136)&gt;=6,"Weekend",IF(IFERROR(INDEX(Holidays!$D$5:$D$60,MATCH(A136,Holidays!$A$5:$A$60,0)),"")="Eve","Eve","Workday")))</f>
        <v>Workday</v>
      </c>
      <c r="D136" s="18" t="str">
        <f aca="false">IFERROR(INDEX(Holidays!$C$5:$C$60,MATCH(A136,Holidays!$A$5:$A$60,0)),"")</f>
        <v/>
      </c>
      <c r="E136" s="31"/>
      <c r="F136" s="32"/>
      <c r="G136" s="32"/>
      <c r="H136" s="32"/>
      <c r="I136" s="32"/>
      <c r="J136" s="31"/>
      <c r="K136" s="33" t="str">
        <f aca="false">IF(E136&lt;&gt;"",E136,IF(U136,"Present",IF(C136="Holiday","Holiday","Weekend")))</f>
        <v>Present</v>
      </c>
      <c r="L136" s="34" t="n">
        <f aca="false">IF(OR(K136="Present",K136="Manual Work",K136="Partial Vacation",K136="Partial Sick Leave"),IF(ISNUMBER(F136),F136,IF(AND(K136="Present",U136),Settings!$B$6,"")),"")</f>
        <v>0.333333333333333</v>
      </c>
      <c r="M136" s="34" t="n">
        <f aca="false">IF(OR(K136="Present",K136="Manual Work",K136="Partial Vacation",K136="Partial Sick Leave"),IF(ISNUMBER(G136),G136,IF(AND(K136="Present",U136),V136,"")),"")</f>
        <v>0.6875</v>
      </c>
      <c r="N136" s="14" t="n">
        <f aca="false">IF(AND(ISNUMBER(L136),ISNUMBER(M136)),MAX(0,(M136-L136)*24),0)</f>
        <v>8.5</v>
      </c>
      <c r="O136" s="14" t="n">
        <f aca="false">IF(NOT(U136),0,IF(K136="Vacation",IF(C136="Eve",Settings!$B$9*Settings!$B$11,W136),IF(K136="Partial Vacation",IF(AND(ISNUMBER(H136),ISNUMBER(I136)),MAX(0,(I136-H136)*24),0),0)))</f>
        <v>0</v>
      </c>
      <c r="P136" s="14" t="n">
        <f aca="false">IF(NOT(U136),0,IF(K136="Sick Leave",W136,IF(K136="Partial Sick Leave",IF(AND(ISNUMBER(H136),ISNUMBER(I136)),MAX(0,(I136-H136)*24),0),0)))</f>
        <v>0</v>
      </c>
      <c r="Q136" s="14" t="n">
        <f aca="false">IF(NOT(U136),0,IF(K136="Vacation",IF(C136="Eve",Settings!$B$11,1),IF(K136="Partial Vacation",O136/Settings!$B$9,0)))</f>
        <v>0</v>
      </c>
      <c r="R136" s="14" t="n">
        <f aca="false">IF(NOT(U136),0,IF(K136="Sick Leave",1,IF(K136="Partial Sick Leave",P136/Settings!$B$9,0)))</f>
        <v>0</v>
      </c>
      <c r="S136" s="35" t="str">
        <f aca="false">IF(AND(OR(E136="Vacation",E136="Sick Leave",E136="Partial Vacation",E136="Partial Sick Leave"),NOT(U136)),"Leave not allowed on this day",IF(AND(E136="Manual Work",OR(NOT(ISNUMBER(F136)),NOT(ISNUMBER(G136)))),"Enter start and end",IF(AND(OR(E136="Partial Vacation",E136="Partial Sick Leave"),OR(NOT(ISNUMBER(H136)),NOT(ISNUMBER(I136)))),"Enter leave from and to",IF(AND(ISNUMBER(F136),ISNUMBER(G136),G136&lt;=F136),"End is before start",IF(AND(ISNUMBER(H136),ISNUMBER(I136),I136&lt;=H136),"Leave end is before start",IF(AND(ISNUMBER(F136),ISNUMBER(G136),ISNUMBER(H136),ISNUMBER(I136),F136&lt;I136,H136&lt;G136),"Work and leave hours overlap",IF(AND(E136&lt;&gt;"",WEEKDAY(A136)=7),"Saturday - administrator only","")))))))</f>
        <v/>
      </c>
      <c r="T136" s="36" t="n">
        <f aca="false">MONTH(A136)</f>
        <v>5</v>
      </c>
      <c r="U136" s="37" t="b">
        <f aca="false">OR(C136="Workday",C136="Eve")</f>
        <v>1</v>
      </c>
      <c r="V136" s="34" t="n">
        <f aca="false">IF(C136="Eve",Settings!$B$8,Settings!$B$7)</f>
        <v>0.6875</v>
      </c>
      <c r="W136" s="14" t="n">
        <f aca="false">IF(U136,(V136-Settings!$B$6)*24,0)</f>
        <v>8.5</v>
      </c>
    </row>
    <row r="137" customFormat="false" ht="15" hidden="false" customHeight="false" outlineLevel="0" collapsed="false">
      <c r="A137" s="29" t="n">
        <v>46153</v>
      </c>
      <c r="B137" s="30" t="str">
        <f aca="false">CHOOSE(WEEKDAY(A137),"Sun","Mon","Tue","Wed","Thu","Fri","Sat")</f>
        <v>Mon</v>
      </c>
      <c r="C137" s="30" t="str">
        <f aca="false">IF(IFERROR(INDEX(Holidays!$D$5:$D$60,MATCH(A137,Holidays!$A$5:$A$60,0)),"")="Holiday","Holiday",IF(WEEKDAY(A137)&gt;=6,"Weekend",IF(IFERROR(INDEX(Holidays!$D$5:$D$60,MATCH(A137,Holidays!$A$5:$A$60,0)),"")="Eve","Eve","Workday")))</f>
        <v>Workday</v>
      </c>
      <c r="D137" s="18" t="str">
        <f aca="false">IFERROR(INDEX(Holidays!$C$5:$C$60,MATCH(A137,Holidays!$A$5:$A$60,0)),"")</f>
        <v/>
      </c>
      <c r="E137" s="31"/>
      <c r="F137" s="32"/>
      <c r="G137" s="32"/>
      <c r="H137" s="32"/>
      <c r="I137" s="32"/>
      <c r="J137" s="31"/>
      <c r="K137" s="33" t="str">
        <f aca="false">IF(E137&lt;&gt;"",E137,IF(U137,"Present",IF(C137="Holiday","Holiday","Weekend")))</f>
        <v>Present</v>
      </c>
      <c r="L137" s="34" t="n">
        <f aca="false">IF(OR(K137="Present",K137="Manual Work",K137="Partial Vacation",K137="Partial Sick Leave"),IF(ISNUMBER(F137),F137,IF(AND(K137="Present",U137),Settings!$B$6,"")),"")</f>
        <v>0.333333333333333</v>
      </c>
      <c r="M137" s="34" t="n">
        <f aca="false">IF(OR(K137="Present",K137="Manual Work",K137="Partial Vacation",K137="Partial Sick Leave"),IF(ISNUMBER(G137),G137,IF(AND(K137="Present",U137),V137,"")),"")</f>
        <v>0.6875</v>
      </c>
      <c r="N137" s="14" t="n">
        <f aca="false">IF(AND(ISNUMBER(L137),ISNUMBER(M137)),MAX(0,(M137-L137)*24),0)</f>
        <v>8.5</v>
      </c>
      <c r="O137" s="14" t="n">
        <f aca="false">IF(NOT(U137),0,IF(K137="Vacation",IF(C137="Eve",Settings!$B$9*Settings!$B$11,W137),IF(K137="Partial Vacation",IF(AND(ISNUMBER(H137),ISNUMBER(I137)),MAX(0,(I137-H137)*24),0),0)))</f>
        <v>0</v>
      </c>
      <c r="P137" s="14" t="n">
        <f aca="false">IF(NOT(U137),0,IF(K137="Sick Leave",W137,IF(K137="Partial Sick Leave",IF(AND(ISNUMBER(H137),ISNUMBER(I137)),MAX(0,(I137-H137)*24),0),0)))</f>
        <v>0</v>
      </c>
      <c r="Q137" s="14" t="n">
        <f aca="false">IF(NOT(U137),0,IF(K137="Vacation",IF(C137="Eve",Settings!$B$11,1),IF(K137="Partial Vacation",O137/Settings!$B$9,0)))</f>
        <v>0</v>
      </c>
      <c r="R137" s="14" t="n">
        <f aca="false">IF(NOT(U137),0,IF(K137="Sick Leave",1,IF(K137="Partial Sick Leave",P137/Settings!$B$9,0)))</f>
        <v>0</v>
      </c>
      <c r="S137" s="35" t="str">
        <f aca="false">IF(AND(OR(E137="Vacation",E137="Sick Leave",E137="Partial Vacation",E137="Partial Sick Leave"),NOT(U137)),"Leave not allowed on this day",IF(AND(E137="Manual Work",OR(NOT(ISNUMBER(F137)),NOT(ISNUMBER(G137)))),"Enter start and end",IF(AND(OR(E137="Partial Vacation",E137="Partial Sick Leave"),OR(NOT(ISNUMBER(H137)),NOT(ISNUMBER(I137)))),"Enter leave from and to",IF(AND(ISNUMBER(F137),ISNUMBER(G137),G137&lt;=F137),"End is before start",IF(AND(ISNUMBER(H137),ISNUMBER(I137),I137&lt;=H137),"Leave end is before start",IF(AND(ISNUMBER(F137),ISNUMBER(G137),ISNUMBER(H137),ISNUMBER(I137),F137&lt;I137,H137&lt;G137),"Work and leave hours overlap",IF(AND(E137&lt;&gt;"",WEEKDAY(A137)=7),"Saturday - administrator only","")))))))</f>
        <v/>
      </c>
      <c r="T137" s="36" t="n">
        <f aca="false">MONTH(A137)</f>
        <v>5</v>
      </c>
      <c r="U137" s="37" t="b">
        <f aca="false">OR(C137="Workday",C137="Eve")</f>
        <v>1</v>
      </c>
      <c r="V137" s="34" t="n">
        <f aca="false">IF(C137="Eve",Settings!$B$8,Settings!$B$7)</f>
        <v>0.6875</v>
      </c>
      <c r="W137" s="14" t="n">
        <f aca="false">IF(U137,(V137-Settings!$B$6)*24,0)</f>
        <v>8.5</v>
      </c>
    </row>
    <row r="138" customFormat="false" ht="15" hidden="false" customHeight="false" outlineLevel="0" collapsed="false">
      <c r="A138" s="29" t="n">
        <v>46154</v>
      </c>
      <c r="B138" s="30" t="str">
        <f aca="false">CHOOSE(WEEKDAY(A138),"Sun","Mon","Tue","Wed","Thu","Fri","Sat")</f>
        <v>Tue</v>
      </c>
      <c r="C138" s="30" t="str">
        <f aca="false">IF(IFERROR(INDEX(Holidays!$D$5:$D$60,MATCH(A138,Holidays!$A$5:$A$60,0)),"")="Holiday","Holiday",IF(WEEKDAY(A138)&gt;=6,"Weekend",IF(IFERROR(INDEX(Holidays!$D$5:$D$60,MATCH(A138,Holidays!$A$5:$A$60,0)),"")="Eve","Eve","Workday")))</f>
        <v>Workday</v>
      </c>
      <c r="D138" s="18" t="str">
        <f aca="false">IFERROR(INDEX(Holidays!$C$5:$C$60,MATCH(A138,Holidays!$A$5:$A$60,0)),"")</f>
        <v/>
      </c>
      <c r="E138" s="31"/>
      <c r="F138" s="32"/>
      <c r="G138" s="32"/>
      <c r="H138" s="32"/>
      <c r="I138" s="32"/>
      <c r="J138" s="31"/>
      <c r="K138" s="33" t="str">
        <f aca="false">IF(E138&lt;&gt;"",E138,IF(U138,"Present",IF(C138="Holiday","Holiday","Weekend")))</f>
        <v>Present</v>
      </c>
      <c r="L138" s="34" t="n">
        <f aca="false">IF(OR(K138="Present",K138="Manual Work",K138="Partial Vacation",K138="Partial Sick Leave"),IF(ISNUMBER(F138),F138,IF(AND(K138="Present",U138),Settings!$B$6,"")),"")</f>
        <v>0.333333333333333</v>
      </c>
      <c r="M138" s="34" t="n">
        <f aca="false">IF(OR(K138="Present",K138="Manual Work",K138="Partial Vacation",K138="Partial Sick Leave"),IF(ISNUMBER(G138),G138,IF(AND(K138="Present",U138),V138,"")),"")</f>
        <v>0.6875</v>
      </c>
      <c r="N138" s="14" t="n">
        <f aca="false">IF(AND(ISNUMBER(L138),ISNUMBER(M138)),MAX(0,(M138-L138)*24),0)</f>
        <v>8.5</v>
      </c>
      <c r="O138" s="14" t="n">
        <f aca="false">IF(NOT(U138),0,IF(K138="Vacation",IF(C138="Eve",Settings!$B$9*Settings!$B$11,W138),IF(K138="Partial Vacation",IF(AND(ISNUMBER(H138),ISNUMBER(I138)),MAX(0,(I138-H138)*24),0),0)))</f>
        <v>0</v>
      </c>
      <c r="P138" s="14" t="n">
        <f aca="false">IF(NOT(U138),0,IF(K138="Sick Leave",W138,IF(K138="Partial Sick Leave",IF(AND(ISNUMBER(H138),ISNUMBER(I138)),MAX(0,(I138-H138)*24),0),0)))</f>
        <v>0</v>
      </c>
      <c r="Q138" s="14" t="n">
        <f aca="false">IF(NOT(U138),0,IF(K138="Vacation",IF(C138="Eve",Settings!$B$11,1),IF(K138="Partial Vacation",O138/Settings!$B$9,0)))</f>
        <v>0</v>
      </c>
      <c r="R138" s="14" t="n">
        <f aca="false">IF(NOT(U138),0,IF(K138="Sick Leave",1,IF(K138="Partial Sick Leave",P138/Settings!$B$9,0)))</f>
        <v>0</v>
      </c>
      <c r="S138" s="35" t="str">
        <f aca="false">IF(AND(OR(E138="Vacation",E138="Sick Leave",E138="Partial Vacation",E138="Partial Sick Leave"),NOT(U138)),"Leave not allowed on this day",IF(AND(E138="Manual Work",OR(NOT(ISNUMBER(F138)),NOT(ISNUMBER(G138)))),"Enter start and end",IF(AND(OR(E138="Partial Vacation",E138="Partial Sick Leave"),OR(NOT(ISNUMBER(H138)),NOT(ISNUMBER(I138)))),"Enter leave from and to",IF(AND(ISNUMBER(F138),ISNUMBER(G138),G138&lt;=F138),"End is before start",IF(AND(ISNUMBER(H138),ISNUMBER(I138),I138&lt;=H138),"Leave end is before start",IF(AND(ISNUMBER(F138),ISNUMBER(G138),ISNUMBER(H138),ISNUMBER(I138),F138&lt;I138,H138&lt;G138),"Work and leave hours overlap",IF(AND(E138&lt;&gt;"",WEEKDAY(A138)=7),"Saturday - administrator only","")))))))</f>
        <v/>
      </c>
      <c r="T138" s="36" t="n">
        <f aca="false">MONTH(A138)</f>
        <v>5</v>
      </c>
      <c r="U138" s="37" t="b">
        <f aca="false">OR(C138="Workday",C138="Eve")</f>
        <v>1</v>
      </c>
      <c r="V138" s="34" t="n">
        <f aca="false">IF(C138="Eve",Settings!$B$8,Settings!$B$7)</f>
        <v>0.6875</v>
      </c>
      <c r="W138" s="14" t="n">
        <f aca="false">IF(U138,(V138-Settings!$B$6)*24,0)</f>
        <v>8.5</v>
      </c>
    </row>
    <row r="139" customFormat="false" ht="15" hidden="false" customHeight="false" outlineLevel="0" collapsed="false">
      <c r="A139" s="29" t="n">
        <v>46155</v>
      </c>
      <c r="B139" s="30" t="str">
        <f aca="false">CHOOSE(WEEKDAY(A139),"Sun","Mon","Tue","Wed","Thu","Fri","Sat")</f>
        <v>Wed</v>
      </c>
      <c r="C139" s="30" t="str">
        <f aca="false">IF(IFERROR(INDEX(Holidays!$D$5:$D$60,MATCH(A139,Holidays!$A$5:$A$60,0)),"")="Holiday","Holiday",IF(WEEKDAY(A139)&gt;=6,"Weekend",IF(IFERROR(INDEX(Holidays!$D$5:$D$60,MATCH(A139,Holidays!$A$5:$A$60,0)),"")="Eve","Eve","Workday")))</f>
        <v>Workday</v>
      </c>
      <c r="D139" s="18" t="str">
        <f aca="false">IFERROR(INDEX(Holidays!$C$5:$C$60,MATCH(A139,Holidays!$A$5:$A$60,0)),"")</f>
        <v/>
      </c>
      <c r="E139" s="31"/>
      <c r="F139" s="32"/>
      <c r="G139" s="32"/>
      <c r="H139" s="32"/>
      <c r="I139" s="32"/>
      <c r="J139" s="31"/>
      <c r="K139" s="33" t="str">
        <f aca="false">IF(E139&lt;&gt;"",E139,IF(U139,"Present",IF(C139="Holiday","Holiday","Weekend")))</f>
        <v>Present</v>
      </c>
      <c r="L139" s="34" t="n">
        <f aca="false">IF(OR(K139="Present",K139="Manual Work",K139="Partial Vacation",K139="Partial Sick Leave"),IF(ISNUMBER(F139),F139,IF(AND(K139="Present",U139),Settings!$B$6,"")),"")</f>
        <v>0.333333333333333</v>
      </c>
      <c r="M139" s="34" t="n">
        <f aca="false">IF(OR(K139="Present",K139="Manual Work",K139="Partial Vacation",K139="Partial Sick Leave"),IF(ISNUMBER(G139),G139,IF(AND(K139="Present",U139),V139,"")),"")</f>
        <v>0.6875</v>
      </c>
      <c r="N139" s="14" t="n">
        <f aca="false">IF(AND(ISNUMBER(L139),ISNUMBER(M139)),MAX(0,(M139-L139)*24),0)</f>
        <v>8.5</v>
      </c>
      <c r="O139" s="14" t="n">
        <f aca="false">IF(NOT(U139),0,IF(K139="Vacation",IF(C139="Eve",Settings!$B$9*Settings!$B$11,W139),IF(K139="Partial Vacation",IF(AND(ISNUMBER(H139),ISNUMBER(I139)),MAX(0,(I139-H139)*24),0),0)))</f>
        <v>0</v>
      </c>
      <c r="P139" s="14" t="n">
        <f aca="false">IF(NOT(U139),0,IF(K139="Sick Leave",W139,IF(K139="Partial Sick Leave",IF(AND(ISNUMBER(H139),ISNUMBER(I139)),MAX(0,(I139-H139)*24),0),0)))</f>
        <v>0</v>
      </c>
      <c r="Q139" s="14" t="n">
        <f aca="false">IF(NOT(U139),0,IF(K139="Vacation",IF(C139="Eve",Settings!$B$11,1),IF(K139="Partial Vacation",O139/Settings!$B$9,0)))</f>
        <v>0</v>
      </c>
      <c r="R139" s="14" t="n">
        <f aca="false">IF(NOT(U139),0,IF(K139="Sick Leave",1,IF(K139="Partial Sick Leave",P139/Settings!$B$9,0)))</f>
        <v>0</v>
      </c>
      <c r="S139" s="35" t="str">
        <f aca="false">IF(AND(OR(E139="Vacation",E139="Sick Leave",E139="Partial Vacation",E139="Partial Sick Leave"),NOT(U139)),"Leave not allowed on this day",IF(AND(E139="Manual Work",OR(NOT(ISNUMBER(F139)),NOT(ISNUMBER(G139)))),"Enter start and end",IF(AND(OR(E139="Partial Vacation",E139="Partial Sick Leave"),OR(NOT(ISNUMBER(H139)),NOT(ISNUMBER(I139)))),"Enter leave from and to",IF(AND(ISNUMBER(F139),ISNUMBER(G139),G139&lt;=F139),"End is before start",IF(AND(ISNUMBER(H139),ISNUMBER(I139),I139&lt;=H139),"Leave end is before start",IF(AND(ISNUMBER(F139),ISNUMBER(G139),ISNUMBER(H139),ISNUMBER(I139),F139&lt;I139,H139&lt;G139),"Work and leave hours overlap",IF(AND(E139&lt;&gt;"",WEEKDAY(A139)=7),"Saturday - administrator only","")))))))</f>
        <v/>
      </c>
      <c r="T139" s="36" t="n">
        <f aca="false">MONTH(A139)</f>
        <v>5</v>
      </c>
      <c r="U139" s="37" t="b">
        <f aca="false">OR(C139="Workday",C139="Eve")</f>
        <v>1</v>
      </c>
      <c r="V139" s="34" t="n">
        <f aca="false">IF(C139="Eve",Settings!$B$8,Settings!$B$7)</f>
        <v>0.6875</v>
      </c>
      <c r="W139" s="14" t="n">
        <f aca="false">IF(U139,(V139-Settings!$B$6)*24,0)</f>
        <v>8.5</v>
      </c>
    </row>
    <row r="140" customFormat="false" ht="15" hidden="false" customHeight="false" outlineLevel="0" collapsed="false">
      <c r="A140" s="29" t="n">
        <v>46156</v>
      </c>
      <c r="B140" s="30" t="str">
        <f aca="false">CHOOSE(WEEKDAY(A140),"Sun","Mon","Tue","Wed","Thu","Fri","Sat")</f>
        <v>Thu</v>
      </c>
      <c r="C140" s="30" t="str">
        <f aca="false">IF(IFERROR(INDEX(Holidays!$D$5:$D$60,MATCH(A140,Holidays!$A$5:$A$60,0)),"")="Holiday","Holiday",IF(WEEKDAY(A140)&gt;=6,"Weekend",IF(IFERROR(INDEX(Holidays!$D$5:$D$60,MATCH(A140,Holidays!$A$5:$A$60,0)),"")="Eve","Eve","Workday")))</f>
        <v>Workday</v>
      </c>
      <c r="D140" s="18" t="str">
        <f aca="false">IFERROR(INDEX(Holidays!$C$5:$C$60,MATCH(A140,Holidays!$A$5:$A$60,0)),"")</f>
        <v/>
      </c>
      <c r="E140" s="31"/>
      <c r="F140" s="32"/>
      <c r="G140" s="32"/>
      <c r="H140" s="32"/>
      <c r="I140" s="32"/>
      <c r="J140" s="31"/>
      <c r="K140" s="33" t="str">
        <f aca="false">IF(E140&lt;&gt;"",E140,IF(U140,"Present",IF(C140="Holiday","Holiday","Weekend")))</f>
        <v>Present</v>
      </c>
      <c r="L140" s="34" t="n">
        <f aca="false">IF(OR(K140="Present",K140="Manual Work",K140="Partial Vacation",K140="Partial Sick Leave"),IF(ISNUMBER(F140),F140,IF(AND(K140="Present",U140),Settings!$B$6,"")),"")</f>
        <v>0.333333333333333</v>
      </c>
      <c r="M140" s="34" t="n">
        <f aca="false">IF(OR(K140="Present",K140="Manual Work",K140="Partial Vacation",K140="Partial Sick Leave"),IF(ISNUMBER(G140),G140,IF(AND(K140="Present",U140),V140,"")),"")</f>
        <v>0.6875</v>
      </c>
      <c r="N140" s="14" t="n">
        <f aca="false">IF(AND(ISNUMBER(L140),ISNUMBER(M140)),MAX(0,(M140-L140)*24),0)</f>
        <v>8.5</v>
      </c>
      <c r="O140" s="14" t="n">
        <f aca="false">IF(NOT(U140),0,IF(K140="Vacation",IF(C140="Eve",Settings!$B$9*Settings!$B$11,W140),IF(K140="Partial Vacation",IF(AND(ISNUMBER(H140),ISNUMBER(I140)),MAX(0,(I140-H140)*24),0),0)))</f>
        <v>0</v>
      </c>
      <c r="P140" s="14" t="n">
        <f aca="false">IF(NOT(U140),0,IF(K140="Sick Leave",W140,IF(K140="Partial Sick Leave",IF(AND(ISNUMBER(H140),ISNUMBER(I140)),MAX(0,(I140-H140)*24),0),0)))</f>
        <v>0</v>
      </c>
      <c r="Q140" s="14" t="n">
        <f aca="false">IF(NOT(U140),0,IF(K140="Vacation",IF(C140="Eve",Settings!$B$11,1),IF(K140="Partial Vacation",O140/Settings!$B$9,0)))</f>
        <v>0</v>
      </c>
      <c r="R140" s="14" t="n">
        <f aca="false">IF(NOT(U140),0,IF(K140="Sick Leave",1,IF(K140="Partial Sick Leave",P140/Settings!$B$9,0)))</f>
        <v>0</v>
      </c>
      <c r="S140" s="35" t="str">
        <f aca="false">IF(AND(OR(E140="Vacation",E140="Sick Leave",E140="Partial Vacation",E140="Partial Sick Leave"),NOT(U140)),"Leave not allowed on this day",IF(AND(E140="Manual Work",OR(NOT(ISNUMBER(F140)),NOT(ISNUMBER(G140)))),"Enter start and end",IF(AND(OR(E140="Partial Vacation",E140="Partial Sick Leave"),OR(NOT(ISNUMBER(H140)),NOT(ISNUMBER(I140)))),"Enter leave from and to",IF(AND(ISNUMBER(F140),ISNUMBER(G140),G140&lt;=F140),"End is before start",IF(AND(ISNUMBER(H140),ISNUMBER(I140),I140&lt;=H140),"Leave end is before start",IF(AND(ISNUMBER(F140),ISNUMBER(G140),ISNUMBER(H140),ISNUMBER(I140),F140&lt;I140,H140&lt;G140),"Work and leave hours overlap",IF(AND(E140&lt;&gt;"",WEEKDAY(A140)=7),"Saturday - administrator only","")))))))</f>
        <v/>
      </c>
      <c r="T140" s="36" t="n">
        <f aca="false">MONTH(A140)</f>
        <v>5</v>
      </c>
      <c r="U140" s="37" t="b">
        <f aca="false">OR(C140="Workday",C140="Eve")</f>
        <v>1</v>
      </c>
      <c r="V140" s="34" t="n">
        <f aca="false">IF(C140="Eve",Settings!$B$8,Settings!$B$7)</f>
        <v>0.6875</v>
      </c>
      <c r="W140" s="14" t="n">
        <f aca="false">IF(U140,(V140-Settings!$B$6)*24,0)</f>
        <v>8.5</v>
      </c>
    </row>
    <row r="141" customFormat="false" ht="15" hidden="false" customHeight="false" outlineLevel="0" collapsed="false">
      <c r="A141" s="29" t="n">
        <v>46157</v>
      </c>
      <c r="B141" s="30" t="str">
        <f aca="false">CHOOSE(WEEKDAY(A141),"Sun","Mon","Tue","Wed","Thu","Fri","Sat")</f>
        <v>Fri</v>
      </c>
      <c r="C141" s="30" t="str">
        <f aca="false">IF(IFERROR(INDEX(Holidays!$D$5:$D$60,MATCH(A141,Holidays!$A$5:$A$60,0)),"")="Holiday","Holiday",IF(WEEKDAY(A141)&gt;=6,"Weekend",IF(IFERROR(INDEX(Holidays!$D$5:$D$60,MATCH(A141,Holidays!$A$5:$A$60,0)),"")="Eve","Eve","Workday")))</f>
        <v>Weekend</v>
      </c>
      <c r="D141" s="18" t="str">
        <f aca="false">IFERROR(INDEX(Holidays!$C$5:$C$60,MATCH(A141,Holidays!$A$5:$A$60,0)),"")</f>
        <v/>
      </c>
      <c r="E141" s="31"/>
      <c r="F141" s="32"/>
      <c r="G141" s="32"/>
      <c r="H141" s="32"/>
      <c r="I141" s="32"/>
      <c r="J141" s="31"/>
      <c r="K141" s="33" t="str">
        <f aca="false">IF(E141&lt;&gt;"",E141,IF(U141,"Present",IF(C141="Holiday","Holiday","Weekend")))</f>
        <v>Weekend</v>
      </c>
      <c r="L141" s="34" t="str">
        <f aca="false">IF(OR(K141="Present",K141="Manual Work",K141="Partial Vacation",K141="Partial Sick Leave"),IF(ISNUMBER(F141),F141,IF(AND(K141="Present",U141),Settings!$B$6,"")),"")</f>
        <v/>
      </c>
      <c r="M141" s="34" t="str">
        <f aca="false">IF(OR(K141="Present",K141="Manual Work",K141="Partial Vacation",K141="Partial Sick Leave"),IF(ISNUMBER(G141),G141,IF(AND(K141="Present",U141),V141,"")),"")</f>
        <v/>
      </c>
      <c r="N141" s="14" t="n">
        <f aca="false">IF(AND(ISNUMBER(L141),ISNUMBER(M141)),MAX(0,(M141-L141)*24),0)</f>
        <v>0</v>
      </c>
      <c r="O141" s="14" t="n">
        <f aca="false">IF(NOT(U141),0,IF(K141="Vacation",IF(C141="Eve",Settings!$B$9*Settings!$B$11,W141),IF(K141="Partial Vacation",IF(AND(ISNUMBER(H141),ISNUMBER(I141)),MAX(0,(I141-H141)*24),0),0)))</f>
        <v>0</v>
      </c>
      <c r="P141" s="14" t="n">
        <f aca="false">IF(NOT(U141),0,IF(K141="Sick Leave",W141,IF(K141="Partial Sick Leave",IF(AND(ISNUMBER(H141),ISNUMBER(I141)),MAX(0,(I141-H141)*24),0),0)))</f>
        <v>0</v>
      </c>
      <c r="Q141" s="14" t="n">
        <f aca="false">IF(NOT(U141),0,IF(K141="Vacation",IF(C141="Eve",Settings!$B$11,1),IF(K141="Partial Vacation",O141/Settings!$B$9,0)))</f>
        <v>0</v>
      </c>
      <c r="R141" s="14" t="n">
        <f aca="false">IF(NOT(U141),0,IF(K141="Sick Leave",1,IF(K141="Partial Sick Leave",P141/Settings!$B$9,0)))</f>
        <v>0</v>
      </c>
      <c r="S141" s="35" t="str">
        <f aca="false">IF(AND(OR(E141="Vacation",E141="Sick Leave",E141="Partial Vacation",E141="Partial Sick Leave"),NOT(U141)),"Leave not allowed on this day",IF(AND(E141="Manual Work",OR(NOT(ISNUMBER(F141)),NOT(ISNUMBER(G141)))),"Enter start and end",IF(AND(OR(E141="Partial Vacation",E141="Partial Sick Leave"),OR(NOT(ISNUMBER(H141)),NOT(ISNUMBER(I141)))),"Enter leave from and to",IF(AND(ISNUMBER(F141),ISNUMBER(G141),G141&lt;=F141),"End is before start",IF(AND(ISNUMBER(H141),ISNUMBER(I141),I141&lt;=H141),"Leave end is before start",IF(AND(ISNUMBER(F141),ISNUMBER(G141),ISNUMBER(H141),ISNUMBER(I141),F141&lt;I141,H141&lt;G141),"Work and leave hours overlap",IF(AND(E141&lt;&gt;"",WEEKDAY(A141)=7),"Saturday - administrator only","")))))))</f>
        <v/>
      </c>
      <c r="T141" s="36" t="n">
        <f aca="false">MONTH(A141)</f>
        <v>5</v>
      </c>
      <c r="U141" s="37" t="b">
        <f aca="false">OR(C141="Workday",C141="Eve")</f>
        <v>0</v>
      </c>
      <c r="V141" s="34" t="n">
        <f aca="false">IF(C141="Eve",Settings!$B$8,Settings!$B$7)</f>
        <v>0.6875</v>
      </c>
      <c r="W141" s="14" t="n">
        <f aca="false">IF(U141,(V141-Settings!$B$6)*24,0)</f>
        <v>0</v>
      </c>
    </row>
    <row r="142" customFormat="false" ht="15" hidden="false" customHeight="false" outlineLevel="0" collapsed="false">
      <c r="A142" s="29" t="n">
        <v>46158</v>
      </c>
      <c r="B142" s="30" t="str">
        <f aca="false">CHOOSE(WEEKDAY(A142),"Sun","Mon","Tue","Wed","Thu","Fri","Sat")</f>
        <v>Sat</v>
      </c>
      <c r="C142" s="30" t="str">
        <f aca="false">IF(IFERROR(INDEX(Holidays!$D$5:$D$60,MATCH(A142,Holidays!$A$5:$A$60,0)),"")="Holiday","Holiday",IF(WEEKDAY(A142)&gt;=6,"Weekend",IF(IFERROR(INDEX(Holidays!$D$5:$D$60,MATCH(A142,Holidays!$A$5:$A$60,0)),"")="Eve","Eve","Workday")))</f>
        <v>Weekend</v>
      </c>
      <c r="D142" s="18" t="str">
        <f aca="false">IFERROR(INDEX(Holidays!$C$5:$C$60,MATCH(A142,Holidays!$A$5:$A$60,0)),"")</f>
        <v/>
      </c>
      <c r="E142" s="31"/>
      <c r="F142" s="32"/>
      <c r="G142" s="32"/>
      <c r="H142" s="32"/>
      <c r="I142" s="32"/>
      <c r="J142" s="31"/>
      <c r="K142" s="33" t="str">
        <f aca="false">IF(E142&lt;&gt;"",E142,IF(U142,"Present",IF(C142="Holiday","Holiday","Weekend")))</f>
        <v>Weekend</v>
      </c>
      <c r="L142" s="34" t="str">
        <f aca="false">IF(OR(K142="Present",K142="Manual Work",K142="Partial Vacation",K142="Partial Sick Leave"),IF(ISNUMBER(F142),F142,IF(AND(K142="Present",U142),Settings!$B$6,"")),"")</f>
        <v/>
      </c>
      <c r="M142" s="34" t="str">
        <f aca="false">IF(OR(K142="Present",K142="Manual Work",K142="Partial Vacation",K142="Partial Sick Leave"),IF(ISNUMBER(G142),G142,IF(AND(K142="Present",U142),V142,"")),"")</f>
        <v/>
      </c>
      <c r="N142" s="14" t="n">
        <f aca="false">IF(AND(ISNUMBER(L142),ISNUMBER(M142)),MAX(0,(M142-L142)*24),0)</f>
        <v>0</v>
      </c>
      <c r="O142" s="14" t="n">
        <f aca="false">IF(NOT(U142),0,IF(K142="Vacation",IF(C142="Eve",Settings!$B$9*Settings!$B$11,W142),IF(K142="Partial Vacation",IF(AND(ISNUMBER(H142),ISNUMBER(I142)),MAX(0,(I142-H142)*24),0),0)))</f>
        <v>0</v>
      </c>
      <c r="P142" s="14" t="n">
        <f aca="false">IF(NOT(U142),0,IF(K142="Sick Leave",W142,IF(K142="Partial Sick Leave",IF(AND(ISNUMBER(H142),ISNUMBER(I142)),MAX(0,(I142-H142)*24),0),0)))</f>
        <v>0</v>
      </c>
      <c r="Q142" s="14" t="n">
        <f aca="false">IF(NOT(U142),0,IF(K142="Vacation",IF(C142="Eve",Settings!$B$11,1),IF(K142="Partial Vacation",O142/Settings!$B$9,0)))</f>
        <v>0</v>
      </c>
      <c r="R142" s="14" t="n">
        <f aca="false">IF(NOT(U142),0,IF(K142="Sick Leave",1,IF(K142="Partial Sick Leave",P142/Settings!$B$9,0)))</f>
        <v>0</v>
      </c>
      <c r="S142" s="35" t="str">
        <f aca="false">IF(AND(OR(E142="Vacation",E142="Sick Leave",E142="Partial Vacation",E142="Partial Sick Leave"),NOT(U142)),"Leave not allowed on this day",IF(AND(E142="Manual Work",OR(NOT(ISNUMBER(F142)),NOT(ISNUMBER(G142)))),"Enter start and end",IF(AND(OR(E142="Partial Vacation",E142="Partial Sick Leave"),OR(NOT(ISNUMBER(H142)),NOT(ISNUMBER(I142)))),"Enter leave from and to",IF(AND(ISNUMBER(F142),ISNUMBER(G142),G142&lt;=F142),"End is before start",IF(AND(ISNUMBER(H142),ISNUMBER(I142),I142&lt;=H142),"Leave end is before start",IF(AND(ISNUMBER(F142),ISNUMBER(G142),ISNUMBER(H142),ISNUMBER(I142),F142&lt;I142,H142&lt;G142),"Work and leave hours overlap",IF(AND(E142&lt;&gt;"",WEEKDAY(A142)=7),"Saturday - administrator only","")))))))</f>
        <v/>
      </c>
      <c r="T142" s="36" t="n">
        <f aca="false">MONTH(A142)</f>
        <v>5</v>
      </c>
      <c r="U142" s="37" t="b">
        <f aca="false">OR(C142="Workday",C142="Eve")</f>
        <v>0</v>
      </c>
      <c r="V142" s="34" t="n">
        <f aca="false">IF(C142="Eve",Settings!$B$8,Settings!$B$7)</f>
        <v>0.6875</v>
      </c>
      <c r="W142" s="14" t="n">
        <f aca="false">IF(U142,(V142-Settings!$B$6)*24,0)</f>
        <v>0</v>
      </c>
    </row>
    <row r="143" customFormat="false" ht="15" hidden="false" customHeight="false" outlineLevel="0" collapsed="false">
      <c r="A143" s="29" t="n">
        <v>46159</v>
      </c>
      <c r="B143" s="30" t="str">
        <f aca="false">CHOOSE(WEEKDAY(A143),"Sun","Mon","Tue","Wed","Thu","Fri","Sat")</f>
        <v>Sun</v>
      </c>
      <c r="C143" s="30" t="str">
        <f aca="false">IF(IFERROR(INDEX(Holidays!$D$5:$D$60,MATCH(A143,Holidays!$A$5:$A$60,0)),"")="Holiday","Holiday",IF(WEEKDAY(A143)&gt;=6,"Weekend",IF(IFERROR(INDEX(Holidays!$D$5:$D$60,MATCH(A143,Holidays!$A$5:$A$60,0)),"")="Eve","Eve","Workday")))</f>
        <v>Workday</v>
      </c>
      <c r="D143" s="18" t="str">
        <f aca="false">IFERROR(INDEX(Holidays!$C$5:$C$60,MATCH(A143,Holidays!$A$5:$A$60,0)),"")</f>
        <v/>
      </c>
      <c r="E143" s="31"/>
      <c r="F143" s="32"/>
      <c r="G143" s="32"/>
      <c r="H143" s="32"/>
      <c r="I143" s="32"/>
      <c r="J143" s="31"/>
      <c r="K143" s="33" t="str">
        <f aca="false">IF(E143&lt;&gt;"",E143,IF(U143,"Present",IF(C143="Holiday","Holiday","Weekend")))</f>
        <v>Present</v>
      </c>
      <c r="L143" s="34" t="n">
        <f aca="false">IF(OR(K143="Present",K143="Manual Work",K143="Partial Vacation",K143="Partial Sick Leave"),IF(ISNUMBER(F143),F143,IF(AND(K143="Present",U143),Settings!$B$6,"")),"")</f>
        <v>0.333333333333333</v>
      </c>
      <c r="M143" s="34" t="n">
        <f aca="false">IF(OR(K143="Present",K143="Manual Work",K143="Partial Vacation",K143="Partial Sick Leave"),IF(ISNUMBER(G143),G143,IF(AND(K143="Present",U143),V143,"")),"")</f>
        <v>0.6875</v>
      </c>
      <c r="N143" s="14" t="n">
        <f aca="false">IF(AND(ISNUMBER(L143),ISNUMBER(M143)),MAX(0,(M143-L143)*24),0)</f>
        <v>8.5</v>
      </c>
      <c r="O143" s="14" t="n">
        <f aca="false">IF(NOT(U143),0,IF(K143="Vacation",IF(C143="Eve",Settings!$B$9*Settings!$B$11,W143),IF(K143="Partial Vacation",IF(AND(ISNUMBER(H143),ISNUMBER(I143)),MAX(0,(I143-H143)*24),0),0)))</f>
        <v>0</v>
      </c>
      <c r="P143" s="14" t="n">
        <f aca="false">IF(NOT(U143),0,IF(K143="Sick Leave",W143,IF(K143="Partial Sick Leave",IF(AND(ISNUMBER(H143),ISNUMBER(I143)),MAX(0,(I143-H143)*24),0),0)))</f>
        <v>0</v>
      </c>
      <c r="Q143" s="14" t="n">
        <f aca="false">IF(NOT(U143),0,IF(K143="Vacation",IF(C143="Eve",Settings!$B$11,1),IF(K143="Partial Vacation",O143/Settings!$B$9,0)))</f>
        <v>0</v>
      </c>
      <c r="R143" s="14" t="n">
        <f aca="false">IF(NOT(U143),0,IF(K143="Sick Leave",1,IF(K143="Partial Sick Leave",P143/Settings!$B$9,0)))</f>
        <v>0</v>
      </c>
      <c r="S143" s="35" t="str">
        <f aca="false">IF(AND(OR(E143="Vacation",E143="Sick Leave",E143="Partial Vacation",E143="Partial Sick Leave"),NOT(U143)),"Leave not allowed on this day",IF(AND(E143="Manual Work",OR(NOT(ISNUMBER(F143)),NOT(ISNUMBER(G143)))),"Enter start and end",IF(AND(OR(E143="Partial Vacation",E143="Partial Sick Leave"),OR(NOT(ISNUMBER(H143)),NOT(ISNUMBER(I143)))),"Enter leave from and to",IF(AND(ISNUMBER(F143),ISNUMBER(G143),G143&lt;=F143),"End is before start",IF(AND(ISNUMBER(H143),ISNUMBER(I143),I143&lt;=H143),"Leave end is before start",IF(AND(ISNUMBER(F143),ISNUMBER(G143),ISNUMBER(H143),ISNUMBER(I143),F143&lt;I143,H143&lt;G143),"Work and leave hours overlap",IF(AND(E143&lt;&gt;"",WEEKDAY(A143)=7),"Saturday - administrator only","")))))))</f>
        <v/>
      </c>
      <c r="T143" s="36" t="n">
        <f aca="false">MONTH(A143)</f>
        <v>5</v>
      </c>
      <c r="U143" s="37" t="b">
        <f aca="false">OR(C143="Workday",C143="Eve")</f>
        <v>1</v>
      </c>
      <c r="V143" s="34" t="n">
        <f aca="false">IF(C143="Eve",Settings!$B$8,Settings!$B$7)</f>
        <v>0.6875</v>
      </c>
      <c r="W143" s="14" t="n">
        <f aca="false">IF(U143,(V143-Settings!$B$6)*24,0)</f>
        <v>8.5</v>
      </c>
    </row>
    <row r="144" customFormat="false" ht="15" hidden="false" customHeight="false" outlineLevel="0" collapsed="false">
      <c r="A144" s="29" t="n">
        <v>46160</v>
      </c>
      <c r="B144" s="30" t="str">
        <f aca="false">CHOOSE(WEEKDAY(A144),"Sun","Mon","Tue","Wed","Thu","Fri","Sat")</f>
        <v>Mon</v>
      </c>
      <c r="C144" s="30" t="str">
        <f aca="false">IF(IFERROR(INDEX(Holidays!$D$5:$D$60,MATCH(A144,Holidays!$A$5:$A$60,0)),"")="Holiday","Holiday",IF(WEEKDAY(A144)&gt;=6,"Weekend",IF(IFERROR(INDEX(Holidays!$D$5:$D$60,MATCH(A144,Holidays!$A$5:$A$60,0)),"")="Eve","Eve","Workday")))</f>
        <v>Workday</v>
      </c>
      <c r="D144" s="18" t="str">
        <f aca="false">IFERROR(INDEX(Holidays!$C$5:$C$60,MATCH(A144,Holidays!$A$5:$A$60,0)),"")</f>
        <v/>
      </c>
      <c r="E144" s="31"/>
      <c r="F144" s="32"/>
      <c r="G144" s="32"/>
      <c r="H144" s="32"/>
      <c r="I144" s="32"/>
      <c r="J144" s="31"/>
      <c r="K144" s="33" t="str">
        <f aca="false">IF(E144&lt;&gt;"",E144,IF(U144,"Present",IF(C144="Holiday","Holiday","Weekend")))</f>
        <v>Present</v>
      </c>
      <c r="L144" s="34" t="n">
        <f aca="false">IF(OR(K144="Present",K144="Manual Work",K144="Partial Vacation",K144="Partial Sick Leave"),IF(ISNUMBER(F144),F144,IF(AND(K144="Present",U144),Settings!$B$6,"")),"")</f>
        <v>0.333333333333333</v>
      </c>
      <c r="M144" s="34" t="n">
        <f aca="false">IF(OR(K144="Present",K144="Manual Work",K144="Partial Vacation",K144="Partial Sick Leave"),IF(ISNUMBER(G144),G144,IF(AND(K144="Present",U144),V144,"")),"")</f>
        <v>0.6875</v>
      </c>
      <c r="N144" s="14" t="n">
        <f aca="false">IF(AND(ISNUMBER(L144),ISNUMBER(M144)),MAX(0,(M144-L144)*24),0)</f>
        <v>8.5</v>
      </c>
      <c r="O144" s="14" t="n">
        <f aca="false">IF(NOT(U144),0,IF(K144="Vacation",IF(C144="Eve",Settings!$B$9*Settings!$B$11,W144),IF(K144="Partial Vacation",IF(AND(ISNUMBER(H144),ISNUMBER(I144)),MAX(0,(I144-H144)*24),0),0)))</f>
        <v>0</v>
      </c>
      <c r="P144" s="14" t="n">
        <f aca="false">IF(NOT(U144),0,IF(K144="Sick Leave",W144,IF(K144="Partial Sick Leave",IF(AND(ISNUMBER(H144),ISNUMBER(I144)),MAX(0,(I144-H144)*24),0),0)))</f>
        <v>0</v>
      </c>
      <c r="Q144" s="14" t="n">
        <f aca="false">IF(NOT(U144),0,IF(K144="Vacation",IF(C144="Eve",Settings!$B$11,1),IF(K144="Partial Vacation",O144/Settings!$B$9,0)))</f>
        <v>0</v>
      </c>
      <c r="R144" s="14" t="n">
        <f aca="false">IF(NOT(U144),0,IF(K144="Sick Leave",1,IF(K144="Partial Sick Leave",P144/Settings!$B$9,0)))</f>
        <v>0</v>
      </c>
      <c r="S144" s="35" t="str">
        <f aca="false">IF(AND(OR(E144="Vacation",E144="Sick Leave",E144="Partial Vacation",E144="Partial Sick Leave"),NOT(U144)),"Leave not allowed on this day",IF(AND(E144="Manual Work",OR(NOT(ISNUMBER(F144)),NOT(ISNUMBER(G144)))),"Enter start and end",IF(AND(OR(E144="Partial Vacation",E144="Partial Sick Leave"),OR(NOT(ISNUMBER(H144)),NOT(ISNUMBER(I144)))),"Enter leave from and to",IF(AND(ISNUMBER(F144),ISNUMBER(G144),G144&lt;=F144),"End is before start",IF(AND(ISNUMBER(H144),ISNUMBER(I144),I144&lt;=H144),"Leave end is before start",IF(AND(ISNUMBER(F144),ISNUMBER(G144),ISNUMBER(H144),ISNUMBER(I144),F144&lt;I144,H144&lt;G144),"Work and leave hours overlap",IF(AND(E144&lt;&gt;"",WEEKDAY(A144)=7),"Saturday - administrator only","")))))))</f>
        <v/>
      </c>
      <c r="T144" s="36" t="n">
        <f aca="false">MONTH(A144)</f>
        <v>5</v>
      </c>
      <c r="U144" s="37" t="b">
        <f aca="false">OR(C144="Workday",C144="Eve")</f>
        <v>1</v>
      </c>
      <c r="V144" s="34" t="n">
        <f aca="false">IF(C144="Eve",Settings!$B$8,Settings!$B$7)</f>
        <v>0.6875</v>
      </c>
      <c r="W144" s="14" t="n">
        <f aca="false">IF(U144,(V144-Settings!$B$6)*24,0)</f>
        <v>8.5</v>
      </c>
    </row>
    <row r="145" customFormat="false" ht="15" hidden="false" customHeight="false" outlineLevel="0" collapsed="false">
      <c r="A145" s="29" t="n">
        <v>46161</v>
      </c>
      <c r="B145" s="30" t="str">
        <f aca="false">CHOOSE(WEEKDAY(A145),"Sun","Mon","Tue","Wed","Thu","Fri","Sat")</f>
        <v>Tue</v>
      </c>
      <c r="C145" s="30" t="str">
        <f aca="false">IF(IFERROR(INDEX(Holidays!$D$5:$D$60,MATCH(A145,Holidays!$A$5:$A$60,0)),"")="Holiday","Holiday",IF(WEEKDAY(A145)&gt;=6,"Weekend",IF(IFERROR(INDEX(Holidays!$D$5:$D$60,MATCH(A145,Holidays!$A$5:$A$60,0)),"")="Eve","Eve","Workday")))</f>
        <v>Workday</v>
      </c>
      <c r="D145" s="18" t="str">
        <f aca="false">IFERROR(INDEX(Holidays!$C$5:$C$60,MATCH(A145,Holidays!$A$5:$A$60,0)),"")</f>
        <v/>
      </c>
      <c r="E145" s="31"/>
      <c r="F145" s="32"/>
      <c r="G145" s="32"/>
      <c r="H145" s="32"/>
      <c r="I145" s="32"/>
      <c r="J145" s="31"/>
      <c r="K145" s="33" t="str">
        <f aca="false">IF(E145&lt;&gt;"",E145,IF(U145,"Present",IF(C145="Holiday","Holiday","Weekend")))</f>
        <v>Present</v>
      </c>
      <c r="L145" s="34" t="n">
        <f aca="false">IF(OR(K145="Present",K145="Manual Work",K145="Partial Vacation",K145="Partial Sick Leave"),IF(ISNUMBER(F145),F145,IF(AND(K145="Present",U145),Settings!$B$6,"")),"")</f>
        <v>0.333333333333333</v>
      </c>
      <c r="M145" s="34" t="n">
        <f aca="false">IF(OR(K145="Present",K145="Manual Work",K145="Partial Vacation",K145="Partial Sick Leave"),IF(ISNUMBER(G145),G145,IF(AND(K145="Present",U145),V145,"")),"")</f>
        <v>0.6875</v>
      </c>
      <c r="N145" s="14" t="n">
        <f aca="false">IF(AND(ISNUMBER(L145),ISNUMBER(M145)),MAX(0,(M145-L145)*24),0)</f>
        <v>8.5</v>
      </c>
      <c r="O145" s="14" t="n">
        <f aca="false">IF(NOT(U145),0,IF(K145="Vacation",IF(C145="Eve",Settings!$B$9*Settings!$B$11,W145),IF(K145="Partial Vacation",IF(AND(ISNUMBER(H145),ISNUMBER(I145)),MAX(0,(I145-H145)*24),0),0)))</f>
        <v>0</v>
      </c>
      <c r="P145" s="14" t="n">
        <f aca="false">IF(NOT(U145),0,IF(K145="Sick Leave",W145,IF(K145="Partial Sick Leave",IF(AND(ISNUMBER(H145),ISNUMBER(I145)),MAX(0,(I145-H145)*24),0),0)))</f>
        <v>0</v>
      </c>
      <c r="Q145" s="14" t="n">
        <f aca="false">IF(NOT(U145),0,IF(K145="Vacation",IF(C145="Eve",Settings!$B$11,1),IF(K145="Partial Vacation",O145/Settings!$B$9,0)))</f>
        <v>0</v>
      </c>
      <c r="R145" s="14" t="n">
        <f aca="false">IF(NOT(U145),0,IF(K145="Sick Leave",1,IF(K145="Partial Sick Leave",P145/Settings!$B$9,0)))</f>
        <v>0</v>
      </c>
      <c r="S145" s="35" t="str">
        <f aca="false">IF(AND(OR(E145="Vacation",E145="Sick Leave",E145="Partial Vacation",E145="Partial Sick Leave"),NOT(U145)),"Leave not allowed on this day",IF(AND(E145="Manual Work",OR(NOT(ISNUMBER(F145)),NOT(ISNUMBER(G145)))),"Enter start and end",IF(AND(OR(E145="Partial Vacation",E145="Partial Sick Leave"),OR(NOT(ISNUMBER(H145)),NOT(ISNUMBER(I145)))),"Enter leave from and to",IF(AND(ISNUMBER(F145),ISNUMBER(G145),G145&lt;=F145),"End is before start",IF(AND(ISNUMBER(H145),ISNUMBER(I145),I145&lt;=H145),"Leave end is before start",IF(AND(ISNUMBER(F145),ISNUMBER(G145),ISNUMBER(H145),ISNUMBER(I145),F145&lt;I145,H145&lt;G145),"Work and leave hours overlap",IF(AND(E145&lt;&gt;"",WEEKDAY(A145)=7),"Saturday - administrator only","")))))))</f>
        <v/>
      </c>
      <c r="T145" s="36" t="n">
        <f aca="false">MONTH(A145)</f>
        <v>5</v>
      </c>
      <c r="U145" s="37" t="b">
        <f aca="false">OR(C145="Workday",C145="Eve")</f>
        <v>1</v>
      </c>
      <c r="V145" s="34" t="n">
        <f aca="false">IF(C145="Eve",Settings!$B$8,Settings!$B$7)</f>
        <v>0.6875</v>
      </c>
      <c r="W145" s="14" t="n">
        <f aca="false">IF(U145,(V145-Settings!$B$6)*24,0)</f>
        <v>8.5</v>
      </c>
    </row>
    <row r="146" customFormat="false" ht="15" hidden="false" customHeight="false" outlineLevel="0" collapsed="false">
      <c r="A146" s="29" t="n">
        <v>46162</v>
      </c>
      <c r="B146" s="30" t="str">
        <f aca="false">CHOOSE(WEEKDAY(A146),"Sun","Mon","Tue","Wed","Thu","Fri","Sat")</f>
        <v>Wed</v>
      </c>
      <c r="C146" s="30" t="str">
        <f aca="false">IF(IFERROR(INDEX(Holidays!$D$5:$D$60,MATCH(A146,Holidays!$A$5:$A$60,0)),"")="Holiday","Holiday",IF(WEEKDAY(A146)&gt;=6,"Weekend",IF(IFERROR(INDEX(Holidays!$D$5:$D$60,MATCH(A146,Holidays!$A$5:$A$60,0)),"")="Eve","Eve","Workday")))</f>
        <v>Workday</v>
      </c>
      <c r="D146" s="18" t="str">
        <f aca="false">IFERROR(INDEX(Holidays!$C$5:$C$60,MATCH(A146,Holidays!$A$5:$A$60,0)),"")</f>
        <v/>
      </c>
      <c r="E146" s="31"/>
      <c r="F146" s="32"/>
      <c r="G146" s="32"/>
      <c r="H146" s="32"/>
      <c r="I146" s="32"/>
      <c r="J146" s="31"/>
      <c r="K146" s="33" t="str">
        <f aca="false">IF(E146&lt;&gt;"",E146,IF(U146,"Present",IF(C146="Holiday","Holiday","Weekend")))</f>
        <v>Present</v>
      </c>
      <c r="L146" s="34" t="n">
        <f aca="false">IF(OR(K146="Present",K146="Manual Work",K146="Partial Vacation",K146="Partial Sick Leave"),IF(ISNUMBER(F146),F146,IF(AND(K146="Present",U146),Settings!$B$6,"")),"")</f>
        <v>0.333333333333333</v>
      </c>
      <c r="M146" s="34" t="n">
        <f aca="false">IF(OR(K146="Present",K146="Manual Work",K146="Partial Vacation",K146="Partial Sick Leave"),IF(ISNUMBER(G146),G146,IF(AND(K146="Present",U146),V146,"")),"")</f>
        <v>0.6875</v>
      </c>
      <c r="N146" s="14" t="n">
        <f aca="false">IF(AND(ISNUMBER(L146),ISNUMBER(M146)),MAX(0,(M146-L146)*24),0)</f>
        <v>8.5</v>
      </c>
      <c r="O146" s="14" t="n">
        <f aca="false">IF(NOT(U146),0,IF(K146="Vacation",IF(C146="Eve",Settings!$B$9*Settings!$B$11,W146),IF(K146="Partial Vacation",IF(AND(ISNUMBER(H146),ISNUMBER(I146)),MAX(0,(I146-H146)*24),0),0)))</f>
        <v>0</v>
      </c>
      <c r="P146" s="14" t="n">
        <f aca="false">IF(NOT(U146),0,IF(K146="Sick Leave",W146,IF(K146="Partial Sick Leave",IF(AND(ISNUMBER(H146),ISNUMBER(I146)),MAX(0,(I146-H146)*24),0),0)))</f>
        <v>0</v>
      </c>
      <c r="Q146" s="14" t="n">
        <f aca="false">IF(NOT(U146),0,IF(K146="Vacation",IF(C146="Eve",Settings!$B$11,1),IF(K146="Partial Vacation",O146/Settings!$B$9,0)))</f>
        <v>0</v>
      </c>
      <c r="R146" s="14" t="n">
        <f aca="false">IF(NOT(U146),0,IF(K146="Sick Leave",1,IF(K146="Partial Sick Leave",P146/Settings!$B$9,0)))</f>
        <v>0</v>
      </c>
      <c r="S146" s="35" t="str">
        <f aca="false">IF(AND(OR(E146="Vacation",E146="Sick Leave",E146="Partial Vacation",E146="Partial Sick Leave"),NOT(U146)),"Leave not allowed on this day",IF(AND(E146="Manual Work",OR(NOT(ISNUMBER(F146)),NOT(ISNUMBER(G146)))),"Enter start and end",IF(AND(OR(E146="Partial Vacation",E146="Partial Sick Leave"),OR(NOT(ISNUMBER(H146)),NOT(ISNUMBER(I146)))),"Enter leave from and to",IF(AND(ISNUMBER(F146),ISNUMBER(G146),G146&lt;=F146),"End is before start",IF(AND(ISNUMBER(H146),ISNUMBER(I146),I146&lt;=H146),"Leave end is before start",IF(AND(ISNUMBER(F146),ISNUMBER(G146),ISNUMBER(H146),ISNUMBER(I146),F146&lt;I146,H146&lt;G146),"Work and leave hours overlap",IF(AND(E146&lt;&gt;"",WEEKDAY(A146)=7),"Saturday - administrator only","")))))))</f>
        <v/>
      </c>
      <c r="T146" s="36" t="n">
        <f aca="false">MONTH(A146)</f>
        <v>5</v>
      </c>
      <c r="U146" s="37" t="b">
        <f aca="false">OR(C146="Workday",C146="Eve")</f>
        <v>1</v>
      </c>
      <c r="V146" s="34" t="n">
        <f aca="false">IF(C146="Eve",Settings!$B$8,Settings!$B$7)</f>
        <v>0.6875</v>
      </c>
      <c r="W146" s="14" t="n">
        <f aca="false">IF(U146,(V146-Settings!$B$6)*24,0)</f>
        <v>8.5</v>
      </c>
    </row>
    <row r="147" customFormat="false" ht="15" hidden="false" customHeight="false" outlineLevel="0" collapsed="false">
      <c r="A147" s="29" t="n">
        <v>46163</v>
      </c>
      <c r="B147" s="30" t="str">
        <f aca="false">CHOOSE(WEEKDAY(A147),"Sun","Mon","Tue","Wed","Thu","Fri","Sat")</f>
        <v>Thu</v>
      </c>
      <c r="C147" s="30" t="str">
        <f aca="false">IF(IFERROR(INDEX(Holidays!$D$5:$D$60,MATCH(A147,Holidays!$A$5:$A$60,0)),"")="Holiday","Holiday",IF(WEEKDAY(A147)&gt;=6,"Weekend",IF(IFERROR(INDEX(Holidays!$D$5:$D$60,MATCH(A147,Holidays!$A$5:$A$60,0)),"")="Eve","Eve","Workday")))</f>
        <v>Eve</v>
      </c>
      <c r="D147" s="18" t="str">
        <f aca="false">IFERROR(INDEX(Holidays!$C$5:$C$60,MATCH(A147,Holidays!$A$5:$A$60,0)),"")</f>
        <v>Erev Shavuot</v>
      </c>
      <c r="E147" s="31"/>
      <c r="F147" s="32"/>
      <c r="G147" s="32"/>
      <c r="H147" s="32"/>
      <c r="I147" s="32"/>
      <c r="J147" s="31"/>
      <c r="K147" s="33" t="str">
        <f aca="false">IF(E147&lt;&gt;"",E147,IF(U147,"Present",IF(C147="Holiday","Holiday","Weekend")))</f>
        <v>Present</v>
      </c>
      <c r="L147" s="34" t="n">
        <f aca="false">IF(OR(K147="Present",K147="Manual Work",K147="Partial Vacation",K147="Partial Sick Leave"),IF(ISNUMBER(F147),F147,IF(AND(K147="Present",U147),Settings!$B$6,"")),"")</f>
        <v>0.333333333333333</v>
      </c>
      <c r="M147" s="34" t="n">
        <f aca="false">IF(OR(K147="Present",K147="Manual Work",K147="Partial Vacation",K147="Partial Sick Leave"),IF(ISNUMBER(G147),G147,IF(AND(K147="Present",U147),V147,"")),"")</f>
        <v>0.583333333333333</v>
      </c>
      <c r="N147" s="14" t="n">
        <f aca="false">IF(AND(ISNUMBER(L147),ISNUMBER(M147)),MAX(0,(M147-L147)*24),0)</f>
        <v>6</v>
      </c>
      <c r="O147" s="14" t="n">
        <f aca="false">IF(NOT(U147),0,IF(K147="Vacation",IF(C147="Eve",Settings!$B$9*Settings!$B$11,W147),IF(K147="Partial Vacation",IF(AND(ISNUMBER(H147),ISNUMBER(I147)),MAX(0,(I147-H147)*24),0),0)))</f>
        <v>0</v>
      </c>
      <c r="P147" s="14" t="n">
        <f aca="false">IF(NOT(U147),0,IF(K147="Sick Leave",W147,IF(K147="Partial Sick Leave",IF(AND(ISNUMBER(H147),ISNUMBER(I147)),MAX(0,(I147-H147)*24),0),0)))</f>
        <v>0</v>
      </c>
      <c r="Q147" s="14" t="n">
        <f aca="false">IF(NOT(U147),0,IF(K147="Vacation",IF(C147="Eve",Settings!$B$11,1),IF(K147="Partial Vacation",O147/Settings!$B$9,0)))</f>
        <v>0</v>
      </c>
      <c r="R147" s="14" t="n">
        <f aca="false">IF(NOT(U147),0,IF(K147="Sick Leave",1,IF(K147="Partial Sick Leave",P147/Settings!$B$9,0)))</f>
        <v>0</v>
      </c>
      <c r="S147" s="35" t="str">
        <f aca="false">IF(AND(OR(E147="Vacation",E147="Sick Leave",E147="Partial Vacation",E147="Partial Sick Leave"),NOT(U147)),"Leave not allowed on this day",IF(AND(E147="Manual Work",OR(NOT(ISNUMBER(F147)),NOT(ISNUMBER(G147)))),"Enter start and end",IF(AND(OR(E147="Partial Vacation",E147="Partial Sick Leave"),OR(NOT(ISNUMBER(H147)),NOT(ISNUMBER(I147)))),"Enter leave from and to",IF(AND(ISNUMBER(F147),ISNUMBER(G147),G147&lt;=F147),"End is before start",IF(AND(ISNUMBER(H147),ISNUMBER(I147),I147&lt;=H147),"Leave end is before start",IF(AND(ISNUMBER(F147),ISNUMBER(G147),ISNUMBER(H147),ISNUMBER(I147),F147&lt;I147,H147&lt;G147),"Work and leave hours overlap",IF(AND(E147&lt;&gt;"",WEEKDAY(A147)=7),"Saturday - administrator only","")))))))</f>
        <v/>
      </c>
      <c r="T147" s="36" t="n">
        <f aca="false">MONTH(A147)</f>
        <v>5</v>
      </c>
      <c r="U147" s="37" t="b">
        <f aca="false">OR(C147="Workday",C147="Eve")</f>
        <v>1</v>
      </c>
      <c r="V147" s="34" t="n">
        <f aca="false">IF(C147="Eve",Settings!$B$8,Settings!$B$7)</f>
        <v>0.583333333333333</v>
      </c>
      <c r="W147" s="14" t="n">
        <f aca="false">IF(U147,(V147-Settings!$B$6)*24,0)</f>
        <v>6</v>
      </c>
    </row>
    <row r="148" customFormat="false" ht="15" hidden="false" customHeight="false" outlineLevel="0" collapsed="false">
      <c r="A148" s="29" t="n">
        <v>46164</v>
      </c>
      <c r="B148" s="30" t="str">
        <f aca="false">CHOOSE(WEEKDAY(A148),"Sun","Mon","Tue","Wed","Thu","Fri","Sat")</f>
        <v>Fri</v>
      </c>
      <c r="C148" s="30" t="str">
        <f aca="false">IF(IFERROR(INDEX(Holidays!$D$5:$D$60,MATCH(A148,Holidays!$A$5:$A$60,0)),"")="Holiday","Holiday",IF(WEEKDAY(A148)&gt;=6,"Weekend",IF(IFERROR(INDEX(Holidays!$D$5:$D$60,MATCH(A148,Holidays!$A$5:$A$60,0)),"")="Eve","Eve","Workday")))</f>
        <v>Holiday</v>
      </c>
      <c r="D148" s="18" t="str">
        <f aca="false">IFERROR(INDEX(Holidays!$C$5:$C$60,MATCH(A148,Holidays!$A$5:$A$60,0)),"")</f>
        <v>Shavuot</v>
      </c>
      <c r="E148" s="31"/>
      <c r="F148" s="32"/>
      <c r="G148" s="32"/>
      <c r="H148" s="32"/>
      <c r="I148" s="32"/>
      <c r="J148" s="31"/>
      <c r="K148" s="33" t="str">
        <f aca="false">IF(E148&lt;&gt;"",E148,IF(U148,"Present",IF(C148="Holiday","Holiday","Weekend")))</f>
        <v>Holiday</v>
      </c>
      <c r="L148" s="34" t="str">
        <f aca="false">IF(OR(K148="Present",K148="Manual Work",K148="Partial Vacation",K148="Partial Sick Leave"),IF(ISNUMBER(F148),F148,IF(AND(K148="Present",U148),Settings!$B$6,"")),"")</f>
        <v/>
      </c>
      <c r="M148" s="34" t="str">
        <f aca="false">IF(OR(K148="Present",K148="Manual Work",K148="Partial Vacation",K148="Partial Sick Leave"),IF(ISNUMBER(G148),G148,IF(AND(K148="Present",U148),V148,"")),"")</f>
        <v/>
      </c>
      <c r="N148" s="14" t="n">
        <f aca="false">IF(AND(ISNUMBER(L148),ISNUMBER(M148)),MAX(0,(M148-L148)*24),0)</f>
        <v>0</v>
      </c>
      <c r="O148" s="14" t="n">
        <f aca="false">IF(NOT(U148),0,IF(K148="Vacation",IF(C148="Eve",Settings!$B$9*Settings!$B$11,W148),IF(K148="Partial Vacation",IF(AND(ISNUMBER(H148),ISNUMBER(I148)),MAX(0,(I148-H148)*24),0),0)))</f>
        <v>0</v>
      </c>
      <c r="P148" s="14" t="n">
        <f aca="false">IF(NOT(U148),0,IF(K148="Sick Leave",W148,IF(K148="Partial Sick Leave",IF(AND(ISNUMBER(H148),ISNUMBER(I148)),MAX(0,(I148-H148)*24),0),0)))</f>
        <v>0</v>
      </c>
      <c r="Q148" s="14" t="n">
        <f aca="false">IF(NOT(U148),0,IF(K148="Vacation",IF(C148="Eve",Settings!$B$11,1),IF(K148="Partial Vacation",O148/Settings!$B$9,0)))</f>
        <v>0</v>
      </c>
      <c r="R148" s="14" t="n">
        <f aca="false">IF(NOT(U148),0,IF(K148="Sick Leave",1,IF(K148="Partial Sick Leave",P148/Settings!$B$9,0)))</f>
        <v>0</v>
      </c>
      <c r="S148" s="35" t="str">
        <f aca="false">IF(AND(OR(E148="Vacation",E148="Sick Leave",E148="Partial Vacation",E148="Partial Sick Leave"),NOT(U148)),"Leave not allowed on this day",IF(AND(E148="Manual Work",OR(NOT(ISNUMBER(F148)),NOT(ISNUMBER(G148)))),"Enter start and end",IF(AND(OR(E148="Partial Vacation",E148="Partial Sick Leave"),OR(NOT(ISNUMBER(H148)),NOT(ISNUMBER(I148)))),"Enter leave from and to",IF(AND(ISNUMBER(F148),ISNUMBER(G148),G148&lt;=F148),"End is before start",IF(AND(ISNUMBER(H148),ISNUMBER(I148),I148&lt;=H148),"Leave end is before start",IF(AND(ISNUMBER(F148),ISNUMBER(G148),ISNUMBER(H148),ISNUMBER(I148),F148&lt;I148,H148&lt;G148),"Work and leave hours overlap",IF(AND(E148&lt;&gt;"",WEEKDAY(A148)=7),"Saturday - administrator only","")))))))</f>
        <v/>
      </c>
      <c r="T148" s="36" t="n">
        <f aca="false">MONTH(A148)</f>
        <v>5</v>
      </c>
      <c r="U148" s="37" t="b">
        <f aca="false">OR(C148="Workday",C148="Eve")</f>
        <v>0</v>
      </c>
      <c r="V148" s="34" t="n">
        <f aca="false">IF(C148="Eve",Settings!$B$8,Settings!$B$7)</f>
        <v>0.6875</v>
      </c>
      <c r="W148" s="14" t="n">
        <f aca="false">IF(U148,(V148-Settings!$B$6)*24,0)</f>
        <v>0</v>
      </c>
    </row>
    <row r="149" customFormat="false" ht="15" hidden="false" customHeight="false" outlineLevel="0" collapsed="false">
      <c r="A149" s="29" t="n">
        <v>46165</v>
      </c>
      <c r="B149" s="30" t="str">
        <f aca="false">CHOOSE(WEEKDAY(A149),"Sun","Mon","Tue","Wed","Thu","Fri","Sat")</f>
        <v>Sat</v>
      </c>
      <c r="C149" s="30" t="str">
        <f aca="false">IF(IFERROR(INDEX(Holidays!$D$5:$D$60,MATCH(A149,Holidays!$A$5:$A$60,0)),"")="Holiday","Holiday",IF(WEEKDAY(A149)&gt;=6,"Weekend",IF(IFERROR(INDEX(Holidays!$D$5:$D$60,MATCH(A149,Holidays!$A$5:$A$60,0)),"")="Eve","Eve","Workday")))</f>
        <v>Weekend</v>
      </c>
      <c r="D149" s="18" t="str">
        <f aca="false">IFERROR(INDEX(Holidays!$C$5:$C$60,MATCH(A149,Holidays!$A$5:$A$60,0)),"")</f>
        <v/>
      </c>
      <c r="E149" s="31"/>
      <c r="F149" s="32"/>
      <c r="G149" s="32"/>
      <c r="H149" s="32"/>
      <c r="I149" s="32"/>
      <c r="J149" s="31"/>
      <c r="K149" s="33" t="str">
        <f aca="false">IF(E149&lt;&gt;"",E149,IF(U149,"Present",IF(C149="Holiday","Holiday","Weekend")))</f>
        <v>Weekend</v>
      </c>
      <c r="L149" s="34" t="str">
        <f aca="false">IF(OR(K149="Present",K149="Manual Work",K149="Partial Vacation",K149="Partial Sick Leave"),IF(ISNUMBER(F149),F149,IF(AND(K149="Present",U149),Settings!$B$6,"")),"")</f>
        <v/>
      </c>
      <c r="M149" s="34" t="str">
        <f aca="false">IF(OR(K149="Present",K149="Manual Work",K149="Partial Vacation",K149="Partial Sick Leave"),IF(ISNUMBER(G149),G149,IF(AND(K149="Present",U149),V149,"")),"")</f>
        <v/>
      </c>
      <c r="N149" s="14" t="n">
        <f aca="false">IF(AND(ISNUMBER(L149),ISNUMBER(M149)),MAX(0,(M149-L149)*24),0)</f>
        <v>0</v>
      </c>
      <c r="O149" s="14" t="n">
        <f aca="false">IF(NOT(U149),0,IF(K149="Vacation",IF(C149="Eve",Settings!$B$9*Settings!$B$11,W149),IF(K149="Partial Vacation",IF(AND(ISNUMBER(H149),ISNUMBER(I149)),MAX(0,(I149-H149)*24),0),0)))</f>
        <v>0</v>
      </c>
      <c r="P149" s="14" t="n">
        <f aca="false">IF(NOT(U149),0,IF(K149="Sick Leave",W149,IF(K149="Partial Sick Leave",IF(AND(ISNUMBER(H149),ISNUMBER(I149)),MAX(0,(I149-H149)*24),0),0)))</f>
        <v>0</v>
      </c>
      <c r="Q149" s="14" t="n">
        <f aca="false">IF(NOT(U149),0,IF(K149="Vacation",IF(C149="Eve",Settings!$B$11,1),IF(K149="Partial Vacation",O149/Settings!$B$9,0)))</f>
        <v>0</v>
      </c>
      <c r="R149" s="14" t="n">
        <f aca="false">IF(NOT(U149),0,IF(K149="Sick Leave",1,IF(K149="Partial Sick Leave",P149/Settings!$B$9,0)))</f>
        <v>0</v>
      </c>
      <c r="S149" s="35" t="str">
        <f aca="false">IF(AND(OR(E149="Vacation",E149="Sick Leave",E149="Partial Vacation",E149="Partial Sick Leave"),NOT(U149)),"Leave not allowed on this day",IF(AND(E149="Manual Work",OR(NOT(ISNUMBER(F149)),NOT(ISNUMBER(G149)))),"Enter start and end",IF(AND(OR(E149="Partial Vacation",E149="Partial Sick Leave"),OR(NOT(ISNUMBER(H149)),NOT(ISNUMBER(I149)))),"Enter leave from and to",IF(AND(ISNUMBER(F149),ISNUMBER(G149),G149&lt;=F149),"End is before start",IF(AND(ISNUMBER(H149),ISNUMBER(I149),I149&lt;=H149),"Leave end is before start",IF(AND(ISNUMBER(F149),ISNUMBER(G149),ISNUMBER(H149),ISNUMBER(I149),F149&lt;I149,H149&lt;G149),"Work and leave hours overlap",IF(AND(E149&lt;&gt;"",WEEKDAY(A149)=7),"Saturday - administrator only","")))))))</f>
        <v/>
      </c>
      <c r="T149" s="36" t="n">
        <f aca="false">MONTH(A149)</f>
        <v>5</v>
      </c>
      <c r="U149" s="37" t="b">
        <f aca="false">OR(C149="Workday",C149="Eve")</f>
        <v>0</v>
      </c>
      <c r="V149" s="34" t="n">
        <f aca="false">IF(C149="Eve",Settings!$B$8,Settings!$B$7)</f>
        <v>0.6875</v>
      </c>
      <c r="W149" s="14" t="n">
        <f aca="false">IF(U149,(V149-Settings!$B$6)*24,0)</f>
        <v>0</v>
      </c>
    </row>
    <row r="150" customFormat="false" ht="15" hidden="false" customHeight="false" outlineLevel="0" collapsed="false">
      <c r="A150" s="29" t="n">
        <v>46166</v>
      </c>
      <c r="B150" s="30" t="str">
        <f aca="false">CHOOSE(WEEKDAY(A150),"Sun","Mon","Tue","Wed","Thu","Fri","Sat")</f>
        <v>Sun</v>
      </c>
      <c r="C150" s="30" t="str">
        <f aca="false">IF(IFERROR(INDEX(Holidays!$D$5:$D$60,MATCH(A150,Holidays!$A$5:$A$60,0)),"")="Holiday","Holiday",IF(WEEKDAY(A150)&gt;=6,"Weekend",IF(IFERROR(INDEX(Holidays!$D$5:$D$60,MATCH(A150,Holidays!$A$5:$A$60,0)),"")="Eve","Eve","Workday")))</f>
        <v>Workday</v>
      </c>
      <c r="D150" s="18" t="str">
        <f aca="false">IFERROR(INDEX(Holidays!$C$5:$C$60,MATCH(A150,Holidays!$A$5:$A$60,0)),"")</f>
        <v/>
      </c>
      <c r="E150" s="31"/>
      <c r="F150" s="32"/>
      <c r="G150" s="32"/>
      <c r="H150" s="32"/>
      <c r="I150" s="32"/>
      <c r="J150" s="31"/>
      <c r="K150" s="33" t="str">
        <f aca="false">IF(E150&lt;&gt;"",E150,IF(U150,"Present",IF(C150="Holiday","Holiday","Weekend")))</f>
        <v>Present</v>
      </c>
      <c r="L150" s="34" t="n">
        <f aca="false">IF(OR(K150="Present",K150="Manual Work",K150="Partial Vacation",K150="Partial Sick Leave"),IF(ISNUMBER(F150),F150,IF(AND(K150="Present",U150),Settings!$B$6,"")),"")</f>
        <v>0.333333333333333</v>
      </c>
      <c r="M150" s="34" t="n">
        <f aca="false">IF(OR(K150="Present",K150="Manual Work",K150="Partial Vacation",K150="Partial Sick Leave"),IF(ISNUMBER(G150),G150,IF(AND(K150="Present",U150),V150,"")),"")</f>
        <v>0.6875</v>
      </c>
      <c r="N150" s="14" t="n">
        <f aca="false">IF(AND(ISNUMBER(L150),ISNUMBER(M150)),MAX(0,(M150-L150)*24),0)</f>
        <v>8.5</v>
      </c>
      <c r="O150" s="14" t="n">
        <f aca="false">IF(NOT(U150),0,IF(K150="Vacation",IF(C150="Eve",Settings!$B$9*Settings!$B$11,W150),IF(K150="Partial Vacation",IF(AND(ISNUMBER(H150),ISNUMBER(I150)),MAX(0,(I150-H150)*24),0),0)))</f>
        <v>0</v>
      </c>
      <c r="P150" s="14" t="n">
        <f aca="false">IF(NOT(U150),0,IF(K150="Sick Leave",W150,IF(K150="Partial Sick Leave",IF(AND(ISNUMBER(H150),ISNUMBER(I150)),MAX(0,(I150-H150)*24),0),0)))</f>
        <v>0</v>
      </c>
      <c r="Q150" s="14" t="n">
        <f aca="false">IF(NOT(U150),0,IF(K150="Vacation",IF(C150="Eve",Settings!$B$11,1),IF(K150="Partial Vacation",O150/Settings!$B$9,0)))</f>
        <v>0</v>
      </c>
      <c r="R150" s="14" t="n">
        <f aca="false">IF(NOT(U150),0,IF(K150="Sick Leave",1,IF(K150="Partial Sick Leave",P150/Settings!$B$9,0)))</f>
        <v>0</v>
      </c>
      <c r="S150" s="35" t="str">
        <f aca="false">IF(AND(OR(E150="Vacation",E150="Sick Leave",E150="Partial Vacation",E150="Partial Sick Leave"),NOT(U150)),"Leave not allowed on this day",IF(AND(E150="Manual Work",OR(NOT(ISNUMBER(F150)),NOT(ISNUMBER(G150)))),"Enter start and end",IF(AND(OR(E150="Partial Vacation",E150="Partial Sick Leave"),OR(NOT(ISNUMBER(H150)),NOT(ISNUMBER(I150)))),"Enter leave from and to",IF(AND(ISNUMBER(F150),ISNUMBER(G150),G150&lt;=F150),"End is before start",IF(AND(ISNUMBER(H150),ISNUMBER(I150),I150&lt;=H150),"Leave end is before start",IF(AND(ISNUMBER(F150),ISNUMBER(G150),ISNUMBER(H150),ISNUMBER(I150),F150&lt;I150,H150&lt;G150),"Work and leave hours overlap",IF(AND(E150&lt;&gt;"",WEEKDAY(A150)=7),"Saturday - administrator only","")))))))</f>
        <v/>
      </c>
      <c r="T150" s="36" t="n">
        <f aca="false">MONTH(A150)</f>
        <v>5</v>
      </c>
      <c r="U150" s="37" t="b">
        <f aca="false">OR(C150="Workday",C150="Eve")</f>
        <v>1</v>
      </c>
      <c r="V150" s="34" t="n">
        <f aca="false">IF(C150="Eve",Settings!$B$8,Settings!$B$7)</f>
        <v>0.6875</v>
      </c>
      <c r="W150" s="14" t="n">
        <f aca="false">IF(U150,(V150-Settings!$B$6)*24,0)</f>
        <v>8.5</v>
      </c>
    </row>
    <row r="151" customFormat="false" ht="15" hidden="false" customHeight="false" outlineLevel="0" collapsed="false">
      <c r="A151" s="29" t="n">
        <v>46167</v>
      </c>
      <c r="B151" s="30" t="str">
        <f aca="false">CHOOSE(WEEKDAY(A151),"Sun","Mon","Tue","Wed","Thu","Fri","Sat")</f>
        <v>Mon</v>
      </c>
      <c r="C151" s="30" t="str">
        <f aca="false">IF(IFERROR(INDEX(Holidays!$D$5:$D$60,MATCH(A151,Holidays!$A$5:$A$60,0)),"")="Holiday","Holiday",IF(WEEKDAY(A151)&gt;=6,"Weekend",IF(IFERROR(INDEX(Holidays!$D$5:$D$60,MATCH(A151,Holidays!$A$5:$A$60,0)),"")="Eve","Eve","Workday")))</f>
        <v>Workday</v>
      </c>
      <c r="D151" s="18" t="str">
        <f aca="false">IFERROR(INDEX(Holidays!$C$5:$C$60,MATCH(A151,Holidays!$A$5:$A$60,0)),"")</f>
        <v/>
      </c>
      <c r="E151" s="31"/>
      <c r="F151" s="32"/>
      <c r="G151" s="32"/>
      <c r="H151" s="32"/>
      <c r="I151" s="32"/>
      <c r="J151" s="31"/>
      <c r="K151" s="33" t="str">
        <f aca="false">IF(E151&lt;&gt;"",E151,IF(U151,"Present",IF(C151="Holiday","Holiday","Weekend")))</f>
        <v>Present</v>
      </c>
      <c r="L151" s="34" t="n">
        <f aca="false">IF(OR(K151="Present",K151="Manual Work",K151="Partial Vacation",K151="Partial Sick Leave"),IF(ISNUMBER(F151),F151,IF(AND(K151="Present",U151),Settings!$B$6,"")),"")</f>
        <v>0.333333333333333</v>
      </c>
      <c r="M151" s="34" t="n">
        <f aca="false">IF(OR(K151="Present",K151="Manual Work",K151="Partial Vacation",K151="Partial Sick Leave"),IF(ISNUMBER(G151),G151,IF(AND(K151="Present",U151),V151,"")),"")</f>
        <v>0.6875</v>
      </c>
      <c r="N151" s="14" t="n">
        <f aca="false">IF(AND(ISNUMBER(L151),ISNUMBER(M151)),MAX(0,(M151-L151)*24),0)</f>
        <v>8.5</v>
      </c>
      <c r="O151" s="14" t="n">
        <f aca="false">IF(NOT(U151),0,IF(K151="Vacation",IF(C151="Eve",Settings!$B$9*Settings!$B$11,W151),IF(K151="Partial Vacation",IF(AND(ISNUMBER(H151),ISNUMBER(I151)),MAX(0,(I151-H151)*24),0),0)))</f>
        <v>0</v>
      </c>
      <c r="P151" s="14" t="n">
        <f aca="false">IF(NOT(U151),0,IF(K151="Sick Leave",W151,IF(K151="Partial Sick Leave",IF(AND(ISNUMBER(H151),ISNUMBER(I151)),MAX(0,(I151-H151)*24),0),0)))</f>
        <v>0</v>
      </c>
      <c r="Q151" s="14" t="n">
        <f aca="false">IF(NOT(U151),0,IF(K151="Vacation",IF(C151="Eve",Settings!$B$11,1),IF(K151="Partial Vacation",O151/Settings!$B$9,0)))</f>
        <v>0</v>
      </c>
      <c r="R151" s="14" t="n">
        <f aca="false">IF(NOT(U151),0,IF(K151="Sick Leave",1,IF(K151="Partial Sick Leave",P151/Settings!$B$9,0)))</f>
        <v>0</v>
      </c>
      <c r="S151" s="35" t="str">
        <f aca="false">IF(AND(OR(E151="Vacation",E151="Sick Leave",E151="Partial Vacation",E151="Partial Sick Leave"),NOT(U151)),"Leave not allowed on this day",IF(AND(E151="Manual Work",OR(NOT(ISNUMBER(F151)),NOT(ISNUMBER(G151)))),"Enter start and end",IF(AND(OR(E151="Partial Vacation",E151="Partial Sick Leave"),OR(NOT(ISNUMBER(H151)),NOT(ISNUMBER(I151)))),"Enter leave from and to",IF(AND(ISNUMBER(F151),ISNUMBER(G151),G151&lt;=F151),"End is before start",IF(AND(ISNUMBER(H151),ISNUMBER(I151),I151&lt;=H151),"Leave end is before start",IF(AND(ISNUMBER(F151),ISNUMBER(G151),ISNUMBER(H151),ISNUMBER(I151),F151&lt;I151,H151&lt;G151),"Work and leave hours overlap",IF(AND(E151&lt;&gt;"",WEEKDAY(A151)=7),"Saturday - administrator only","")))))))</f>
        <v/>
      </c>
      <c r="T151" s="36" t="n">
        <f aca="false">MONTH(A151)</f>
        <v>5</v>
      </c>
      <c r="U151" s="37" t="b">
        <f aca="false">OR(C151="Workday",C151="Eve")</f>
        <v>1</v>
      </c>
      <c r="V151" s="34" t="n">
        <f aca="false">IF(C151="Eve",Settings!$B$8,Settings!$B$7)</f>
        <v>0.6875</v>
      </c>
      <c r="W151" s="14" t="n">
        <f aca="false">IF(U151,(V151-Settings!$B$6)*24,0)</f>
        <v>8.5</v>
      </c>
    </row>
    <row r="152" customFormat="false" ht="15" hidden="false" customHeight="false" outlineLevel="0" collapsed="false">
      <c r="A152" s="29" t="n">
        <v>46168</v>
      </c>
      <c r="B152" s="30" t="str">
        <f aca="false">CHOOSE(WEEKDAY(A152),"Sun","Mon","Tue","Wed","Thu","Fri","Sat")</f>
        <v>Tue</v>
      </c>
      <c r="C152" s="30" t="str">
        <f aca="false">IF(IFERROR(INDEX(Holidays!$D$5:$D$60,MATCH(A152,Holidays!$A$5:$A$60,0)),"")="Holiday","Holiday",IF(WEEKDAY(A152)&gt;=6,"Weekend",IF(IFERROR(INDEX(Holidays!$D$5:$D$60,MATCH(A152,Holidays!$A$5:$A$60,0)),"")="Eve","Eve","Workday")))</f>
        <v>Workday</v>
      </c>
      <c r="D152" s="18" t="str">
        <f aca="false">IFERROR(INDEX(Holidays!$C$5:$C$60,MATCH(A152,Holidays!$A$5:$A$60,0)),"")</f>
        <v/>
      </c>
      <c r="E152" s="31"/>
      <c r="F152" s="32"/>
      <c r="G152" s="32"/>
      <c r="H152" s="32"/>
      <c r="I152" s="32"/>
      <c r="J152" s="31"/>
      <c r="K152" s="33" t="str">
        <f aca="false">IF(E152&lt;&gt;"",E152,IF(U152,"Present",IF(C152="Holiday","Holiday","Weekend")))</f>
        <v>Present</v>
      </c>
      <c r="L152" s="34" t="n">
        <f aca="false">IF(OR(K152="Present",K152="Manual Work",K152="Partial Vacation",K152="Partial Sick Leave"),IF(ISNUMBER(F152),F152,IF(AND(K152="Present",U152),Settings!$B$6,"")),"")</f>
        <v>0.333333333333333</v>
      </c>
      <c r="M152" s="34" t="n">
        <f aca="false">IF(OR(K152="Present",K152="Manual Work",K152="Partial Vacation",K152="Partial Sick Leave"),IF(ISNUMBER(G152),G152,IF(AND(K152="Present",U152),V152,"")),"")</f>
        <v>0.6875</v>
      </c>
      <c r="N152" s="14" t="n">
        <f aca="false">IF(AND(ISNUMBER(L152),ISNUMBER(M152)),MAX(0,(M152-L152)*24),0)</f>
        <v>8.5</v>
      </c>
      <c r="O152" s="14" t="n">
        <f aca="false">IF(NOT(U152),0,IF(K152="Vacation",IF(C152="Eve",Settings!$B$9*Settings!$B$11,W152),IF(K152="Partial Vacation",IF(AND(ISNUMBER(H152),ISNUMBER(I152)),MAX(0,(I152-H152)*24),0),0)))</f>
        <v>0</v>
      </c>
      <c r="P152" s="14" t="n">
        <f aca="false">IF(NOT(U152),0,IF(K152="Sick Leave",W152,IF(K152="Partial Sick Leave",IF(AND(ISNUMBER(H152),ISNUMBER(I152)),MAX(0,(I152-H152)*24),0),0)))</f>
        <v>0</v>
      </c>
      <c r="Q152" s="14" t="n">
        <f aca="false">IF(NOT(U152),0,IF(K152="Vacation",IF(C152="Eve",Settings!$B$11,1),IF(K152="Partial Vacation",O152/Settings!$B$9,0)))</f>
        <v>0</v>
      </c>
      <c r="R152" s="14" t="n">
        <f aca="false">IF(NOT(U152),0,IF(K152="Sick Leave",1,IF(K152="Partial Sick Leave",P152/Settings!$B$9,0)))</f>
        <v>0</v>
      </c>
      <c r="S152" s="35" t="str">
        <f aca="false">IF(AND(OR(E152="Vacation",E152="Sick Leave",E152="Partial Vacation",E152="Partial Sick Leave"),NOT(U152)),"Leave not allowed on this day",IF(AND(E152="Manual Work",OR(NOT(ISNUMBER(F152)),NOT(ISNUMBER(G152)))),"Enter start and end",IF(AND(OR(E152="Partial Vacation",E152="Partial Sick Leave"),OR(NOT(ISNUMBER(H152)),NOT(ISNUMBER(I152)))),"Enter leave from and to",IF(AND(ISNUMBER(F152),ISNUMBER(G152),G152&lt;=F152),"End is before start",IF(AND(ISNUMBER(H152),ISNUMBER(I152),I152&lt;=H152),"Leave end is before start",IF(AND(ISNUMBER(F152),ISNUMBER(G152),ISNUMBER(H152),ISNUMBER(I152),F152&lt;I152,H152&lt;G152),"Work and leave hours overlap",IF(AND(E152&lt;&gt;"",WEEKDAY(A152)=7),"Saturday - administrator only","")))))))</f>
        <v/>
      </c>
      <c r="T152" s="36" t="n">
        <f aca="false">MONTH(A152)</f>
        <v>5</v>
      </c>
      <c r="U152" s="37" t="b">
        <f aca="false">OR(C152="Workday",C152="Eve")</f>
        <v>1</v>
      </c>
      <c r="V152" s="34" t="n">
        <f aca="false">IF(C152="Eve",Settings!$B$8,Settings!$B$7)</f>
        <v>0.6875</v>
      </c>
      <c r="W152" s="14" t="n">
        <f aca="false">IF(U152,(V152-Settings!$B$6)*24,0)</f>
        <v>8.5</v>
      </c>
    </row>
    <row r="153" customFormat="false" ht="15" hidden="false" customHeight="false" outlineLevel="0" collapsed="false">
      <c r="A153" s="29" t="n">
        <v>46169</v>
      </c>
      <c r="B153" s="30" t="str">
        <f aca="false">CHOOSE(WEEKDAY(A153),"Sun","Mon","Tue","Wed","Thu","Fri","Sat")</f>
        <v>Wed</v>
      </c>
      <c r="C153" s="30" t="str">
        <f aca="false">IF(IFERROR(INDEX(Holidays!$D$5:$D$60,MATCH(A153,Holidays!$A$5:$A$60,0)),"")="Holiday","Holiday",IF(WEEKDAY(A153)&gt;=6,"Weekend",IF(IFERROR(INDEX(Holidays!$D$5:$D$60,MATCH(A153,Holidays!$A$5:$A$60,0)),"")="Eve","Eve","Workday")))</f>
        <v>Workday</v>
      </c>
      <c r="D153" s="18" t="str">
        <f aca="false">IFERROR(INDEX(Holidays!$C$5:$C$60,MATCH(A153,Holidays!$A$5:$A$60,0)),"")</f>
        <v/>
      </c>
      <c r="E153" s="31"/>
      <c r="F153" s="32"/>
      <c r="G153" s="32"/>
      <c r="H153" s="32"/>
      <c r="I153" s="32"/>
      <c r="J153" s="31"/>
      <c r="K153" s="33" t="str">
        <f aca="false">IF(E153&lt;&gt;"",E153,IF(U153,"Present",IF(C153="Holiday","Holiday","Weekend")))</f>
        <v>Present</v>
      </c>
      <c r="L153" s="34" t="n">
        <f aca="false">IF(OR(K153="Present",K153="Manual Work",K153="Partial Vacation",K153="Partial Sick Leave"),IF(ISNUMBER(F153),F153,IF(AND(K153="Present",U153),Settings!$B$6,"")),"")</f>
        <v>0.333333333333333</v>
      </c>
      <c r="M153" s="34" t="n">
        <f aca="false">IF(OR(K153="Present",K153="Manual Work",K153="Partial Vacation",K153="Partial Sick Leave"),IF(ISNUMBER(G153),G153,IF(AND(K153="Present",U153),V153,"")),"")</f>
        <v>0.6875</v>
      </c>
      <c r="N153" s="14" t="n">
        <f aca="false">IF(AND(ISNUMBER(L153),ISNUMBER(M153)),MAX(0,(M153-L153)*24),0)</f>
        <v>8.5</v>
      </c>
      <c r="O153" s="14" t="n">
        <f aca="false">IF(NOT(U153),0,IF(K153="Vacation",IF(C153="Eve",Settings!$B$9*Settings!$B$11,W153),IF(K153="Partial Vacation",IF(AND(ISNUMBER(H153),ISNUMBER(I153)),MAX(0,(I153-H153)*24),0),0)))</f>
        <v>0</v>
      </c>
      <c r="P153" s="14" t="n">
        <f aca="false">IF(NOT(U153),0,IF(K153="Sick Leave",W153,IF(K153="Partial Sick Leave",IF(AND(ISNUMBER(H153),ISNUMBER(I153)),MAX(0,(I153-H153)*24),0),0)))</f>
        <v>0</v>
      </c>
      <c r="Q153" s="14" t="n">
        <f aca="false">IF(NOT(U153),0,IF(K153="Vacation",IF(C153="Eve",Settings!$B$11,1),IF(K153="Partial Vacation",O153/Settings!$B$9,0)))</f>
        <v>0</v>
      </c>
      <c r="R153" s="14" t="n">
        <f aca="false">IF(NOT(U153),0,IF(K153="Sick Leave",1,IF(K153="Partial Sick Leave",P153/Settings!$B$9,0)))</f>
        <v>0</v>
      </c>
      <c r="S153" s="35" t="str">
        <f aca="false">IF(AND(OR(E153="Vacation",E153="Sick Leave",E153="Partial Vacation",E153="Partial Sick Leave"),NOT(U153)),"Leave not allowed on this day",IF(AND(E153="Manual Work",OR(NOT(ISNUMBER(F153)),NOT(ISNUMBER(G153)))),"Enter start and end",IF(AND(OR(E153="Partial Vacation",E153="Partial Sick Leave"),OR(NOT(ISNUMBER(H153)),NOT(ISNUMBER(I153)))),"Enter leave from and to",IF(AND(ISNUMBER(F153),ISNUMBER(G153),G153&lt;=F153),"End is before start",IF(AND(ISNUMBER(H153),ISNUMBER(I153),I153&lt;=H153),"Leave end is before start",IF(AND(ISNUMBER(F153),ISNUMBER(G153),ISNUMBER(H153),ISNUMBER(I153),F153&lt;I153,H153&lt;G153),"Work and leave hours overlap",IF(AND(E153&lt;&gt;"",WEEKDAY(A153)=7),"Saturday - administrator only","")))))))</f>
        <v/>
      </c>
      <c r="T153" s="36" t="n">
        <f aca="false">MONTH(A153)</f>
        <v>5</v>
      </c>
      <c r="U153" s="37" t="b">
        <f aca="false">OR(C153="Workday",C153="Eve")</f>
        <v>1</v>
      </c>
      <c r="V153" s="34" t="n">
        <f aca="false">IF(C153="Eve",Settings!$B$8,Settings!$B$7)</f>
        <v>0.6875</v>
      </c>
      <c r="W153" s="14" t="n">
        <f aca="false">IF(U153,(V153-Settings!$B$6)*24,0)</f>
        <v>8.5</v>
      </c>
    </row>
    <row r="154" customFormat="false" ht="15" hidden="false" customHeight="false" outlineLevel="0" collapsed="false">
      <c r="A154" s="29" t="n">
        <v>46170</v>
      </c>
      <c r="B154" s="30" t="str">
        <f aca="false">CHOOSE(WEEKDAY(A154),"Sun","Mon","Tue","Wed","Thu","Fri","Sat")</f>
        <v>Thu</v>
      </c>
      <c r="C154" s="30" t="str">
        <f aca="false">IF(IFERROR(INDEX(Holidays!$D$5:$D$60,MATCH(A154,Holidays!$A$5:$A$60,0)),"")="Holiday","Holiday",IF(WEEKDAY(A154)&gt;=6,"Weekend",IF(IFERROR(INDEX(Holidays!$D$5:$D$60,MATCH(A154,Holidays!$A$5:$A$60,0)),"")="Eve","Eve","Workday")))</f>
        <v>Workday</v>
      </c>
      <c r="D154" s="18" t="str">
        <f aca="false">IFERROR(INDEX(Holidays!$C$5:$C$60,MATCH(A154,Holidays!$A$5:$A$60,0)),"")</f>
        <v/>
      </c>
      <c r="E154" s="31"/>
      <c r="F154" s="32"/>
      <c r="G154" s="32"/>
      <c r="H154" s="32"/>
      <c r="I154" s="32"/>
      <c r="J154" s="31"/>
      <c r="K154" s="33" t="str">
        <f aca="false">IF(E154&lt;&gt;"",E154,IF(U154,"Present",IF(C154="Holiday","Holiday","Weekend")))</f>
        <v>Present</v>
      </c>
      <c r="L154" s="34" t="n">
        <f aca="false">IF(OR(K154="Present",K154="Manual Work",K154="Partial Vacation",K154="Partial Sick Leave"),IF(ISNUMBER(F154),F154,IF(AND(K154="Present",U154),Settings!$B$6,"")),"")</f>
        <v>0.333333333333333</v>
      </c>
      <c r="M154" s="34" t="n">
        <f aca="false">IF(OR(K154="Present",K154="Manual Work",K154="Partial Vacation",K154="Partial Sick Leave"),IF(ISNUMBER(G154),G154,IF(AND(K154="Present",U154),V154,"")),"")</f>
        <v>0.6875</v>
      </c>
      <c r="N154" s="14" t="n">
        <f aca="false">IF(AND(ISNUMBER(L154),ISNUMBER(M154)),MAX(0,(M154-L154)*24),0)</f>
        <v>8.5</v>
      </c>
      <c r="O154" s="14" t="n">
        <f aca="false">IF(NOT(U154),0,IF(K154="Vacation",IF(C154="Eve",Settings!$B$9*Settings!$B$11,W154),IF(K154="Partial Vacation",IF(AND(ISNUMBER(H154),ISNUMBER(I154)),MAX(0,(I154-H154)*24),0),0)))</f>
        <v>0</v>
      </c>
      <c r="P154" s="14" t="n">
        <f aca="false">IF(NOT(U154),0,IF(K154="Sick Leave",W154,IF(K154="Partial Sick Leave",IF(AND(ISNUMBER(H154),ISNUMBER(I154)),MAX(0,(I154-H154)*24),0),0)))</f>
        <v>0</v>
      </c>
      <c r="Q154" s="14" t="n">
        <f aca="false">IF(NOT(U154),0,IF(K154="Vacation",IF(C154="Eve",Settings!$B$11,1),IF(K154="Partial Vacation",O154/Settings!$B$9,0)))</f>
        <v>0</v>
      </c>
      <c r="R154" s="14" t="n">
        <f aca="false">IF(NOT(U154),0,IF(K154="Sick Leave",1,IF(K154="Partial Sick Leave",P154/Settings!$B$9,0)))</f>
        <v>0</v>
      </c>
      <c r="S154" s="35" t="str">
        <f aca="false">IF(AND(OR(E154="Vacation",E154="Sick Leave",E154="Partial Vacation",E154="Partial Sick Leave"),NOT(U154)),"Leave not allowed on this day",IF(AND(E154="Manual Work",OR(NOT(ISNUMBER(F154)),NOT(ISNUMBER(G154)))),"Enter start and end",IF(AND(OR(E154="Partial Vacation",E154="Partial Sick Leave"),OR(NOT(ISNUMBER(H154)),NOT(ISNUMBER(I154)))),"Enter leave from and to",IF(AND(ISNUMBER(F154),ISNUMBER(G154),G154&lt;=F154),"End is before start",IF(AND(ISNUMBER(H154),ISNUMBER(I154),I154&lt;=H154),"Leave end is before start",IF(AND(ISNUMBER(F154),ISNUMBER(G154),ISNUMBER(H154),ISNUMBER(I154),F154&lt;I154,H154&lt;G154),"Work and leave hours overlap",IF(AND(E154&lt;&gt;"",WEEKDAY(A154)=7),"Saturday - administrator only","")))))))</f>
        <v/>
      </c>
      <c r="T154" s="36" t="n">
        <f aca="false">MONTH(A154)</f>
        <v>5</v>
      </c>
      <c r="U154" s="37" t="b">
        <f aca="false">OR(C154="Workday",C154="Eve")</f>
        <v>1</v>
      </c>
      <c r="V154" s="34" t="n">
        <f aca="false">IF(C154="Eve",Settings!$B$8,Settings!$B$7)</f>
        <v>0.6875</v>
      </c>
      <c r="W154" s="14" t="n">
        <f aca="false">IF(U154,(V154-Settings!$B$6)*24,0)</f>
        <v>8.5</v>
      </c>
    </row>
    <row r="155" customFormat="false" ht="15" hidden="false" customHeight="false" outlineLevel="0" collapsed="false">
      <c r="A155" s="29" t="n">
        <v>46171</v>
      </c>
      <c r="B155" s="30" t="str">
        <f aca="false">CHOOSE(WEEKDAY(A155),"Sun","Mon","Tue","Wed","Thu","Fri","Sat")</f>
        <v>Fri</v>
      </c>
      <c r="C155" s="30" t="str">
        <f aca="false">IF(IFERROR(INDEX(Holidays!$D$5:$D$60,MATCH(A155,Holidays!$A$5:$A$60,0)),"")="Holiday","Holiday",IF(WEEKDAY(A155)&gt;=6,"Weekend",IF(IFERROR(INDEX(Holidays!$D$5:$D$60,MATCH(A155,Holidays!$A$5:$A$60,0)),"")="Eve","Eve","Workday")))</f>
        <v>Weekend</v>
      </c>
      <c r="D155" s="18" t="str">
        <f aca="false">IFERROR(INDEX(Holidays!$C$5:$C$60,MATCH(A155,Holidays!$A$5:$A$60,0)),"")</f>
        <v/>
      </c>
      <c r="E155" s="31"/>
      <c r="F155" s="32"/>
      <c r="G155" s="32"/>
      <c r="H155" s="32"/>
      <c r="I155" s="32"/>
      <c r="J155" s="31"/>
      <c r="K155" s="33" t="str">
        <f aca="false">IF(E155&lt;&gt;"",E155,IF(U155,"Present",IF(C155="Holiday","Holiday","Weekend")))</f>
        <v>Weekend</v>
      </c>
      <c r="L155" s="34" t="str">
        <f aca="false">IF(OR(K155="Present",K155="Manual Work",K155="Partial Vacation",K155="Partial Sick Leave"),IF(ISNUMBER(F155),F155,IF(AND(K155="Present",U155),Settings!$B$6,"")),"")</f>
        <v/>
      </c>
      <c r="M155" s="34" t="str">
        <f aca="false">IF(OR(K155="Present",K155="Manual Work",K155="Partial Vacation",K155="Partial Sick Leave"),IF(ISNUMBER(G155),G155,IF(AND(K155="Present",U155),V155,"")),"")</f>
        <v/>
      </c>
      <c r="N155" s="14" t="n">
        <f aca="false">IF(AND(ISNUMBER(L155),ISNUMBER(M155)),MAX(0,(M155-L155)*24),0)</f>
        <v>0</v>
      </c>
      <c r="O155" s="14" t="n">
        <f aca="false">IF(NOT(U155),0,IF(K155="Vacation",IF(C155="Eve",Settings!$B$9*Settings!$B$11,W155),IF(K155="Partial Vacation",IF(AND(ISNUMBER(H155),ISNUMBER(I155)),MAX(0,(I155-H155)*24),0),0)))</f>
        <v>0</v>
      </c>
      <c r="P155" s="14" t="n">
        <f aca="false">IF(NOT(U155),0,IF(K155="Sick Leave",W155,IF(K155="Partial Sick Leave",IF(AND(ISNUMBER(H155),ISNUMBER(I155)),MAX(0,(I155-H155)*24),0),0)))</f>
        <v>0</v>
      </c>
      <c r="Q155" s="14" t="n">
        <f aca="false">IF(NOT(U155),0,IF(K155="Vacation",IF(C155="Eve",Settings!$B$11,1),IF(K155="Partial Vacation",O155/Settings!$B$9,0)))</f>
        <v>0</v>
      </c>
      <c r="R155" s="14" t="n">
        <f aca="false">IF(NOT(U155),0,IF(K155="Sick Leave",1,IF(K155="Partial Sick Leave",P155/Settings!$B$9,0)))</f>
        <v>0</v>
      </c>
      <c r="S155" s="35" t="str">
        <f aca="false">IF(AND(OR(E155="Vacation",E155="Sick Leave",E155="Partial Vacation",E155="Partial Sick Leave"),NOT(U155)),"Leave not allowed on this day",IF(AND(E155="Manual Work",OR(NOT(ISNUMBER(F155)),NOT(ISNUMBER(G155)))),"Enter start and end",IF(AND(OR(E155="Partial Vacation",E155="Partial Sick Leave"),OR(NOT(ISNUMBER(H155)),NOT(ISNUMBER(I155)))),"Enter leave from and to",IF(AND(ISNUMBER(F155),ISNUMBER(G155),G155&lt;=F155),"End is before start",IF(AND(ISNUMBER(H155),ISNUMBER(I155),I155&lt;=H155),"Leave end is before start",IF(AND(ISNUMBER(F155),ISNUMBER(G155),ISNUMBER(H155),ISNUMBER(I155),F155&lt;I155,H155&lt;G155),"Work and leave hours overlap",IF(AND(E155&lt;&gt;"",WEEKDAY(A155)=7),"Saturday - administrator only","")))))))</f>
        <v/>
      </c>
      <c r="T155" s="36" t="n">
        <f aca="false">MONTH(A155)</f>
        <v>5</v>
      </c>
      <c r="U155" s="37" t="b">
        <f aca="false">OR(C155="Workday",C155="Eve")</f>
        <v>0</v>
      </c>
      <c r="V155" s="34" t="n">
        <f aca="false">IF(C155="Eve",Settings!$B$8,Settings!$B$7)</f>
        <v>0.6875</v>
      </c>
      <c r="W155" s="14" t="n">
        <f aca="false">IF(U155,(V155-Settings!$B$6)*24,0)</f>
        <v>0</v>
      </c>
    </row>
    <row r="156" customFormat="false" ht="15" hidden="false" customHeight="false" outlineLevel="0" collapsed="false">
      <c r="A156" s="29" t="n">
        <v>46172</v>
      </c>
      <c r="B156" s="30" t="str">
        <f aca="false">CHOOSE(WEEKDAY(A156),"Sun","Mon","Tue","Wed","Thu","Fri","Sat")</f>
        <v>Sat</v>
      </c>
      <c r="C156" s="30" t="str">
        <f aca="false">IF(IFERROR(INDEX(Holidays!$D$5:$D$60,MATCH(A156,Holidays!$A$5:$A$60,0)),"")="Holiday","Holiday",IF(WEEKDAY(A156)&gt;=6,"Weekend",IF(IFERROR(INDEX(Holidays!$D$5:$D$60,MATCH(A156,Holidays!$A$5:$A$60,0)),"")="Eve","Eve","Workday")))</f>
        <v>Weekend</v>
      </c>
      <c r="D156" s="18" t="str">
        <f aca="false">IFERROR(INDEX(Holidays!$C$5:$C$60,MATCH(A156,Holidays!$A$5:$A$60,0)),"")</f>
        <v/>
      </c>
      <c r="E156" s="31"/>
      <c r="F156" s="32"/>
      <c r="G156" s="32"/>
      <c r="H156" s="32"/>
      <c r="I156" s="32"/>
      <c r="J156" s="31"/>
      <c r="K156" s="33" t="str">
        <f aca="false">IF(E156&lt;&gt;"",E156,IF(U156,"Present",IF(C156="Holiday","Holiday","Weekend")))</f>
        <v>Weekend</v>
      </c>
      <c r="L156" s="34" t="str">
        <f aca="false">IF(OR(K156="Present",K156="Manual Work",K156="Partial Vacation",K156="Partial Sick Leave"),IF(ISNUMBER(F156),F156,IF(AND(K156="Present",U156),Settings!$B$6,"")),"")</f>
        <v/>
      </c>
      <c r="M156" s="34" t="str">
        <f aca="false">IF(OR(K156="Present",K156="Manual Work",K156="Partial Vacation",K156="Partial Sick Leave"),IF(ISNUMBER(G156),G156,IF(AND(K156="Present",U156),V156,"")),"")</f>
        <v/>
      </c>
      <c r="N156" s="14" t="n">
        <f aca="false">IF(AND(ISNUMBER(L156),ISNUMBER(M156)),MAX(0,(M156-L156)*24),0)</f>
        <v>0</v>
      </c>
      <c r="O156" s="14" t="n">
        <f aca="false">IF(NOT(U156),0,IF(K156="Vacation",IF(C156="Eve",Settings!$B$9*Settings!$B$11,W156),IF(K156="Partial Vacation",IF(AND(ISNUMBER(H156),ISNUMBER(I156)),MAX(0,(I156-H156)*24),0),0)))</f>
        <v>0</v>
      </c>
      <c r="P156" s="14" t="n">
        <f aca="false">IF(NOT(U156),0,IF(K156="Sick Leave",W156,IF(K156="Partial Sick Leave",IF(AND(ISNUMBER(H156),ISNUMBER(I156)),MAX(0,(I156-H156)*24),0),0)))</f>
        <v>0</v>
      </c>
      <c r="Q156" s="14" t="n">
        <f aca="false">IF(NOT(U156),0,IF(K156="Vacation",IF(C156="Eve",Settings!$B$11,1),IF(K156="Partial Vacation",O156/Settings!$B$9,0)))</f>
        <v>0</v>
      </c>
      <c r="R156" s="14" t="n">
        <f aca="false">IF(NOT(U156),0,IF(K156="Sick Leave",1,IF(K156="Partial Sick Leave",P156/Settings!$B$9,0)))</f>
        <v>0</v>
      </c>
      <c r="S156" s="35" t="str">
        <f aca="false">IF(AND(OR(E156="Vacation",E156="Sick Leave",E156="Partial Vacation",E156="Partial Sick Leave"),NOT(U156)),"Leave not allowed on this day",IF(AND(E156="Manual Work",OR(NOT(ISNUMBER(F156)),NOT(ISNUMBER(G156)))),"Enter start and end",IF(AND(OR(E156="Partial Vacation",E156="Partial Sick Leave"),OR(NOT(ISNUMBER(H156)),NOT(ISNUMBER(I156)))),"Enter leave from and to",IF(AND(ISNUMBER(F156),ISNUMBER(G156),G156&lt;=F156),"End is before start",IF(AND(ISNUMBER(H156),ISNUMBER(I156),I156&lt;=H156),"Leave end is before start",IF(AND(ISNUMBER(F156),ISNUMBER(G156),ISNUMBER(H156),ISNUMBER(I156),F156&lt;I156,H156&lt;G156),"Work and leave hours overlap",IF(AND(E156&lt;&gt;"",WEEKDAY(A156)=7),"Saturday - administrator only","")))))))</f>
        <v/>
      </c>
      <c r="T156" s="36" t="n">
        <f aca="false">MONTH(A156)</f>
        <v>5</v>
      </c>
      <c r="U156" s="37" t="b">
        <f aca="false">OR(C156="Workday",C156="Eve")</f>
        <v>0</v>
      </c>
      <c r="V156" s="34" t="n">
        <f aca="false">IF(C156="Eve",Settings!$B$8,Settings!$B$7)</f>
        <v>0.6875</v>
      </c>
      <c r="W156" s="14" t="n">
        <f aca="false">IF(U156,(V156-Settings!$B$6)*24,0)</f>
        <v>0</v>
      </c>
    </row>
    <row r="157" customFormat="false" ht="15" hidden="false" customHeight="false" outlineLevel="0" collapsed="false">
      <c r="A157" s="29" t="n">
        <v>46173</v>
      </c>
      <c r="B157" s="30" t="str">
        <f aca="false">CHOOSE(WEEKDAY(A157),"Sun","Mon","Tue","Wed","Thu","Fri","Sat")</f>
        <v>Sun</v>
      </c>
      <c r="C157" s="30" t="str">
        <f aca="false">IF(IFERROR(INDEX(Holidays!$D$5:$D$60,MATCH(A157,Holidays!$A$5:$A$60,0)),"")="Holiday","Holiday",IF(WEEKDAY(A157)&gt;=6,"Weekend",IF(IFERROR(INDEX(Holidays!$D$5:$D$60,MATCH(A157,Holidays!$A$5:$A$60,0)),"")="Eve","Eve","Workday")))</f>
        <v>Workday</v>
      </c>
      <c r="D157" s="18" t="str">
        <f aca="false">IFERROR(INDEX(Holidays!$C$5:$C$60,MATCH(A157,Holidays!$A$5:$A$60,0)),"")</f>
        <v/>
      </c>
      <c r="E157" s="31"/>
      <c r="F157" s="32"/>
      <c r="G157" s="32"/>
      <c r="H157" s="32"/>
      <c r="I157" s="32"/>
      <c r="J157" s="31"/>
      <c r="K157" s="33" t="str">
        <f aca="false">IF(E157&lt;&gt;"",E157,IF(U157,"Present",IF(C157="Holiday","Holiday","Weekend")))</f>
        <v>Present</v>
      </c>
      <c r="L157" s="34" t="n">
        <f aca="false">IF(OR(K157="Present",K157="Manual Work",K157="Partial Vacation",K157="Partial Sick Leave"),IF(ISNUMBER(F157),F157,IF(AND(K157="Present",U157),Settings!$B$6,"")),"")</f>
        <v>0.333333333333333</v>
      </c>
      <c r="M157" s="34" t="n">
        <f aca="false">IF(OR(K157="Present",K157="Manual Work",K157="Partial Vacation",K157="Partial Sick Leave"),IF(ISNUMBER(G157),G157,IF(AND(K157="Present",U157),V157,"")),"")</f>
        <v>0.6875</v>
      </c>
      <c r="N157" s="14" t="n">
        <f aca="false">IF(AND(ISNUMBER(L157),ISNUMBER(M157)),MAX(0,(M157-L157)*24),0)</f>
        <v>8.5</v>
      </c>
      <c r="O157" s="14" t="n">
        <f aca="false">IF(NOT(U157),0,IF(K157="Vacation",IF(C157="Eve",Settings!$B$9*Settings!$B$11,W157),IF(K157="Partial Vacation",IF(AND(ISNUMBER(H157),ISNUMBER(I157)),MAX(0,(I157-H157)*24),0),0)))</f>
        <v>0</v>
      </c>
      <c r="P157" s="14" t="n">
        <f aca="false">IF(NOT(U157),0,IF(K157="Sick Leave",W157,IF(K157="Partial Sick Leave",IF(AND(ISNUMBER(H157),ISNUMBER(I157)),MAX(0,(I157-H157)*24),0),0)))</f>
        <v>0</v>
      </c>
      <c r="Q157" s="14" t="n">
        <f aca="false">IF(NOT(U157),0,IF(K157="Vacation",IF(C157="Eve",Settings!$B$11,1),IF(K157="Partial Vacation",O157/Settings!$B$9,0)))</f>
        <v>0</v>
      </c>
      <c r="R157" s="14" t="n">
        <f aca="false">IF(NOT(U157),0,IF(K157="Sick Leave",1,IF(K157="Partial Sick Leave",P157/Settings!$B$9,0)))</f>
        <v>0</v>
      </c>
      <c r="S157" s="35" t="str">
        <f aca="false">IF(AND(OR(E157="Vacation",E157="Sick Leave",E157="Partial Vacation",E157="Partial Sick Leave"),NOT(U157)),"Leave not allowed on this day",IF(AND(E157="Manual Work",OR(NOT(ISNUMBER(F157)),NOT(ISNUMBER(G157)))),"Enter start and end",IF(AND(OR(E157="Partial Vacation",E157="Partial Sick Leave"),OR(NOT(ISNUMBER(H157)),NOT(ISNUMBER(I157)))),"Enter leave from and to",IF(AND(ISNUMBER(F157),ISNUMBER(G157),G157&lt;=F157),"End is before start",IF(AND(ISNUMBER(H157),ISNUMBER(I157),I157&lt;=H157),"Leave end is before start",IF(AND(ISNUMBER(F157),ISNUMBER(G157),ISNUMBER(H157),ISNUMBER(I157),F157&lt;I157,H157&lt;G157),"Work and leave hours overlap",IF(AND(E157&lt;&gt;"",WEEKDAY(A157)=7),"Saturday - administrator only","")))))))</f>
        <v/>
      </c>
      <c r="T157" s="36" t="n">
        <f aca="false">MONTH(A157)</f>
        <v>5</v>
      </c>
      <c r="U157" s="37" t="b">
        <f aca="false">OR(C157="Workday",C157="Eve")</f>
        <v>1</v>
      </c>
      <c r="V157" s="34" t="n">
        <f aca="false">IF(C157="Eve",Settings!$B$8,Settings!$B$7)</f>
        <v>0.6875</v>
      </c>
      <c r="W157" s="14" t="n">
        <f aca="false">IF(U157,(V157-Settings!$B$6)*24,0)</f>
        <v>8.5</v>
      </c>
    </row>
    <row r="158" customFormat="false" ht="15" hidden="false" customHeight="false" outlineLevel="0" collapsed="false">
      <c r="A158" s="29" t="n">
        <v>46174</v>
      </c>
      <c r="B158" s="30" t="str">
        <f aca="false">CHOOSE(WEEKDAY(A158),"Sun","Mon","Tue","Wed","Thu","Fri","Sat")</f>
        <v>Mon</v>
      </c>
      <c r="C158" s="30" t="str">
        <f aca="false">IF(IFERROR(INDEX(Holidays!$D$5:$D$60,MATCH(A158,Holidays!$A$5:$A$60,0)),"")="Holiday","Holiday",IF(WEEKDAY(A158)&gt;=6,"Weekend",IF(IFERROR(INDEX(Holidays!$D$5:$D$60,MATCH(A158,Holidays!$A$5:$A$60,0)),"")="Eve","Eve","Workday")))</f>
        <v>Workday</v>
      </c>
      <c r="D158" s="18" t="str">
        <f aca="false">IFERROR(INDEX(Holidays!$C$5:$C$60,MATCH(A158,Holidays!$A$5:$A$60,0)),"")</f>
        <v/>
      </c>
      <c r="E158" s="31"/>
      <c r="F158" s="32"/>
      <c r="G158" s="32"/>
      <c r="H158" s="32"/>
      <c r="I158" s="32"/>
      <c r="J158" s="31"/>
      <c r="K158" s="33" t="str">
        <f aca="false">IF(E158&lt;&gt;"",E158,IF(U158,"Present",IF(C158="Holiday","Holiday","Weekend")))</f>
        <v>Present</v>
      </c>
      <c r="L158" s="34" t="n">
        <f aca="false">IF(OR(K158="Present",K158="Manual Work",K158="Partial Vacation",K158="Partial Sick Leave"),IF(ISNUMBER(F158),F158,IF(AND(K158="Present",U158),Settings!$B$6,"")),"")</f>
        <v>0.333333333333333</v>
      </c>
      <c r="M158" s="34" t="n">
        <f aca="false">IF(OR(K158="Present",K158="Manual Work",K158="Partial Vacation",K158="Partial Sick Leave"),IF(ISNUMBER(G158),G158,IF(AND(K158="Present",U158),V158,"")),"")</f>
        <v>0.6875</v>
      </c>
      <c r="N158" s="14" t="n">
        <f aca="false">IF(AND(ISNUMBER(L158),ISNUMBER(M158)),MAX(0,(M158-L158)*24),0)</f>
        <v>8.5</v>
      </c>
      <c r="O158" s="14" t="n">
        <f aca="false">IF(NOT(U158),0,IF(K158="Vacation",IF(C158="Eve",Settings!$B$9*Settings!$B$11,W158),IF(K158="Partial Vacation",IF(AND(ISNUMBER(H158),ISNUMBER(I158)),MAX(0,(I158-H158)*24),0),0)))</f>
        <v>0</v>
      </c>
      <c r="P158" s="14" t="n">
        <f aca="false">IF(NOT(U158),0,IF(K158="Sick Leave",W158,IF(K158="Partial Sick Leave",IF(AND(ISNUMBER(H158),ISNUMBER(I158)),MAX(0,(I158-H158)*24),0),0)))</f>
        <v>0</v>
      </c>
      <c r="Q158" s="14" t="n">
        <f aca="false">IF(NOT(U158),0,IF(K158="Vacation",IF(C158="Eve",Settings!$B$11,1),IF(K158="Partial Vacation",O158/Settings!$B$9,0)))</f>
        <v>0</v>
      </c>
      <c r="R158" s="14" t="n">
        <f aca="false">IF(NOT(U158),0,IF(K158="Sick Leave",1,IF(K158="Partial Sick Leave",P158/Settings!$B$9,0)))</f>
        <v>0</v>
      </c>
      <c r="S158" s="35" t="str">
        <f aca="false">IF(AND(OR(E158="Vacation",E158="Sick Leave",E158="Partial Vacation",E158="Partial Sick Leave"),NOT(U158)),"Leave not allowed on this day",IF(AND(E158="Manual Work",OR(NOT(ISNUMBER(F158)),NOT(ISNUMBER(G158)))),"Enter start and end",IF(AND(OR(E158="Partial Vacation",E158="Partial Sick Leave"),OR(NOT(ISNUMBER(H158)),NOT(ISNUMBER(I158)))),"Enter leave from and to",IF(AND(ISNUMBER(F158),ISNUMBER(G158),G158&lt;=F158),"End is before start",IF(AND(ISNUMBER(H158),ISNUMBER(I158),I158&lt;=H158),"Leave end is before start",IF(AND(ISNUMBER(F158),ISNUMBER(G158),ISNUMBER(H158),ISNUMBER(I158),F158&lt;I158,H158&lt;G158),"Work and leave hours overlap",IF(AND(E158&lt;&gt;"",WEEKDAY(A158)=7),"Saturday - administrator only","")))))))</f>
        <v/>
      </c>
      <c r="T158" s="36" t="n">
        <f aca="false">MONTH(A158)</f>
        <v>6</v>
      </c>
      <c r="U158" s="37" t="b">
        <f aca="false">OR(C158="Workday",C158="Eve")</f>
        <v>1</v>
      </c>
      <c r="V158" s="34" t="n">
        <f aca="false">IF(C158="Eve",Settings!$B$8,Settings!$B$7)</f>
        <v>0.6875</v>
      </c>
      <c r="W158" s="14" t="n">
        <f aca="false">IF(U158,(V158-Settings!$B$6)*24,0)</f>
        <v>8.5</v>
      </c>
    </row>
    <row r="159" customFormat="false" ht="15" hidden="false" customHeight="false" outlineLevel="0" collapsed="false">
      <c r="A159" s="29" t="n">
        <v>46175</v>
      </c>
      <c r="B159" s="30" t="str">
        <f aca="false">CHOOSE(WEEKDAY(A159),"Sun","Mon","Tue","Wed","Thu","Fri","Sat")</f>
        <v>Tue</v>
      </c>
      <c r="C159" s="30" t="str">
        <f aca="false">IF(IFERROR(INDEX(Holidays!$D$5:$D$60,MATCH(A159,Holidays!$A$5:$A$60,0)),"")="Holiday","Holiday",IF(WEEKDAY(A159)&gt;=6,"Weekend",IF(IFERROR(INDEX(Holidays!$D$5:$D$60,MATCH(A159,Holidays!$A$5:$A$60,0)),"")="Eve","Eve","Workday")))</f>
        <v>Workday</v>
      </c>
      <c r="D159" s="18" t="str">
        <f aca="false">IFERROR(INDEX(Holidays!$C$5:$C$60,MATCH(A159,Holidays!$A$5:$A$60,0)),"")</f>
        <v/>
      </c>
      <c r="E159" s="31"/>
      <c r="F159" s="32"/>
      <c r="G159" s="32"/>
      <c r="H159" s="32"/>
      <c r="I159" s="32"/>
      <c r="J159" s="31"/>
      <c r="K159" s="33" t="str">
        <f aca="false">IF(E159&lt;&gt;"",E159,IF(U159,"Present",IF(C159="Holiday","Holiday","Weekend")))</f>
        <v>Present</v>
      </c>
      <c r="L159" s="34" t="n">
        <f aca="false">IF(OR(K159="Present",K159="Manual Work",K159="Partial Vacation",K159="Partial Sick Leave"),IF(ISNUMBER(F159),F159,IF(AND(K159="Present",U159),Settings!$B$6,"")),"")</f>
        <v>0.333333333333333</v>
      </c>
      <c r="M159" s="34" t="n">
        <f aca="false">IF(OR(K159="Present",K159="Manual Work",K159="Partial Vacation",K159="Partial Sick Leave"),IF(ISNUMBER(G159),G159,IF(AND(K159="Present",U159),V159,"")),"")</f>
        <v>0.6875</v>
      </c>
      <c r="N159" s="14" t="n">
        <f aca="false">IF(AND(ISNUMBER(L159),ISNUMBER(M159)),MAX(0,(M159-L159)*24),0)</f>
        <v>8.5</v>
      </c>
      <c r="O159" s="14" t="n">
        <f aca="false">IF(NOT(U159),0,IF(K159="Vacation",IF(C159="Eve",Settings!$B$9*Settings!$B$11,W159),IF(K159="Partial Vacation",IF(AND(ISNUMBER(H159),ISNUMBER(I159)),MAX(0,(I159-H159)*24),0),0)))</f>
        <v>0</v>
      </c>
      <c r="P159" s="14" t="n">
        <f aca="false">IF(NOT(U159),0,IF(K159="Sick Leave",W159,IF(K159="Partial Sick Leave",IF(AND(ISNUMBER(H159),ISNUMBER(I159)),MAX(0,(I159-H159)*24),0),0)))</f>
        <v>0</v>
      </c>
      <c r="Q159" s="14" t="n">
        <f aca="false">IF(NOT(U159),0,IF(K159="Vacation",IF(C159="Eve",Settings!$B$11,1),IF(K159="Partial Vacation",O159/Settings!$B$9,0)))</f>
        <v>0</v>
      </c>
      <c r="R159" s="14" t="n">
        <f aca="false">IF(NOT(U159),0,IF(K159="Sick Leave",1,IF(K159="Partial Sick Leave",P159/Settings!$B$9,0)))</f>
        <v>0</v>
      </c>
      <c r="S159" s="35" t="str">
        <f aca="false">IF(AND(OR(E159="Vacation",E159="Sick Leave",E159="Partial Vacation",E159="Partial Sick Leave"),NOT(U159)),"Leave not allowed on this day",IF(AND(E159="Manual Work",OR(NOT(ISNUMBER(F159)),NOT(ISNUMBER(G159)))),"Enter start and end",IF(AND(OR(E159="Partial Vacation",E159="Partial Sick Leave"),OR(NOT(ISNUMBER(H159)),NOT(ISNUMBER(I159)))),"Enter leave from and to",IF(AND(ISNUMBER(F159),ISNUMBER(G159),G159&lt;=F159),"End is before start",IF(AND(ISNUMBER(H159),ISNUMBER(I159),I159&lt;=H159),"Leave end is before start",IF(AND(ISNUMBER(F159),ISNUMBER(G159),ISNUMBER(H159),ISNUMBER(I159),F159&lt;I159,H159&lt;G159),"Work and leave hours overlap",IF(AND(E159&lt;&gt;"",WEEKDAY(A159)=7),"Saturday - administrator only","")))))))</f>
        <v/>
      </c>
      <c r="T159" s="36" t="n">
        <f aca="false">MONTH(A159)</f>
        <v>6</v>
      </c>
      <c r="U159" s="37" t="b">
        <f aca="false">OR(C159="Workday",C159="Eve")</f>
        <v>1</v>
      </c>
      <c r="V159" s="34" t="n">
        <f aca="false">IF(C159="Eve",Settings!$B$8,Settings!$B$7)</f>
        <v>0.6875</v>
      </c>
      <c r="W159" s="14" t="n">
        <f aca="false">IF(U159,(V159-Settings!$B$6)*24,0)</f>
        <v>8.5</v>
      </c>
    </row>
    <row r="160" customFormat="false" ht="15" hidden="false" customHeight="false" outlineLevel="0" collapsed="false">
      <c r="A160" s="29" t="n">
        <v>46176</v>
      </c>
      <c r="B160" s="30" t="str">
        <f aca="false">CHOOSE(WEEKDAY(A160),"Sun","Mon","Tue","Wed","Thu","Fri","Sat")</f>
        <v>Wed</v>
      </c>
      <c r="C160" s="30" t="str">
        <f aca="false">IF(IFERROR(INDEX(Holidays!$D$5:$D$60,MATCH(A160,Holidays!$A$5:$A$60,0)),"")="Holiday","Holiday",IF(WEEKDAY(A160)&gt;=6,"Weekend",IF(IFERROR(INDEX(Holidays!$D$5:$D$60,MATCH(A160,Holidays!$A$5:$A$60,0)),"")="Eve","Eve","Workday")))</f>
        <v>Workday</v>
      </c>
      <c r="D160" s="18" t="str">
        <f aca="false">IFERROR(INDEX(Holidays!$C$5:$C$60,MATCH(A160,Holidays!$A$5:$A$60,0)),"")</f>
        <v/>
      </c>
      <c r="E160" s="31"/>
      <c r="F160" s="32"/>
      <c r="G160" s="32"/>
      <c r="H160" s="32"/>
      <c r="I160" s="32"/>
      <c r="J160" s="31"/>
      <c r="K160" s="33" t="str">
        <f aca="false">IF(E160&lt;&gt;"",E160,IF(U160,"Present",IF(C160="Holiday","Holiday","Weekend")))</f>
        <v>Present</v>
      </c>
      <c r="L160" s="34" t="n">
        <f aca="false">IF(OR(K160="Present",K160="Manual Work",K160="Partial Vacation",K160="Partial Sick Leave"),IF(ISNUMBER(F160),F160,IF(AND(K160="Present",U160),Settings!$B$6,"")),"")</f>
        <v>0.333333333333333</v>
      </c>
      <c r="M160" s="34" t="n">
        <f aca="false">IF(OR(K160="Present",K160="Manual Work",K160="Partial Vacation",K160="Partial Sick Leave"),IF(ISNUMBER(G160),G160,IF(AND(K160="Present",U160),V160,"")),"")</f>
        <v>0.6875</v>
      </c>
      <c r="N160" s="14" t="n">
        <f aca="false">IF(AND(ISNUMBER(L160),ISNUMBER(M160)),MAX(0,(M160-L160)*24),0)</f>
        <v>8.5</v>
      </c>
      <c r="O160" s="14" t="n">
        <f aca="false">IF(NOT(U160),0,IF(K160="Vacation",IF(C160="Eve",Settings!$B$9*Settings!$B$11,W160),IF(K160="Partial Vacation",IF(AND(ISNUMBER(H160),ISNUMBER(I160)),MAX(0,(I160-H160)*24),0),0)))</f>
        <v>0</v>
      </c>
      <c r="P160" s="14" t="n">
        <f aca="false">IF(NOT(U160),0,IF(K160="Sick Leave",W160,IF(K160="Partial Sick Leave",IF(AND(ISNUMBER(H160),ISNUMBER(I160)),MAX(0,(I160-H160)*24),0),0)))</f>
        <v>0</v>
      </c>
      <c r="Q160" s="14" t="n">
        <f aca="false">IF(NOT(U160),0,IF(K160="Vacation",IF(C160="Eve",Settings!$B$11,1),IF(K160="Partial Vacation",O160/Settings!$B$9,0)))</f>
        <v>0</v>
      </c>
      <c r="R160" s="14" t="n">
        <f aca="false">IF(NOT(U160),0,IF(K160="Sick Leave",1,IF(K160="Partial Sick Leave",P160/Settings!$B$9,0)))</f>
        <v>0</v>
      </c>
      <c r="S160" s="35" t="str">
        <f aca="false">IF(AND(OR(E160="Vacation",E160="Sick Leave",E160="Partial Vacation",E160="Partial Sick Leave"),NOT(U160)),"Leave not allowed on this day",IF(AND(E160="Manual Work",OR(NOT(ISNUMBER(F160)),NOT(ISNUMBER(G160)))),"Enter start and end",IF(AND(OR(E160="Partial Vacation",E160="Partial Sick Leave"),OR(NOT(ISNUMBER(H160)),NOT(ISNUMBER(I160)))),"Enter leave from and to",IF(AND(ISNUMBER(F160),ISNUMBER(G160),G160&lt;=F160),"End is before start",IF(AND(ISNUMBER(H160),ISNUMBER(I160),I160&lt;=H160),"Leave end is before start",IF(AND(ISNUMBER(F160),ISNUMBER(G160),ISNUMBER(H160),ISNUMBER(I160),F160&lt;I160,H160&lt;G160),"Work and leave hours overlap",IF(AND(E160&lt;&gt;"",WEEKDAY(A160)=7),"Saturday - administrator only","")))))))</f>
        <v/>
      </c>
      <c r="T160" s="36" t="n">
        <f aca="false">MONTH(A160)</f>
        <v>6</v>
      </c>
      <c r="U160" s="37" t="b">
        <f aca="false">OR(C160="Workday",C160="Eve")</f>
        <v>1</v>
      </c>
      <c r="V160" s="34" t="n">
        <f aca="false">IF(C160="Eve",Settings!$B$8,Settings!$B$7)</f>
        <v>0.6875</v>
      </c>
      <c r="W160" s="14" t="n">
        <f aca="false">IF(U160,(V160-Settings!$B$6)*24,0)</f>
        <v>8.5</v>
      </c>
    </row>
    <row r="161" customFormat="false" ht="15" hidden="false" customHeight="false" outlineLevel="0" collapsed="false">
      <c r="A161" s="29" t="n">
        <v>46177</v>
      </c>
      <c r="B161" s="30" t="str">
        <f aca="false">CHOOSE(WEEKDAY(A161),"Sun","Mon","Tue","Wed","Thu","Fri","Sat")</f>
        <v>Thu</v>
      </c>
      <c r="C161" s="30" t="str">
        <f aca="false">IF(IFERROR(INDEX(Holidays!$D$5:$D$60,MATCH(A161,Holidays!$A$5:$A$60,0)),"")="Holiday","Holiday",IF(WEEKDAY(A161)&gt;=6,"Weekend",IF(IFERROR(INDEX(Holidays!$D$5:$D$60,MATCH(A161,Holidays!$A$5:$A$60,0)),"")="Eve","Eve","Workday")))</f>
        <v>Workday</v>
      </c>
      <c r="D161" s="18" t="str">
        <f aca="false">IFERROR(INDEX(Holidays!$C$5:$C$60,MATCH(A161,Holidays!$A$5:$A$60,0)),"")</f>
        <v/>
      </c>
      <c r="E161" s="31"/>
      <c r="F161" s="32"/>
      <c r="G161" s="32"/>
      <c r="H161" s="32"/>
      <c r="I161" s="32"/>
      <c r="J161" s="31"/>
      <c r="K161" s="33" t="str">
        <f aca="false">IF(E161&lt;&gt;"",E161,IF(U161,"Present",IF(C161="Holiday","Holiday","Weekend")))</f>
        <v>Present</v>
      </c>
      <c r="L161" s="34" t="n">
        <f aca="false">IF(OR(K161="Present",K161="Manual Work",K161="Partial Vacation",K161="Partial Sick Leave"),IF(ISNUMBER(F161),F161,IF(AND(K161="Present",U161),Settings!$B$6,"")),"")</f>
        <v>0.333333333333333</v>
      </c>
      <c r="M161" s="34" t="n">
        <f aca="false">IF(OR(K161="Present",K161="Manual Work",K161="Partial Vacation",K161="Partial Sick Leave"),IF(ISNUMBER(G161),G161,IF(AND(K161="Present",U161),V161,"")),"")</f>
        <v>0.6875</v>
      </c>
      <c r="N161" s="14" t="n">
        <f aca="false">IF(AND(ISNUMBER(L161),ISNUMBER(M161)),MAX(0,(M161-L161)*24),0)</f>
        <v>8.5</v>
      </c>
      <c r="O161" s="14" t="n">
        <f aca="false">IF(NOT(U161),0,IF(K161="Vacation",IF(C161="Eve",Settings!$B$9*Settings!$B$11,W161),IF(K161="Partial Vacation",IF(AND(ISNUMBER(H161),ISNUMBER(I161)),MAX(0,(I161-H161)*24),0),0)))</f>
        <v>0</v>
      </c>
      <c r="P161" s="14" t="n">
        <f aca="false">IF(NOT(U161),0,IF(K161="Sick Leave",W161,IF(K161="Partial Sick Leave",IF(AND(ISNUMBER(H161),ISNUMBER(I161)),MAX(0,(I161-H161)*24),0),0)))</f>
        <v>0</v>
      </c>
      <c r="Q161" s="14" t="n">
        <f aca="false">IF(NOT(U161),0,IF(K161="Vacation",IF(C161="Eve",Settings!$B$11,1),IF(K161="Partial Vacation",O161/Settings!$B$9,0)))</f>
        <v>0</v>
      </c>
      <c r="R161" s="14" t="n">
        <f aca="false">IF(NOT(U161),0,IF(K161="Sick Leave",1,IF(K161="Partial Sick Leave",P161/Settings!$B$9,0)))</f>
        <v>0</v>
      </c>
      <c r="S161" s="35" t="str">
        <f aca="false">IF(AND(OR(E161="Vacation",E161="Sick Leave",E161="Partial Vacation",E161="Partial Sick Leave"),NOT(U161)),"Leave not allowed on this day",IF(AND(E161="Manual Work",OR(NOT(ISNUMBER(F161)),NOT(ISNUMBER(G161)))),"Enter start and end",IF(AND(OR(E161="Partial Vacation",E161="Partial Sick Leave"),OR(NOT(ISNUMBER(H161)),NOT(ISNUMBER(I161)))),"Enter leave from and to",IF(AND(ISNUMBER(F161),ISNUMBER(G161),G161&lt;=F161),"End is before start",IF(AND(ISNUMBER(H161),ISNUMBER(I161),I161&lt;=H161),"Leave end is before start",IF(AND(ISNUMBER(F161),ISNUMBER(G161),ISNUMBER(H161),ISNUMBER(I161),F161&lt;I161,H161&lt;G161),"Work and leave hours overlap",IF(AND(E161&lt;&gt;"",WEEKDAY(A161)=7),"Saturday - administrator only","")))))))</f>
        <v/>
      </c>
      <c r="T161" s="36" t="n">
        <f aca="false">MONTH(A161)</f>
        <v>6</v>
      </c>
      <c r="U161" s="37" t="b">
        <f aca="false">OR(C161="Workday",C161="Eve")</f>
        <v>1</v>
      </c>
      <c r="V161" s="34" t="n">
        <f aca="false">IF(C161="Eve",Settings!$B$8,Settings!$B$7)</f>
        <v>0.6875</v>
      </c>
      <c r="W161" s="14" t="n">
        <f aca="false">IF(U161,(V161-Settings!$B$6)*24,0)</f>
        <v>8.5</v>
      </c>
    </row>
    <row r="162" customFormat="false" ht="15" hidden="false" customHeight="false" outlineLevel="0" collapsed="false">
      <c r="A162" s="29" t="n">
        <v>46178</v>
      </c>
      <c r="B162" s="30" t="str">
        <f aca="false">CHOOSE(WEEKDAY(A162),"Sun","Mon","Tue","Wed","Thu","Fri","Sat")</f>
        <v>Fri</v>
      </c>
      <c r="C162" s="30" t="str">
        <f aca="false">IF(IFERROR(INDEX(Holidays!$D$5:$D$60,MATCH(A162,Holidays!$A$5:$A$60,0)),"")="Holiday","Holiday",IF(WEEKDAY(A162)&gt;=6,"Weekend",IF(IFERROR(INDEX(Holidays!$D$5:$D$60,MATCH(A162,Holidays!$A$5:$A$60,0)),"")="Eve","Eve","Workday")))</f>
        <v>Weekend</v>
      </c>
      <c r="D162" s="18" t="str">
        <f aca="false">IFERROR(INDEX(Holidays!$C$5:$C$60,MATCH(A162,Holidays!$A$5:$A$60,0)),"")</f>
        <v/>
      </c>
      <c r="E162" s="31"/>
      <c r="F162" s="32"/>
      <c r="G162" s="32"/>
      <c r="H162" s="32"/>
      <c r="I162" s="32"/>
      <c r="J162" s="31"/>
      <c r="K162" s="33" t="str">
        <f aca="false">IF(E162&lt;&gt;"",E162,IF(U162,"Present",IF(C162="Holiday","Holiday","Weekend")))</f>
        <v>Weekend</v>
      </c>
      <c r="L162" s="34" t="str">
        <f aca="false">IF(OR(K162="Present",K162="Manual Work",K162="Partial Vacation",K162="Partial Sick Leave"),IF(ISNUMBER(F162),F162,IF(AND(K162="Present",U162),Settings!$B$6,"")),"")</f>
        <v/>
      </c>
      <c r="M162" s="34" t="str">
        <f aca="false">IF(OR(K162="Present",K162="Manual Work",K162="Partial Vacation",K162="Partial Sick Leave"),IF(ISNUMBER(G162),G162,IF(AND(K162="Present",U162),V162,"")),"")</f>
        <v/>
      </c>
      <c r="N162" s="14" t="n">
        <f aca="false">IF(AND(ISNUMBER(L162),ISNUMBER(M162)),MAX(0,(M162-L162)*24),0)</f>
        <v>0</v>
      </c>
      <c r="O162" s="14" t="n">
        <f aca="false">IF(NOT(U162),0,IF(K162="Vacation",IF(C162="Eve",Settings!$B$9*Settings!$B$11,W162),IF(K162="Partial Vacation",IF(AND(ISNUMBER(H162),ISNUMBER(I162)),MAX(0,(I162-H162)*24),0),0)))</f>
        <v>0</v>
      </c>
      <c r="P162" s="14" t="n">
        <f aca="false">IF(NOT(U162),0,IF(K162="Sick Leave",W162,IF(K162="Partial Sick Leave",IF(AND(ISNUMBER(H162),ISNUMBER(I162)),MAX(0,(I162-H162)*24),0),0)))</f>
        <v>0</v>
      </c>
      <c r="Q162" s="14" t="n">
        <f aca="false">IF(NOT(U162),0,IF(K162="Vacation",IF(C162="Eve",Settings!$B$11,1),IF(K162="Partial Vacation",O162/Settings!$B$9,0)))</f>
        <v>0</v>
      </c>
      <c r="R162" s="14" t="n">
        <f aca="false">IF(NOT(U162),0,IF(K162="Sick Leave",1,IF(K162="Partial Sick Leave",P162/Settings!$B$9,0)))</f>
        <v>0</v>
      </c>
      <c r="S162" s="35" t="str">
        <f aca="false">IF(AND(OR(E162="Vacation",E162="Sick Leave",E162="Partial Vacation",E162="Partial Sick Leave"),NOT(U162)),"Leave not allowed on this day",IF(AND(E162="Manual Work",OR(NOT(ISNUMBER(F162)),NOT(ISNUMBER(G162)))),"Enter start and end",IF(AND(OR(E162="Partial Vacation",E162="Partial Sick Leave"),OR(NOT(ISNUMBER(H162)),NOT(ISNUMBER(I162)))),"Enter leave from and to",IF(AND(ISNUMBER(F162),ISNUMBER(G162),G162&lt;=F162),"End is before start",IF(AND(ISNUMBER(H162),ISNUMBER(I162),I162&lt;=H162),"Leave end is before start",IF(AND(ISNUMBER(F162),ISNUMBER(G162),ISNUMBER(H162),ISNUMBER(I162),F162&lt;I162,H162&lt;G162),"Work and leave hours overlap",IF(AND(E162&lt;&gt;"",WEEKDAY(A162)=7),"Saturday - administrator only","")))))))</f>
        <v/>
      </c>
      <c r="T162" s="36" t="n">
        <f aca="false">MONTH(A162)</f>
        <v>6</v>
      </c>
      <c r="U162" s="37" t="b">
        <f aca="false">OR(C162="Workday",C162="Eve")</f>
        <v>0</v>
      </c>
      <c r="V162" s="34" t="n">
        <f aca="false">IF(C162="Eve",Settings!$B$8,Settings!$B$7)</f>
        <v>0.6875</v>
      </c>
      <c r="W162" s="14" t="n">
        <f aca="false">IF(U162,(V162-Settings!$B$6)*24,0)</f>
        <v>0</v>
      </c>
    </row>
    <row r="163" customFormat="false" ht="15" hidden="false" customHeight="false" outlineLevel="0" collapsed="false">
      <c r="A163" s="29" t="n">
        <v>46179</v>
      </c>
      <c r="B163" s="30" t="str">
        <f aca="false">CHOOSE(WEEKDAY(A163),"Sun","Mon","Tue","Wed","Thu","Fri","Sat")</f>
        <v>Sat</v>
      </c>
      <c r="C163" s="30" t="str">
        <f aca="false">IF(IFERROR(INDEX(Holidays!$D$5:$D$60,MATCH(A163,Holidays!$A$5:$A$60,0)),"")="Holiday","Holiday",IF(WEEKDAY(A163)&gt;=6,"Weekend",IF(IFERROR(INDEX(Holidays!$D$5:$D$60,MATCH(A163,Holidays!$A$5:$A$60,0)),"")="Eve","Eve","Workday")))</f>
        <v>Weekend</v>
      </c>
      <c r="D163" s="18" t="str">
        <f aca="false">IFERROR(INDEX(Holidays!$C$5:$C$60,MATCH(A163,Holidays!$A$5:$A$60,0)),"")</f>
        <v/>
      </c>
      <c r="E163" s="31"/>
      <c r="F163" s="32"/>
      <c r="G163" s="32"/>
      <c r="H163" s="32"/>
      <c r="I163" s="32"/>
      <c r="J163" s="31"/>
      <c r="K163" s="33" t="str">
        <f aca="false">IF(E163&lt;&gt;"",E163,IF(U163,"Present",IF(C163="Holiday","Holiday","Weekend")))</f>
        <v>Weekend</v>
      </c>
      <c r="L163" s="34" t="str">
        <f aca="false">IF(OR(K163="Present",K163="Manual Work",K163="Partial Vacation",K163="Partial Sick Leave"),IF(ISNUMBER(F163),F163,IF(AND(K163="Present",U163),Settings!$B$6,"")),"")</f>
        <v/>
      </c>
      <c r="M163" s="34" t="str">
        <f aca="false">IF(OR(K163="Present",K163="Manual Work",K163="Partial Vacation",K163="Partial Sick Leave"),IF(ISNUMBER(G163),G163,IF(AND(K163="Present",U163),V163,"")),"")</f>
        <v/>
      </c>
      <c r="N163" s="14" t="n">
        <f aca="false">IF(AND(ISNUMBER(L163),ISNUMBER(M163)),MAX(0,(M163-L163)*24),0)</f>
        <v>0</v>
      </c>
      <c r="O163" s="14" t="n">
        <f aca="false">IF(NOT(U163),0,IF(K163="Vacation",IF(C163="Eve",Settings!$B$9*Settings!$B$11,W163),IF(K163="Partial Vacation",IF(AND(ISNUMBER(H163),ISNUMBER(I163)),MAX(0,(I163-H163)*24),0),0)))</f>
        <v>0</v>
      </c>
      <c r="P163" s="14" t="n">
        <f aca="false">IF(NOT(U163),0,IF(K163="Sick Leave",W163,IF(K163="Partial Sick Leave",IF(AND(ISNUMBER(H163),ISNUMBER(I163)),MAX(0,(I163-H163)*24),0),0)))</f>
        <v>0</v>
      </c>
      <c r="Q163" s="14" t="n">
        <f aca="false">IF(NOT(U163),0,IF(K163="Vacation",IF(C163="Eve",Settings!$B$11,1),IF(K163="Partial Vacation",O163/Settings!$B$9,0)))</f>
        <v>0</v>
      </c>
      <c r="R163" s="14" t="n">
        <f aca="false">IF(NOT(U163),0,IF(K163="Sick Leave",1,IF(K163="Partial Sick Leave",P163/Settings!$B$9,0)))</f>
        <v>0</v>
      </c>
      <c r="S163" s="35" t="str">
        <f aca="false">IF(AND(OR(E163="Vacation",E163="Sick Leave",E163="Partial Vacation",E163="Partial Sick Leave"),NOT(U163)),"Leave not allowed on this day",IF(AND(E163="Manual Work",OR(NOT(ISNUMBER(F163)),NOT(ISNUMBER(G163)))),"Enter start and end",IF(AND(OR(E163="Partial Vacation",E163="Partial Sick Leave"),OR(NOT(ISNUMBER(H163)),NOT(ISNUMBER(I163)))),"Enter leave from and to",IF(AND(ISNUMBER(F163),ISNUMBER(G163),G163&lt;=F163),"End is before start",IF(AND(ISNUMBER(H163),ISNUMBER(I163),I163&lt;=H163),"Leave end is before start",IF(AND(ISNUMBER(F163),ISNUMBER(G163),ISNUMBER(H163),ISNUMBER(I163),F163&lt;I163,H163&lt;G163),"Work and leave hours overlap",IF(AND(E163&lt;&gt;"",WEEKDAY(A163)=7),"Saturday - administrator only","")))))))</f>
        <v/>
      </c>
      <c r="T163" s="36" t="n">
        <f aca="false">MONTH(A163)</f>
        <v>6</v>
      </c>
      <c r="U163" s="37" t="b">
        <f aca="false">OR(C163="Workday",C163="Eve")</f>
        <v>0</v>
      </c>
      <c r="V163" s="34" t="n">
        <f aca="false">IF(C163="Eve",Settings!$B$8,Settings!$B$7)</f>
        <v>0.6875</v>
      </c>
      <c r="W163" s="14" t="n">
        <f aca="false">IF(U163,(V163-Settings!$B$6)*24,0)</f>
        <v>0</v>
      </c>
    </row>
    <row r="164" customFormat="false" ht="15" hidden="false" customHeight="false" outlineLevel="0" collapsed="false">
      <c r="A164" s="29" t="n">
        <v>46180</v>
      </c>
      <c r="B164" s="30" t="str">
        <f aca="false">CHOOSE(WEEKDAY(A164),"Sun","Mon","Tue","Wed","Thu","Fri","Sat")</f>
        <v>Sun</v>
      </c>
      <c r="C164" s="30" t="str">
        <f aca="false">IF(IFERROR(INDEX(Holidays!$D$5:$D$60,MATCH(A164,Holidays!$A$5:$A$60,0)),"")="Holiday","Holiday",IF(WEEKDAY(A164)&gt;=6,"Weekend",IF(IFERROR(INDEX(Holidays!$D$5:$D$60,MATCH(A164,Holidays!$A$5:$A$60,0)),"")="Eve","Eve","Workday")))</f>
        <v>Workday</v>
      </c>
      <c r="D164" s="18" t="str">
        <f aca="false">IFERROR(INDEX(Holidays!$C$5:$C$60,MATCH(A164,Holidays!$A$5:$A$60,0)),"")</f>
        <v/>
      </c>
      <c r="E164" s="31"/>
      <c r="F164" s="32"/>
      <c r="G164" s="32"/>
      <c r="H164" s="32"/>
      <c r="I164" s="32"/>
      <c r="J164" s="31"/>
      <c r="K164" s="33" t="str">
        <f aca="false">IF(E164&lt;&gt;"",E164,IF(U164,"Present",IF(C164="Holiday","Holiday","Weekend")))</f>
        <v>Present</v>
      </c>
      <c r="L164" s="34" t="n">
        <f aca="false">IF(OR(K164="Present",K164="Manual Work",K164="Partial Vacation",K164="Partial Sick Leave"),IF(ISNUMBER(F164),F164,IF(AND(K164="Present",U164),Settings!$B$6,"")),"")</f>
        <v>0.333333333333333</v>
      </c>
      <c r="M164" s="34" t="n">
        <f aca="false">IF(OR(K164="Present",K164="Manual Work",K164="Partial Vacation",K164="Partial Sick Leave"),IF(ISNUMBER(G164),G164,IF(AND(K164="Present",U164),V164,"")),"")</f>
        <v>0.6875</v>
      </c>
      <c r="N164" s="14" t="n">
        <f aca="false">IF(AND(ISNUMBER(L164),ISNUMBER(M164)),MAX(0,(M164-L164)*24),0)</f>
        <v>8.5</v>
      </c>
      <c r="O164" s="14" t="n">
        <f aca="false">IF(NOT(U164),0,IF(K164="Vacation",IF(C164="Eve",Settings!$B$9*Settings!$B$11,W164),IF(K164="Partial Vacation",IF(AND(ISNUMBER(H164),ISNUMBER(I164)),MAX(0,(I164-H164)*24),0),0)))</f>
        <v>0</v>
      </c>
      <c r="P164" s="14" t="n">
        <f aca="false">IF(NOT(U164),0,IF(K164="Sick Leave",W164,IF(K164="Partial Sick Leave",IF(AND(ISNUMBER(H164),ISNUMBER(I164)),MAX(0,(I164-H164)*24),0),0)))</f>
        <v>0</v>
      </c>
      <c r="Q164" s="14" t="n">
        <f aca="false">IF(NOT(U164),0,IF(K164="Vacation",IF(C164="Eve",Settings!$B$11,1),IF(K164="Partial Vacation",O164/Settings!$B$9,0)))</f>
        <v>0</v>
      </c>
      <c r="R164" s="14" t="n">
        <f aca="false">IF(NOT(U164),0,IF(K164="Sick Leave",1,IF(K164="Partial Sick Leave",P164/Settings!$B$9,0)))</f>
        <v>0</v>
      </c>
      <c r="S164" s="35" t="str">
        <f aca="false">IF(AND(OR(E164="Vacation",E164="Sick Leave",E164="Partial Vacation",E164="Partial Sick Leave"),NOT(U164)),"Leave not allowed on this day",IF(AND(E164="Manual Work",OR(NOT(ISNUMBER(F164)),NOT(ISNUMBER(G164)))),"Enter start and end",IF(AND(OR(E164="Partial Vacation",E164="Partial Sick Leave"),OR(NOT(ISNUMBER(H164)),NOT(ISNUMBER(I164)))),"Enter leave from and to",IF(AND(ISNUMBER(F164),ISNUMBER(G164),G164&lt;=F164),"End is before start",IF(AND(ISNUMBER(H164),ISNUMBER(I164),I164&lt;=H164),"Leave end is before start",IF(AND(ISNUMBER(F164),ISNUMBER(G164),ISNUMBER(H164),ISNUMBER(I164),F164&lt;I164,H164&lt;G164),"Work and leave hours overlap",IF(AND(E164&lt;&gt;"",WEEKDAY(A164)=7),"Saturday - administrator only","")))))))</f>
        <v/>
      </c>
      <c r="T164" s="36" t="n">
        <f aca="false">MONTH(A164)</f>
        <v>6</v>
      </c>
      <c r="U164" s="37" t="b">
        <f aca="false">OR(C164="Workday",C164="Eve")</f>
        <v>1</v>
      </c>
      <c r="V164" s="34" t="n">
        <f aca="false">IF(C164="Eve",Settings!$B$8,Settings!$B$7)</f>
        <v>0.6875</v>
      </c>
      <c r="W164" s="14" t="n">
        <f aca="false">IF(U164,(V164-Settings!$B$6)*24,0)</f>
        <v>8.5</v>
      </c>
    </row>
    <row r="165" customFormat="false" ht="15" hidden="false" customHeight="false" outlineLevel="0" collapsed="false">
      <c r="A165" s="29" t="n">
        <v>46181</v>
      </c>
      <c r="B165" s="30" t="str">
        <f aca="false">CHOOSE(WEEKDAY(A165),"Sun","Mon","Tue","Wed","Thu","Fri","Sat")</f>
        <v>Mon</v>
      </c>
      <c r="C165" s="30" t="str">
        <f aca="false">IF(IFERROR(INDEX(Holidays!$D$5:$D$60,MATCH(A165,Holidays!$A$5:$A$60,0)),"")="Holiday","Holiday",IF(WEEKDAY(A165)&gt;=6,"Weekend",IF(IFERROR(INDEX(Holidays!$D$5:$D$60,MATCH(A165,Holidays!$A$5:$A$60,0)),"")="Eve","Eve","Workday")))</f>
        <v>Workday</v>
      </c>
      <c r="D165" s="18" t="str">
        <f aca="false">IFERROR(INDEX(Holidays!$C$5:$C$60,MATCH(A165,Holidays!$A$5:$A$60,0)),"")</f>
        <v/>
      </c>
      <c r="E165" s="31"/>
      <c r="F165" s="32"/>
      <c r="G165" s="32"/>
      <c r="H165" s="32"/>
      <c r="I165" s="32"/>
      <c r="J165" s="31"/>
      <c r="K165" s="33" t="str">
        <f aca="false">IF(E165&lt;&gt;"",E165,IF(U165,"Present",IF(C165="Holiday","Holiday","Weekend")))</f>
        <v>Present</v>
      </c>
      <c r="L165" s="34" t="n">
        <f aca="false">IF(OR(K165="Present",K165="Manual Work",K165="Partial Vacation",K165="Partial Sick Leave"),IF(ISNUMBER(F165),F165,IF(AND(K165="Present",U165),Settings!$B$6,"")),"")</f>
        <v>0.333333333333333</v>
      </c>
      <c r="M165" s="34" t="n">
        <f aca="false">IF(OR(K165="Present",K165="Manual Work",K165="Partial Vacation",K165="Partial Sick Leave"),IF(ISNUMBER(G165),G165,IF(AND(K165="Present",U165),V165,"")),"")</f>
        <v>0.6875</v>
      </c>
      <c r="N165" s="14" t="n">
        <f aca="false">IF(AND(ISNUMBER(L165),ISNUMBER(M165)),MAX(0,(M165-L165)*24),0)</f>
        <v>8.5</v>
      </c>
      <c r="O165" s="14" t="n">
        <f aca="false">IF(NOT(U165),0,IF(K165="Vacation",IF(C165="Eve",Settings!$B$9*Settings!$B$11,W165),IF(K165="Partial Vacation",IF(AND(ISNUMBER(H165),ISNUMBER(I165)),MAX(0,(I165-H165)*24),0),0)))</f>
        <v>0</v>
      </c>
      <c r="P165" s="14" t="n">
        <f aca="false">IF(NOT(U165),0,IF(K165="Sick Leave",W165,IF(K165="Partial Sick Leave",IF(AND(ISNUMBER(H165),ISNUMBER(I165)),MAX(0,(I165-H165)*24),0),0)))</f>
        <v>0</v>
      </c>
      <c r="Q165" s="14" t="n">
        <f aca="false">IF(NOT(U165),0,IF(K165="Vacation",IF(C165="Eve",Settings!$B$11,1),IF(K165="Partial Vacation",O165/Settings!$B$9,0)))</f>
        <v>0</v>
      </c>
      <c r="R165" s="14" t="n">
        <f aca="false">IF(NOT(U165),0,IF(K165="Sick Leave",1,IF(K165="Partial Sick Leave",P165/Settings!$B$9,0)))</f>
        <v>0</v>
      </c>
      <c r="S165" s="35" t="str">
        <f aca="false">IF(AND(OR(E165="Vacation",E165="Sick Leave",E165="Partial Vacation",E165="Partial Sick Leave"),NOT(U165)),"Leave not allowed on this day",IF(AND(E165="Manual Work",OR(NOT(ISNUMBER(F165)),NOT(ISNUMBER(G165)))),"Enter start and end",IF(AND(OR(E165="Partial Vacation",E165="Partial Sick Leave"),OR(NOT(ISNUMBER(H165)),NOT(ISNUMBER(I165)))),"Enter leave from and to",IF(AND(ISNUMBER(F165),ISNUMBER(G165),G165&lt;=F165),"End is before start",IF(AND(ISNUMBER(H165),ISNUMBER(I165),I165&lt;=H165),"Leave end is before start",IF(AND(ISNUMBER(F165),ISNUMBER(G165),ISNUMBER(H165),ISNUMBER(I165),F165&lt;I165,H165&lt;G165),"Work and leave hours overlap",IF(AND(E165&lt;&gt;"",WEEKDAY(A165)=7),"Saturday - administrator only","")))))))</f>
        <v/>
      </c>
      <c r="T165" s="36" t="n">
        <f aca="false">MONTH(A165)</f>
        <v>6</v>
      </c>
      <c r="U165" s="37" t="b">
        <f aca="false">OR(C165="Workday",C165="Eve")</f>
        <v>1</v>
      </c>
      <c r="V165" s="34" t="n">
        <f aca="false">IF(C165="Eve",Settings!$B$8,Settings!$B$7)</f>
        <v>0.6875</v>
      </c>
      <c r="W165" s="14" t="n">
        <f aca="false">IF(U165,(V165-Settings!$B$6)*24,0)</f>
        <v>8.5</v>
      </c>
    </row>
    <row r="166" customFormat="false" ht="15" hidden="false" customHeight="false" outlineLevel="0" collapsed="false">
      <c r="A166" s="29" t="n">
        <v>46182</v>
      </c>
      <c r="B166" s="30" t="str">
        <f aca="false">CHOOSE(WEEKDAY(A166),"Sun","Mon","Tue","Wed","Thu","Fri","Sat")</f>
        <v>Tue</v>
      </c>
      <c r="C166" s="30" t="str">
        <f aca="false">IF(IFERROR(INDEX(Holidays!$D$5:$D$60,MATCH(A166,Holidays!$A$5:$A$60,0)),"")="Holiday","Holiday",IF(WEEKDAY(A166)&gt;=6,"Weekend",IF(IFERROR(INDEX(Holidays!$D$5:$D$60,MATCH(A166,Holidays!$A$5:$A$60,0)),"")="Eve","Eve","Workday")))</f>
        <v>Workday</v>
      </c>
      <c r="D166" s="18" t="str">
        <f aca="false">IFERROR(INDEX(Holidays!$C$5:$C$60,MATCH(A166,Holidays!$A$5:$A$60,0)),"")</f>
        <v/>
      </c>
      <c r="E166" s="31"/>
      <c r="F166" s="32"/>
      <c r="G166" s="32"/>
      <c r="H166" s="32"/>
      <c r="I166" s="32"/>
      <c r="J166" s="31"/>
      <c r="K166" s="33" t="str">
        <f aca="false">IF(E166&lt;&gt;"",E166,IF(U166,"Present",IF(C166="Holiday","Holiday","Weekend")))</f>
        <v>Present</v>
      </c>
      <c r="L166" s="34" t="n">
        <f aca="false">IF(OR(K166="Present",K166="Manual Work",K166="Partial Vacation",K166="Partial Sick Leave"),IF(ISNUMBER(F166),F166,IF(AND(K166="Present",U166),Settings!$B$6,"")),"")</f>
        <v>0.333333333333333</v>
      </c>
      <c r="M166" s="34" t="n">
        <f aca="false">IF(OR(K166="Present",K166="Manual Work",K166="Partial Vacation",K166="Partial Sick Leave"),IF(ISNUMBER(G166),G166,IF(AND(K166="Present",U166),V166,"")),"")</f>
        <v>0.6875</v>
      </c>
      <c r="N166" s="14" t="n">
        <f aca="false">IF(AND(ISNUMBER(L166),ISNUMBER(M166)),MAX(0,(M166-L166)*24),0)</f>
        <v>8.5</v>
      </c>
      <c r="O166" s="14" t="n">
        <f aca="false">IF(NOT(U166),0,IF(K166="Vacation",IF(C166="Eve",Settings!$B$9*Settings!$B$11,W166),IF(K166="Partial Vacation",IF(AND(ISNUMBER(H166),ISNUMBER(I166)),MAX(0,(I166-H166)*24),0),0)))</f>
        <v>0</v>
      </c>
      <c r="P166" s="14" t="n">
        <f aca="false">IF(NOT(U166),0,IF(K166="Sick Leave",W166,IF(K166="Partial Sick Leave",IF(AND(ISNUMBER(H166),ISNUMBER(I166)),MAX(0,(I166-H166)*24),0),0)))</f>
        <v>0</v>
      </c>
      <c r="Q166" s="14" t="n">
        <f aca="false">IF(NOT(U166),0,IF(K166="Vacation",IF(C166="Eve",Settings!$B$11,1),IF(K166="Partial Vacation",O166/Settings!$B$9,0)))</f>
        <v>0</v>
      </c>
      <c r="R166" s="14" t="n">
        <f aca="false">IF(NOT(U166),0,IF(K166="Sick Leave",1,IF(K166="Partial Sick Leave",P166/Settings!$B$9,0)))</f>
        <v>0</v>
      </c>
      <c r="S166" s="35" t="str">
        <f aca="false">IF(AND(OR(E166="Vacation",E166="Sick Leave",E166="Partial Vacation",E166="Partial Sick Leave"),NOT(U166)),"Leave not allowed on this day",IF(AND(E166="Manual Work",OR(NOT(ISNUMBER(F166)),NOT(ISNUMBER(G166)))),"Enter start and end",IF(AND(OR(E166="Partial Vacation",E166="Partial Sick Leave"),OR(NOT(ISNUMBER(H166)),NOT(ISNUMBER(I166)))),"Enter leave from and to",IF(AND(ISNUMBER(F166),ISNUMBER(G166),G166&lt;=F166),"End is before start",IF(AND(ISNUMBER(H166),ISNUMBER(I166),I166&lt;=H166),"Leave end is before start",IF(AND(ISNUMBER(F166),ISNUMBER(G166),ISNUMBER(H166),ISNUMBER(I166),F166&lt;I166,H166&lt;G166),"Work and leave hours overlap",IF(AND(E166&lt;&gt;"",WEEKDAY(A166)=7),"Saturday - administrator only","")))))))</f>
        <v/>
      </c>
      <c r="T166" s="36" t="n">
        <f aca="false">MONTH(A166)</f>
        <v>6</v>
      </c>
      <c r="U166" s="37" t="b">
        <f aca="false">OR(C166="Workday",C166="Eve")</f>
        <v>1</v>
      </c>
      <c r="V166" s="34" t="n">
        <f aca="false">IF(C166="Eve",Settings!$B$8,Settings!$B$7)</f>
        <v>0.6875</v>
      </c>
      <c r="W166" s="14" t="n">
        <f aca="false">IF(U166,(V166-Settings!$B$6)*24,0)</f>
        <v>8.5</v>
      </c>
    </row>
    <row r="167" customFormat="false" ht="15" hidden="false" customHeight="false" outlineLevel="0" collapsed="false">
      <c r="A167" s="29" t="n">
        <v>46183</v>
      </c>
      <c r="B167" s="30" t="str">
        <f aca="false">CHOOSE(WEEKDAY(A167),"Sun","Mon","Tue","Wed","Thu","Fri","Sat")</f>
        <v>Wed</v>
      </c>
      <c r="C167" s="30" t="str">
        <f aca="false">IF(IFERROR(INDEX(Holidays!$D$5:$D$60,MATCH(A167,Holidays!$A$5:$A$60,0)),"")="Holiday","Holiday",IF(WEEKDAY(A167)&gt;=6,"Weekend",IF(IFERROR(INDEX(Holidays!$D$5:$D$60,MATCH(A167,Holidays!$A$5:$A$60,0)),"")="Eve","Eve","Workday")))</f>
        <v>Workday</v>
      </c>
      <c r="D167" s="18" t="str">
        <f aca="false">IFERROR(INDEX(Holidays!$C$5:$C$60,MATCH(A167,Holidays!$A$5:$A$60,0)),"")</f>
        <v/>
      </c>
      <c r="E167" s="31"/>
      <c r="F167" s="32"/>
      <c r="G167" s="32"/>
      <c r="H167" s="32"/>
      <c r="I167" s="32"/>
      <c r="J167" s="31"/>
      <c r="K167" s="33" t="str">
        <f aca="false">IF(E167&lt;&gt;"",E167,IF(U167,"Present",IF(C167="Holiday","Holiday","Weekend")))</f>
        <v>Present</v>
      </c>
      <c r="L167" s="34" t="n">
        <f aca="false">IF(OR(K167="Present",K167="Manual Work",K167="Partial Vacation",K167="Partial Sick Leave"),IF(ISNUMBER(F167),F167,IF(AND(K167="Present",U167),Settings!$B$6,"")),"")</f>
        <v>0.333333333333333</v>
      </c>
      <c r="M167" s="34" t="n">
        <f aca="false">IF(OR(K167="Present",K167="Manual Work",K167="Partial Vacation",K167="Partial Sick Leave"),IF(ISNUMBER(G167),G167,IF(AND(K167="Present",U167),V167,"")),"")</f>
        <v>0.6875</v>
      </c>
      <c r="N167" s="14" t="n">
        <f aca="false">IF(AND(ISNUMBER(L167),ISNUMBER(M167)),MAX(0,(M167-L167)*24),0)</f>
        <v>8.5</v>
      </c>
      <c r="O167" s="14" t="n">
        <f aca="false">IF(NOT(U167),0,IF(K167="Vacation",IF(C167="Eve",Settings!$B$9*Settings!$B$11,W167),IF(K167="Partial Vacation",IF(AND(ISNUMBER(H167),ISNUMBER(I167)),MAX(0,(I167-H167)*24),0),0)))</f>
        <v>0</v>
      </c>
      <c r="P167" s="14" t="n">
        <f aca="false">IF(NOT(U167),0,IF(K167="Sick Leave",W167,IF(K167="Partial Sick Leave",IF(AND(ISNUMBER(H167),ISNUMBER(I167)),MAX(0,(I167-H167)*24),0),0)))</f>
        <v>0</v>
      </c>
      <c r="Q167" s="14" t="n">
        <f aca="false">IF(NOT(U167),0,IF(K167="Vacation",IF(C167="Eve",Settings!$B$11,1),IF(K167="Partial Vacation",O167/Settings!$B$9,0)))</f>
        <v>0</v>
      </c>
      <c r="R167" s="14" t="n">
        <f aca="false">IF(NOT(U167),0,IF(K167="Sick Leave",1,IF(K167="Partial Sick Leave",P167/Settings!$B$9,0)))</f>
        <v>0</v>
      </c>
      <c r="S167" s="35" t="str">
        <f aca="false">IF(AND(OR(E167="Vacation",E167="Sick Leave",E167="Partial Vacation",E167="Partial Sick Leave"),NOT(U167)),"Leave not allowed on this day",IF(AND(E167="Manual Work",OR(NOT(ISNUMBER(F167)),NOT(ISNUMBER(G167)))),"Enter start and end",IF(AND(OR(E167="Partial Vacation",E167="Partial Sick Leave"),OR(NOT(ISNUMBER(H167)),NOT(ISNUMBER(I167)))),"Enter leave from and to",IF(AND(ISNUMBER(F167),ISNUMBER(G167),G167&lt;=F167),"End is before start",IF(AND(ISNUMBER(H167),ISNUMBER(I167),I167&lt;=H167),"Leave end is before start",IF(AND(ISNUMBER(F167),ISNUMBER(G167),ISNUMBER(H167),ISNUMBER(I167),F167&lt;I167,H167&lt;G167),"Work and leave hours overlap",IF(AND(E167&lt;&gt;"",WEEKDAY(A167)=7),"Saturday - administrator only","")))))))</f>
        <v/>
      </c>
      <c r="T167" s="36" t="n">
        <f aca="false">MONTH(A167)</f>
        <v>6</v>
      </c>
      <c r="U167" s="37" t="b">
        <f aca="false">OR(C167="Workday",C167="Eve")</f>
        <v>1</v>
      </c>
      <c r="V167" s="34" t="n">
        <f aca="false">IF(C167="Eve",Settings!$B$8,Settings!$B$7)</f>
        <v>0.6875</v>
      </c>
      <c r="W167" s="14" t="n">
        <f aca="false">IF(U167,(V167-Settings!$B$6)*24,0)</f>
        <v>8.5</v>
      </c>
    </row>
    <row r="168" customFormat="false" ht="15" hidden="false" customHeight="false" outlineLevel="0" collapsed="false">
      <c r="A168" s="29" t="n">
        <v>46184</v>
      </c>
      <c r="B168" s="30" t="str">
        <f aca="false">CHOOSE(WEEKDAY(A168),"Sun","Mon","Tue","Wed","Thu","Fri","Sat")</f>
        <v>Thu</v>
      </c>
      <c r="C168" s="30" t="str">
        <f aca="false">IF(IFERROR(INDEX(Holidays!$D$5:$D$60,MATCH(A168,Holidays!$A$5:$A$60,0)),"")="Holiday","Holiday",IF(WEEKDAY(A168)&gt;=6,"Weekend",IF(IFERROR(INDEX(Holidays!$D$5:$D$60,MATCH(A168,Holidays!$A$5:$A$60,0)),"")="Eve","Eve","Workday")))</f>
        <v>Workday</v>
      </c>
      <c r="D168" s="18" t="str">
        <f aca="false">IFERROR(INDEX(Holidays!$C$5:$C$60,MATCH(A168,Holidays!$A$5:$A$60,0)),"")</f>
        <v/>
      </c>
      <c r="E168" s="31"/>
      <c r="F168" s="32"/>
      <c r="G168" s="32"/>
      <c r="H168" s="32"/>
      <c r="I168" s="32"/>
      <c r="J168" s="31"/>
      <c r="K168" s="33" t="str">
        <f aca="false">IF(E168&lt;&gt;"",E168,IF(U168,"Present",IF(C168="Holiday","Holiday","Weekend")))</f>
        <v>Present</v>
      </c>
      <c r="L168" s="34" t="n">
        <f aca="false">IF(OR(K168="Present",K168="Manual Work",K168="Partial Vacation",K168="Partial Sick Leave"),IF(ISNUMBER(F168),F168,IF(AND(K168="Present",U168),Settings!$B$6,"")),"")</f>
        <v>0.333333333333333</v>
      </c>
      <c r="M168" s="34" t="n">
        <f aca="false">IF(OR(K168="Present",K168="Manual Work",K168="Partial Vacation",K168="Partial Sick Leave"),IF(ISNUMBER(G168),G168,IF(AND(K168="Present",U168),V168,"")),"")</f>
        <v>0.6875</v>
      </c>
      <c r="N168" s="14" t="n">
        <f aca="false">IF(AND(ISNUMBER(L168),ISNUMBER(M168)),MAX(0,(M168-L168)*24),0)</f>
        <v>8.5</v>
      </c>
      <c r="O168" s="14" t="n">
        <f aca="false">IF(NOT(U168),0,IF(K168="Vacation",IF(C168="Eve",Settings!$B$9*Settings!$B$11,W168),IF(K168="Partial Vacation",IF(AND(ISNUMBER(H168),ISNUMBER(I168)),MAX(0,(I168-H168)*24),0),0)))</f>
        <v>0</v>
      </c>
      <c r="P168" s="14" t="n">
        <f aca="false">IF(NOT(U168),0,IF(K168="Sick Leave",W168,IF(K168="Partial Sick Leave",IF(AND(ISNUMBER(H168),ISNUMBER(I168)),MAX(0,(I168-H168)*24),0),0)))</f>
        <v>0</v>
      </c>
      <c r="Q168" s="14" t="n">
        <f aca="false">IF(NOT(U168),0,IF(K168="Vacation",IF(C168="Eve",Settings!$B$11,1),IF(K168="Partial Vacation",O168/Settings!$B$9,0)))</f>
        <v>0</v>
      </c>
      <c r="R168" s="14" t="n">
        <f aca="false">IF(NOT(U168),0,IF(K168="Sick Leave",1,IF(K168="Partial Sick Leave",P168/Settings!$B$9,0)))</f>
        <v>0</v>
      </c>
      <c r="S168" s="35" t="str">
        <f aca="false">IF(AND(OR(E168="Vacation",E168="Sick Leave",E168="Partial Vacation",E168="Partial Sick Leave"),NOT(U168)),"Leave not allowed on this day",IF(AND(E168="Manual Work",OR(NOT(ISNUMBER(F168)),NOT(ISNUMBER(G168)))),"Enter start and end",IF(AND(OR(E168="Partial Vacation",E168="Partial Sick Leave"),OR(NOT(ISNUMBER(H168)),NOT(ISNUMBER(I168)))),"Enter leave from and to",IF(AND(ISNUMBER(F168),ISNUMBER(G168),G168&lt;=F168),"End is before start",IF(AND(ISNUMBER(H168),ISNUMBER(I168),I168&lt;=H168),"Leave end is before start",IF(AND(ISNUMBER(F168),ISNUMBER(G168),ISNUMBER(H168),ISNUMBER(I168),F168&lt;I168,H168&lt;G168),"Work and leave hours overlap",IF(AND(E168&lt;&gt;"",WEEKDAY(A168)=7),"Saturday - administrator only","")))))))</f>
        <v/>
      </c>
      <c r="T168" s="36" t="n">
        <f aca="false">MONTH(A168)</f>
        <v>6</v>
      </c>
      <c r="U168" s="37" t="b">
        <f aca="false">OR(C168="Workday",C168="Eve")</f>
        <v>1</v>
      </c>
      <c r="V168" s="34" t="n">
        <f aca="false">IF(C168="Eve",Settings!$B$8,Settings!$B$7)</f>
        <v>0.6875</v>
      </c>
      <c r="W168" s="14" t="n">
        <f aca="false">IF(U168,(V168-Settings!$B$6)*24,0)</f>
        <v>8.5</v>
      </c>
    </row>
    <row r="169" customFormat="false" ht="15" hidden="false" customHeight="false" outlineLevel="0" collapsed="false">
      <c r="A169" s="29" t="n">
        <v>46185</v>
      </c>
      <c r="B169" s="30" t="str">
        <f aca="false">CHOOSE(WEEKDAY(A169),"Sun","Mon","Tue","Wed","Thu","Fri","Sat")</f>
        <v>Fri</v>
      </c>
      <c r="C169" s="30" t="str">
        <f aca="false">IF(IFERROR(INDEX(Holidays!$D$5:$D$60,MATCH(A169,Holidays!$A$5:$A$60,0)),"")="Holiday","Holiday",IF(WEEKDAY(A169)&gt;=6,"Weekend",IF(IFERROR(INDEX(Holidays!$D$5:$D$60,MATCH(A169,Holidays!$A$5:$A$60,0)),"")="Eve","Eve","Workday")))</f>
        <v>Weekend</v>
      </c>
      <c r="D169" s="18" t="str">
        <f aca="false">IFERROR(INDEX(Holidays!$C$5:$C$60,MATCH(A169,Holidays!$A$5:$A$60,0)),"")</f>
        <v/>
      </c>
      <c r="E169" s="31"/>
      <c r="F169" s="32"/>
      <c r="G169" s="32"/>
      <c r="H169" s="32"/>
      <c r="I169" s="32"/>
      <c r="J169" s="31"/>
      <c r="K169" s="33" t="str">
        <f aca="false">IF(E169&lt;&gt;"",E169,IF(U169,"Present",IF(C169="Holiday","Holiday","Weekend")))</f>
        <v>Weekend</v>
      </c>
      <c r="L169" s="34" t="str">
        <f aca="false">IF(OR(K169="Present",K169="Manual Work",K169="Partial Vacation",K169="Partial Sick Leave"),IF(ISNUMBER(F169),F169,IF(AND(K169="Present",U169),Settings!$B$6,"")),"")</f>
        <v/>
      </c>
      <c r="M169" s="34" t="str">
        <f aca="false">IF(OR(K169="Present",K169="Manual Work",K169="Partial Vacation",K169="Partial Sick Leave"),IF(ISNUMBER(G169),G169,IF(AND(K169="Present",U169),V169,"")),"")</f>
        <v/>
      </c>
      <c r="N169" s="14" t="n">
        <f aca="false">IF(AND(ISNUMBER(L169),ISNUMBER(M169)),MAX(0,(M169-L169)*24),0)</f>
        <v>0</v>
      </c>
      <c r="O169" s="14" t="n">
        <f aca="false">IF(NOT(U169),0,IF(K169="Vacation",IF(C169="Eve",Settings!$B$9*Settings!$B$11,W169),IF(K169="Partial Vacation",IF(AND(ISNUMBER(H169),ISNUMBER(I169)),MAX(0,(I169-H169)*24),0),0)))</f>
        <v>0</v>
      </c>
      <c r="P169" s="14" t="n">
        <f aca="false">IF(NOT(U169),0,IF(K169="Sick Leave",W169,IF(K169="Partial Sick Leave",IF(AND(ISNUMBER(H169),ISNUMBER(I169)),MAX(0,(I169-H169)*24),0),0)))</f>
        <v>0</v>
      </c>
      <c r="Q169" s="14" t="n">
        <f aca="false">IF(NOT(U169),0,IF(K169="Vacation",IF(C169="Eve",Settings!$B$11,1),IF(K169="Partial Vacation",O169/Settings!$B$9,0)))</f>
        <v>0</v>
      </c>
      <c r="R169" s="14" t="n">
        <f aca="false">IF(NOT(U169),0,IF(K169="Sick Leave",1,IF(K169="Partial Sick Leave",P169/Settings!$B$9,0)))</f>
        <v>0</v>
      </c>
      <c r="S169" s="35" t="str">
        <f aca="false">IF(AND(OR(E169="Vacation",E169="Sick Leave",E169="Partial Vacation",E169="Partial Sick Leave"),NOT(U169)),"Leave not allowed on this day",IF(AND(E169="Manual Work",OR(NOT(ISNUMBER(F169)),NOT(ISNUMBER(G169)))),"Enter start and end",IF(AND(OR(E169="Partial Vacation",E169="Partial Sick Leave"),OR(NOT(ISNUMBER(H169)),NOT(ISNUMBER(I169)))),"Enter leave from and to",IF(AND(ISNUMBER(F169),ISNUMBER(G169),G169&lt;=F169),"End is before start",IF(AND(ISNUMBER(H169),ISNUMBER(I169),I169&lt;=H169),"Leave end is before start",IF(AND(ISNUMBER(F169),ISNUMBER(G169),ISNUMBER(H169),ISNUMBER(I169),F169&lt;I169,H169&lt;G169),"Work and leave hours overlap",IF(AND(E169&lt;&gt;"",WEEKDAY(A169)=7),"Saturday - administrator only","")))))))</f>
        <v/>
      </c>
      <c r="T169" s="36" t="n">
        <f aca="false">MONTH(A169)</f>
        <v>6</v>
      </c>
      <c r="U169" s="37" t="b">
        <f aca="false">OR(C169="Workday",C169="Eve")</f>
        <v>0</v>
      </c>
      <c r="V169" s="34" t="n">
        <f aca="false">IF(C169="Eve",Settings!$B$8,Settings!$B$7)</f>
        <v>0.6875</v>
      </c>
      <c r="W169" s="14" t="n">
        <f aca="false">IF(U169,(V169-Settings!$B$6)*24,0)</f>
        <v>0</v>
      </c>
    </row>
    <row r="170" customFormat="false" ht="15" hidden="false" customHeight="false" outlineLevel="0" collapsed="false">
      <c r="A170" s="29" t="n">
        <v>46186</v>
      </c>
      <c r="B170" s="30" t="str">
        <f aca="false">CHOOSE(WEEKDAY(A170),"Sun","Mon","Tue","Wed","Thu","Fri","Sat")</f>
        <v>Sat</v>
      </c>
      <c r="C170" s="30" t="str">
        <f aca="false">IF(IFERROR(INDEX(Holidays!$D$5:$D$60,MATCH(A170,Holidays!$A$5:$A$60,0)),"")="Holiday","Holiday",IF(WEEKDAY(A170)&gt;=6,"Weekend",IF(IFERROR(INDEX(Holidays!$D$5:$D$60,MATCH(A170,Holidays!$A$5:$A$60,0)),"")="Eve","Eve","Workday")))</f>
        <v>Weekend</v>
      </c>
      <c r="D170" s="18" t="str">
        <f aca="false">IFERROR(INDEX(Holidays!$C$5:$C$60,MATCH(A170,Holidays!$A$5:$A$60,0)),"")</f>
        <v/>
      </c>
      <c r="E170" s="31"/>
      <c r="F170" s="32"/>
      <c r="G170" s="32"/>
      <c r="H170" s="32"/>
      <c r="I170" s="32"/>
      <c r="J170" s="31"/>
      <c r="K170" s="33" t="str">
        <f aca="false">IF(E170&lt;&gt;"",E170,IF(U170,"Present",IF(C170="Holiday","Holiday","Weekend")))</f>
        <v>Weekend</v>
      </c>
      <c r="L170" s="34" t="str">
        <f aca="false">IF(OR(K170="Present",K170="Manual Work",K170="Partial Vacation",K170="Partial Sick Leave"),IF(ISNUMBER(F170),F170,IF(AND(K170="Present",U170),Settings!$B$6,"")),"")</f>
        <v/>
      </c>
      <c r="M170" s="34" t="str">
        <f aca="false">IF(OR(K170="Present",K170="Manual Work",K170="Partial Vacation",K170="Partial Sick Leave"),IF(ISNUMBER(G170),G170,IF(AND(K170="Present",U170),V170,"")),"")</f>
        <v/>
      </c>
      <c r="N170" s="14" t="n">
        <f aca="false">IF(AND(ISNUMBER(L170),ISNUMBER(M170)),MAX(0,(M170-L170)*24),0)</f>
        <v>0</v>
      </c>
      <c r="O170" s="14" t="n">
        <f aca="false">IF(NOT(U170),0,IF(K170="Vacation",IF(C170="Eve",Settings!$B$9*Settings!$B$11,W170),IF(K170="Partial Vacation",IF(AND(ISNUMBER(H170),ISNUMBER(I170)),MAX(0,(I170-H170)*24),0),0)))</f>
        <v>0</v>
      </c>
      <c r="P170" s="14" t="n">
        <f aca="false">IF(NOT(U170),0,IF(K170="Sick Leave",W170,IF(K170="Partial Sick Leave",IF(AND(ISNUMBER(H170),ISNUMBER(I170)),MAX(0,(I170-H170)*24),0),0)))</f>
        <v>0</v>
      </c>
      <c r="Q170" s="14" t="n">
        <f aca="false">IF(NOT(U170),0,IF(K170="Vacation",IF(C170="Eve",Settings!$B$11,1),IF(K170="Partial Vacation",O170/Settings!$B$9,0)))</f>
        <v>0</v>
      </c>
      <c r="R170" s="14" t="n">
        <f aca="false">IF(NOT(U170),0,IF(K170="Sick Leave",1,IF(K170="Partial Sick Leave",P170/Settings!$B$9,0)))</f>
        <v>0</v>
      </c>
      <c r="S170" s="35" t="str">
        <f aca="false">IF(AND(OR(E170="Vacation",E170="Sick Leave",E170="Partial Vacation",E170="Partial Sick Leave"),NOT(U170)),"Leave not allowed on this day",IF(AND(E170="Manual Work",OR(NOT(ISNUMBER(F170)),NOT(ISNUMBER(G170)))),"Enter start and end",IF(AND(OR(E170="Partial Vacation",E170="Partial Sick Leave"),OR(NOT(ISNUMBER(H170)),NOT(ISNUMBER(I170)))),"Enter leave from and to",IF(AND(ISNUMBER(F170),ISNUMBER(G170),G170&lt;=F170),"End is before start",IF(AND(ISNUMBER(H170),ISNUMBER(I170),I170&lt;=H170),"Leave end is before start",IF(AND(ISNUMBER(F170),ISNUMBER(G170),ISNUMBER(H170),ISNUMBER(I170),F170&lt;I170,H170&lt;G170),"Work and leave hours overlap",IF(AND(E170&lt;&gt;"",WEEKDAY(A170)=7),"Saturday - administrator only","")))))))</f>
        <v/>
      </c>
      <c r="T170" s="36" t="n">
        <f aca="false">MONTH(A170)</f>
        <v>6</v>
      </c>
      <c r="U170" s="37" t="b">
        <f aca="false">OR(C170="Workday",C170="Eve")</f>
        <v>0</v>
      </c>
      <c r="V170" s="34" t="n">
        <f aca="false">IF(C170="Eve",Settings!$B$8,Settings!$B$7)</f>
        <v>0.6875</v>
      </c>
      <c r="W170" s="14" t="n">
        <f aca="false">IF(U170,(V170-Settings!$B$6)*24,0)</f>
        <v>0</v>
      </c>
    </row>
    <row r="171" customFormat="false" ht="15" hidden="false" customHeight="false" outlineLevel="0" collapsed="false">
      <c r="A171" s="29" t="n">
        <v>46187</v>
      </c>
      <c r="B171" s="30" t="str">
        <f aca="false">CHOOSE(WEEKDAY(A171),"Sun","Mon","Tue","Wed","Thu","Fri","Sat")</f>
        <v>Sun</v>
      </c>
      <c r="C171" s="30" t="str">
        <f aca="false">IF(IFERROR(INDEX(Holidays!$D$5:$D$60,MATCH(A171,Holidays!$A$5:$A$60,0)),"")="Holiday","Holiday",IF(WEEKDAY(A171)&gt;=6,"Weekend",IF(IFERROR(INDEX(Holidays!$D$5:$D$60,MATCH(A171,Holidays!$A$5:$A$60,0)),"")="Eve","Eve","Workday")))</f>
        <v>Workday</v>
      </c>
      <c r="D171" s="18" t="str">
        <f aca="false">IFERROR(INDEX(Holidays!$C$5:$C$60,MATCH(A171,Holidays!$A$5:$A$60,0)),"")</f>
        <v/>
      </c>
      <c r="E171" s="31"/>
      <c r="F171" s="32"/>
      <c r="G171" s="32"/>
      <c r="H171" s="32"/>
      <c r="I171" s="32"/>
      <c r="J171" s="31"/>
      <c r="K171" s="33" t="str">
        <f aca="false">IF(E171&lt;&gt;"",E171,IF(U171,"Present",IF(C171="Holiday","Holiday","Weekend")))</f>
        <v>Present</v>
      </c>
      <c r="L171" s="34" t="n">
        <f aca="false">IF(OR(K171="Present",K171="Manual Work",K171="Partial Vacation",K171="Partial Sick Leave"),IF(ISNUMBER(F171),F171,IF(AND(K171="Present",U171),Settings!$B$6,"")),"")</f>
        <v>0.333333333333333</v>
      </c>
      <c r="M171" s="34" t="n">
        <f aca="false">IF(OR(K171="Present",K171="Manual Work",K171="Partial Vacation",K171="Partial Sick Leave"),IF(ISNUMBER(G171),G171,IF(AND(K171="Present",U171),V171,"")),"")</f>
        <v>0.6875</v>
      </c>
      <c r="N171" s="14" t="n">
        <f aca="false">IF(AND(ISNUMBER(L171),ISNUMBER(M171)),MAX(0,(M171-L171)*24),0)</f>
        <v>8.5</v>
      </c>
      <c r="O171" s="14" t="n">
        <f aca="false">IF(NOT(U171),0,IF(K171="Vacation",IF(C171="Eve",Settings!$B$9*Settings!$B$11,W171),IF(K171="Partial Vacation",IF(AND(ISNUMBER(H171),ISNUMBER(I171)),MAX(0,(I171-H171)*24),0),0)))</f>
        <v>0</v>
      </c>
      <c r="P171" s="14" t="n">
        <f aca="false">IF(NOT(U171),0,IF(K171="Sick Leave",W171,IF(K171="Partial Sick Leave",IF(AND(ISNUMBER(H171),ISNUMBER(I171)),MAX(0,(I171-H171)*24),0),0)))</f>
        <v>0</v>
      </c>
      <c r="Q171" s="14" t="n">
        <f aca="false">IF(NOT(U171),0,IF(K171="Vacation",IF(C171="Eve",Settings!$B$11,1),IF(K171="Partial Vacation",O171/Settings!$B$9,0)))</f>
        <v>0</v>
      </c>
      <c r="R171" s="14" t="n">
        <f aca="false">IF(NOT(U171),0,IF(K171="Sick Leave",1,IF(K171="Partial Sick Leave",P171/Settings!$B$9,0)))</f>
        <v>0</v>
      </c>
      <c r="S171" s="35" t="str">
        <f aca="false">IF(AND(OR(E171="Vacation",E171="Sick Leave",E171="Partial Vacation",E171="Partial Sick Leave"),NOT(U171)),"Leave not allowed on this day",IF(AND(E171="Manual Work",OR(NOT(ISNUMBER(F171)),NOT(ISNUMBER(G171)))),"Enter start and end",IF(AND(OR(E171="Partial Vacation",E171="Partial Sick Leave"),OR(NOT(ISNUMBER(H171)),NOT(ISNUMBER(I171)))),"Enter leave from and to",IF(AND(ISNUMBER(F171),ISNUMBER(G171),G171&lt;=F171),"End is before start",IF(AND(ISNUMBER(H171),ISNUMBER(I171),I171&lt;=H171),"Leave end is before start",IF(AND(ISNUMBER(F171),ISNUMBER(G171),ISNUMBER(H171),ISNUMBER(I171),F171&lt;I171,H171&lt;G171),"Work and leave hours overlap",IF(AND(E171&lt;&gt;"",WEEKDAY(A171)=7),"Saturday - administrator only","")))))))</f>
        <v/>
      </c>
      <c r="T171" s="36" t="n">
        <f aca="false">MONTH(A171)</f>
        <v>6</v>
      </c>
      <c r="U171" s="37" t="b">
        <f aca="false">OR(C171="Workday",C171="Eve")</f>
        <v>1</v>
      </c>
      <c r="V171" s="34" t="n">
        <f aca="false">IF(C171="Eve",Settings!$B$8,Settings!$B$7)</f>
        <v>0.6875</v>
      </c>
      <c r="W171" s="14" t="n">
        <f aca="false">IF(U171,(V171-Settings!$B$6)*24,0)</f>
        <v>8.5</v>
      </c>
    </row>
    <row r="172" customFormat="false" ht="15" hidden="false" customHeight="false" outlineLevel="0" collapsed="false">
      <c r="A172" s="29" t="n">
        <v>46188</v>
      </c>
      <c r="B172" s="30" t="str">
        <f aca="false">CHOOSE(WEEKDAY(A172),"Sun","Mon","Tue","Wed","Thu","Fri","Sat")</f>
        <v>Mon</v>
      </c>
      <c r="C172" s="30" t="str">
        <f aca="false">IF(IFERROR(INDEX(Holidays!$D$5:$D$60,MATCH(A172,Holidays!$A$5:$A$60,0)),"")="Holiday","Holiday",IF(WEEKDAY(A172)&gt;=6,"Weekend",IF(IFERROR(INDEX(Holidays!$D$5:$D$60,MATCH(A172,Holidays!$A$5:$A$60,0)),"")="Eve","Eve","Workday")))</f>
        <v>Workday</v>
      </c>
      <c r="D172" s="18" t="str">
        <f aca="false">IFERROR(INDEX(Holidays!$C$5:$C$60,MATCH(A172,Holidays!$A$5:$A$60,0)),"")</f>
        <v/>
      </c>
      <c r="E172" s="31"/>
      <c r="F172" s="32"/>
      <c r="G172" s="32"/>
      <c r="H172" s="32"/>
      <c r="I172" s="32"/>
      <c r="J172" s="31"/>
      <c r="K172" s="33" t="str">
        <f aca="false">IF(E172&lt;&gt;"",E172,IF(U172,"Present",IF(C172="Holiday","Holiday","Weekend")))</f>
        <v>Present</v>
      </c>
      <c r="L172" s="34" t="n">
        <f aca="false">IF(OR(K172="Present",K172="Manual Work",K172="Partial Vacation",K172="Partial Sick Leave"),IF(ISNUMBER(F172),F172,IF(AND(K172="Present",U172),Settings!$B$6,"")),"")</f>
        <v>0.333333333333333</v>
      </c>
      <c r="M172" s="34" t="n">
        <f aca="false">IF(OR(K172="Present",K172="Manual Work",K172="Partial Vacation",K172="Partial Sick Leave"),IF(ISNUMBER(G172),G172,IF(AND(K172="Present",U172),V172,"")),"")</f>
        <v>0.6875</v>
      </c>
      <c r="N172" s="14" t="n">
        <f aca="false">IF(AND(ISNUMBER(L172),ISNUMBER(M172)),MAX(0,(M172-L172)*24),0)</f>
        <v>8.5</v>
      </c>
      <c r="O172" s="14" t="n">
        <f aca="false">IF(NOT(U172),0,IF(K172="Vacation",IF(C172="Eve",Settings!$B$9*Settings!$B$11,W172),IF(K172="Partial Vacation",IF(AND(ISNUMBER(H172),ISNUMBER(I172)),MAX(0,(I172-H172)*24),0),0)))</f>
        <v>0</v>
      </c>
      <c r="P172" s="14" t="n">
        <f aca="false">IF(NOT(U172),0,IF(K172="Sick Leave",W172,IF(K172="Partial Sick Leave",IF(AND(ISNUMBER(H172),ISNUMBER(I172)),MAX(0,(I172-H172)*24),0),0)))</f>
        <v>0</v>
      </c>
      <c r="Q172" s="14" t="n">
        <f aca="false">IF(NOT(U172),0,IF(K172="Vacation",IF(C172="Eve",Settings!$B$11,1),IF(K172="Partial Vacation",O172/Settings!$B$9,0)))</f>
        <v>0</v>
      </c>
      <c r="R172" s="14" t="n">
        <f aca="false">IF(NOT(U172),0,IF(K172="Sick Leave",1,IF(K172="Partial Sick Leave",P172/Settings!$B$9,0)))</f>
        <v>0</v>
      </c>
      <c r="S172" s="35" t="str">
        <f aca="false">IF(AND(OR(E172="Vacation",E172="Sick Leave",E172="Partial Vacation",E172="Partial Sick Leave"),NOT(U172)),"Leave not allowed on this day",IF(AND(E172="Manual Work",OR(NOT(ISNUMBER(F172)),NOT(ISNUMBER(G172)))),"Enter start and end",IF(AND(OR(E172="Partial Vacation",E172="Partial Sick Leave"),OR(NOT(ISNUMBER(H172)),NOT(ISNUMBER(I172)))),"Enter leave from and to",IF(AND(ISNUMBER(F172),ISNUMBER(G172),G172&lt;=F172),"End is before start",IF(AND(ISNUMBER(H172),ISNUMBER(I172),I172&lt;=H172),"Leave end is before start",IF(AND(ISNUMBER(F172),ISNUMBER(G172),ISNUMBER(H172),ISNUMBER(I172),F172&lt;I172,H172&lt;G172),"Work and leave hours overlap",IF(AND(E172&lt;&gt;"",WEEKDAY(A172)=7),"Saturday - administrator only","")))))))</f>
        <v/>
      </c>
      <c r="T172" s="36" t="n">
        <f aca="false">MONTH(A172)</f>
        <v>6</v>
      </c>
      <c r="U172" s="37" t="b">
        <f aca="false">OR(C172="Workday",C172="Eve")</f>
        <v>1</v>
      </c>
      <c r="V172" s="34" t="n">
        <f aca="false">IF(C172="Eve",Settings!$B$8,Settings!$B$7)</f>
        <v>0.6875</v>
      </c>
      <c r="W172" s="14" t="n">
        <f aca="false">IF(U172,(V172-Settings!$B$6)*24,0)</f>
        <v>8.5</v>
      </c>
    </row>
    <row r="173" customFormat="false" ht="15" hidden="false" customHeight="false" outlineLevel="0" collapsed="false">
      <c r="A173" s="29" t="n">
        <v>46189</v>
      </c>
      <c r="B173" s="30" t="str">
        <f aca="false">CHOOSE(WEEKDAY(A173),"Sun","Mon","Tue","Wed","Thu","Fri","Sat")</f>
        <v>Tue</v>
      </c>
      <c r="C173" s="30" t="str">
        <f aca="false">IF(IFERROR(INDEX(Holidays!$D$5:$D$60,MATCH(A173,Holidays!$A$5:$A$60,0)),"")="Holiday","Holiday",IF(WEEKDAY(A173)&gt;=6,"Weekend",IF(IFERROR(INDEX(Holidays!$D$5:$D$60,MATCH(A173,Holidays!$A$5:$A$60,0)),"")="Eve","Eve","Workday")))</f>
        <v>Workday</v>
      </c>
      <c r="D173" s="18" t="str">
        <f aca="false">IFERROR(INDEX(Holidays!$C$5:$C$60,MATCH(A173,Holidays!$A$5:$A$60,0)),"")</f>
        <v/>
      </c>
      <c r="E173" s="31"/>
      <c r="F173" s="32"/>
      <c r="G173" s="32"/>
      <c r="H173" s="32"/>
      <c r="I173" s="32"/>
      <c r="J173" s="31"/>
      <c r="K173" s="33" t="str">
        <f aca="false">IF(E173&lt;&gt;"",E173,IF(U173,"Present",IF(C173="Holiday","Holiday","Weekend")))</f>
        <v>Present</v>
      </c>
      <c r="L173" s="34" t="n">
        <f aca="false">IF(OR(K173="Present",K173="Manual Work",K173="Partial Vacation",K173="Partial Sick Leave"),IF(ISNUMBER(F173),F173,IF(AND(K173="Present",U173),Settings!$B$6,"")),"")</f>
        <v>0.333333333333333</v>
      </c>
      <c r="M173" s="34" t="n">
        <f aca="false">IF(OR(K173="Present",K173="Manual Work",K173="Partial Vacation",K173="Partial Sick Leave"),IF(ISNUMBER(G173),G173,IF(AND(K173="Present",U173),V173,"")),"")</f>
        <v>0.6875</v>
      </c>
      <c r="N173" s="14" t="n">
        <f aca="false">IF(AND(ISNUMBER(L173),ISNUMBER(M173)),MAX(0,(M173-L173)*24),0)</f>
        <v>8.5</v>
      </c>
      <c r="O173" s="14" t="n">
        <f aca="false">IF(NOT(U173),0,IF(K173="Vacation",IF(C173="Eve",Settings!$B$9*Settings!$B$11,W173),IF(K173="Partial Vacation",IF(AND(ISNUMBER(H173),ISNUMBER(I173)),MAX(0,(I173-H173)*24),0),0)))</f>
        <v>0</v>
      </c>
      <c r="P173" s="14" t="n">
        <f aca="false">IF(NOT(U173),0,IF(K173="Sick Leave",W173,IF(K173="Partial Sick Leave",IF(AND(ISNUMBER(H173),ISNUMBER(I173)),MAX(0,(I173-H173)*24),0),0)))</f>
        <v>0</v>
      </c>
      <c r="Q173" s="14" t="n">
        <f aca="false">IF(NOT(U173),0,IF(K173="Vacation",IF(C173="Eve",Settings!$B$11,1),IF(K173="Partial Vacation",O173/Settings!$B$9,0)))</f>
        <v>0</v>
      </c>
      <c r="R173" s="14" t="n">
        <f aca="false">IF(NOT(U173),0,IF(K173="Sick Leave",1,IF(K173="Partial Sick Leave",P173/Settings!$B$9,0)))</f>
        <v>0</v>
      </c>
      <c r="S173" s="35" t="str">
        <f aca="false">IF(AND(OR(E173="Vacation",E173="Sick Leave",E173="Partial Vacation",E173="Partial Sick Leave"),NOT(U173)),"Leave not allowed on this day",IF(AND(E173="Manual Work",OR(NOT(ISNUMBER(F173)),NOT(ISNUMBER(G173)))),"Enter start and end",IF(AND(OR(E173="Partial Vacation",E173="Partial Sick Leave"),OR(NOT(ISNUMBER(H173)),NOT(ISNUMBER(I173)))),"Enter leave from and to",IF(AND(ISNUMBER(F173),ISNUMBER(G173),G173&lt;=F173),"End is before start",IF(AND(ISNUMBER(H173),ISNUMBER(I173),I173&lt;=H173),"Leave end is before start",IF(AND(ISNUMBER(F173),ISNUMBER(G173),ISNUMBER(H173),ISNUMBER(I173),F173&lt;I173,H173&lt;G173),"Work and leave hours overlap",IF(AND(E173&lt;&gt;"",WEEKDAY(A173)=7),"Saturday - administrator only","")))))))</f>
        <v/>
      </c>
      <c r="T173" s="36" t="n">
        <f aca="false">MONTH(A173)</f>
        <v>6</v>
      </c>
      <c r="U173" s="37" t="b">
        <f aca="false">OR(C173="Workday",C173="Eve")</f>
        <v>1</v>
      </c>
      <c r="V173" s="34" t="n">
        <f aca="false">IF(C173="Eve",Settings!$B$8,Settings!$B$7)</f>
        <v>0.6875</v>
      </c>
      <c r="W173" s="14" t="n">
        <f aca="false">IF(U173,(V173-Settings!$B$6)*24,0)</f>
        <v>8.5</v>
      </c>
    </row>
    <row r="174" customFormat="false" ht="15" hidden="false" customHeight="false" outlineLevel="0" collapsed="false">
      <c r="A174" s="29" t="n">
        <v>46190</v>
      </c>
      <c r="B174" s="30" t="str">
        <f aca="false">CHOOSE(WEEKDAY(A174),"Sun","Mon","Tue","Wed","Thu","Fri","Sat")</f>
        <v>Wed</v>
      </c>
      <c r="C174" s="30" t="str">
        <f aca="false">IF(IFERROR(INDEX(Holidays!$D$5:$D$60,MATCH(A174,Holidays!$A$5:$A$60,0)),"")="Holiday","Holiday",IF(WEEKDAY(A174)&gt;=6,"Weekend",IF(IFERROR(INDEX(Holidays!$D$5:$D$60,MATCH(A174,Holidays!$A$5:$A$60,0)),"")="Eve","Eve","Workday")))</f>
        <v>Workday</v>
      </c>
      <c r="D174" s="18" t="str">
        <f aca="false">IFERROR(INDEX(Holidays!$C$5:$C$60,MATCH(A174,Holidays!$A$5:$A$60,0)),"")</f>
        <v/>
      </c>
      <c r="E174" s="31"/>
      <c r="F174" s="32"/>
      <c r="G174" s="32"/>
      <c r="H174" s="32"/>
      <c r="I174" s="32"/>
      <c r="J174" s="31"/>
      <c r="K174" s="33" t="str">
        <f aca="false">IF(E174&lt;&gt;"",E174,IF(U174,"Present",IF(C174="Holiday","Holiday","Weekend")))</f>
        <v>Present</v>
      </c>
      <c r="L174" s="34" t="n">
        <f aca="false">IF(OR(K174="Present",K174="Manual Work",K174="Partial Vacation",K174="Partial Sick Leave"),IF(ISNUMBER(F174),F174,IF(AND(K174="Present",U174),Settings!$B$6,"")),"")</f>
        <v>0.333333333333333</v>
      </c>
      <c r="M174" s="34" t="n">
        <f aca="false">IF(OR(K174="Present",K174="Manual Work",K174="Partial Vacation",K174="Partial Sick Leave"),IF(ISNUMBER(G174),G174,IF(AND(K174="Present",U174),V174,"")),"")</f>
        <v>0.6875</v>
      </c>
      <c r="N174" s="14" t="n">
        <f aca="false">IF(AND(ISNUMBER(L174),ISNUMBER(M174)),MAX(0,(M174-L174)*24),0)</f>
        <v>8.5</v>
      </c>
      <c r="O174" s="14" t="n">
        <f aca="false">IF(NOT(U174),0,IF(K174="Vacation",IF(C174="Eve",Settings!$B$9*Settings!$B$11,W174),IF(K174="Partial Vacation",IF(AND(ISNUMBER(H174),ISNUMBER(I174)),MAX(0,(I174-H174)*24),0),0)))</f>
        <v>0</v>
      </c>
      <c r="P174" s="14" t="n">
        <f aca="false">IF(NOT(U174),0,IF(K174="Sick Leave",W174,IF(K174="Partial Sick Leave",IF(AND(ISNUMBER(H174),ISNUMBER(I174)),MAX(0,(I174-H174)*24),0),0)))</f>
        <v>0</v>
      </c>
      <c r="Q174" s="14" t="n">
        <f aca="false">IF(NOT(U174),0,IF(K174="Vacation",IF(C174="Eve",Settings!$B$11,1),IF(K174="Partial Vacation",O174/Settings!$B$9,0)))</f>
        <v>0</v>
      </c>
      <c r="R174" s="14" t="n">
        <f aca="false">IF(NOT(U174),0,IF(K174="Sick Leave",1,IF(K174="Partial Sick Leave",P174/Settings!$B$9,0)))</f>
        <v>0</v>
      </c>
      <c r="S174" s="35" t="str">
        <f aca="false">IF(AND(OR(E174="Vacation",E174="Sick Leave",E174="Partial Vacation",E174="Partial Sick Leave"),NOT(U174)),"Leave not allowed on this day",IF(AND(E174="Manual Work",OR(NOT(ISNUMBER(F174)),NOT(ISNUMBER(G174)))),"Enter start and end",IF(AND(OR(E174="Partial Vacation",E174="Partial Sick Leave"),OR(NOT(ISNUMBER(H174)),NOT(ISNUMBER(I174)))),"Enter leave from and to",IF(AND(ISNUMBER(F174),ISNUMBER(G174),G174&lt;=F174),"End is before start",IF(AND(ISNUMBER(H174),ISNUMBER(I174),I174&lt;=H174),"Leave end is before start",IF(AND(ISNUMBER(F174),ISNUMBER(G174),ISNUMBER(H174),ISNUMBER(I174),F174&lt;I174,H174&lt;G174),"Work and leave hours overlap",IF(AND(E174&lt;&gt;"",WEEKDAY(A174)=7),"Saturday - administrator only","")))))))</f>
        <v/>
      </c>
      <c r="T174" s="36" t="n">
        <f aca="false">MONTH(A174)</f>
        <v>6</v>
      </c>
      <c r="U174" s="37" t="b">
        <f aca="false">OR(C174="Workday",C174="Eve")</f>
        <v>1</v>
      </c>
      <c r="V174" s="34" t="n">
        <f aca="false">IF(C174="Eve",Settings!$B$8,Settings!$B$7)</f>
        <v>0.6875</v>
      </c>
      <c r="W174" s="14" t="n">
        <f aca="false">IF(U174,(V174-Settings!$B$6)*24,0)</f>
        <v>8.5</v>
      </c>
    </row>
    <row r="175" customFormat="false" ht="15" hidden="false" customHeight="false" outlineLevel="0" collapsed="false">
      <c r="A175" s="29" t="n">
        <v>46191</v>
      </c>
      <c r="B175" s="30" t="str">
        <f aca="false">CHOOSE(WEEKDAY(A175),"Sun","Mon","Tue","Wed","Thu","Fri","Sat")</f>
        <v>Thu</v>
      </c>
      <c r="C175" s="30" t="str">
        <f aca="false">IF(IFERROR(INDEX(Holidays!$D$5:$D$60,MATCH(A175,Holidays!$A$5:$A$60,0)),"")="Holiday","Holiday",IF(WEEKDAY(A175)&gt;=6,"Weekend",IF(IFERROR(INDEX(Holidays!$D$5:$D$60,MATCH(A175,Holidays!$A$5:$A$60,0)),"")="Eve","Eve","Workday")))</f>
        <v>Workday</v>
      </c>
      <c r="D175" s="18" t="str">
        <f aca="false">IFERROR(INDEX(Holidays!$C$5:$C$60,MATCH(A175,Holidays!$A$5:$A$60,0)),"")</f>
        <v/>
      </c>
      <c r="E175" s="31"/>
      <c r="F175" s="32"/>
      <c r="G175" s="32"/>
      <c r="H175" s="32"/>
      <c r="I175" s="32"/>
      <c r="J175" s="31"/>
      <c r="K175" s="33" t="str">
        <f aca="false">IF(E175&lt;&gt;"",E175,IF(U175,"Present",IF(C175="Holiday","Holiday","Weekend")))</f>
        <v>Present</v>
      </c>
      <c r="L175" s="34" t="n">
        <f aca="false">IF(OR(K175="Present",K175="Manual Work",K175="Partial Vacation",K175="Partial Sick Leave"),IF(ISNUMBER(F175),F175,IF(AND(K175="Present",U175),Settings!$B$6,"")),"")</f>
        <v>0.333333333333333</v>
      </c>
      <c r="M175" s="34" t="n">
        <f aca="false">IF(OR(K175="Present",K175="Manual Work",K175="Partial Vacation",K175="Partial Sick Leave"),IF(ISNUMBER(G175),G175,IF(AND(K175="Present",U175),V175,"")),"")</f>
        <v>0.6875</v>
      </c>
      <c r="N175" s="14" t="n">
        <f aca="false">IF(AND(ISNUMBER(L175),ISNUMBER(M175)),MAX(0,(M175-L175)*24),0)</f>
        <v>8.5</v>
      </c>
      <c r="O175" s="14" t="n">
        <f aca="false">IF(NOT(U175),0,IF(K175="Vacation",IF(C175="Eve",Settings!$B$9*Settings!$B$11,W175),IF(K175="Partial Vacation",IF(AND(ISNUMBER(H175),ISNUMBER(I175)),MAX(0,(I175-H175)*24),0),0)))</f>
        <v>0</v>
      </c>
      <c r="P175" s="14" t="n">
        <f aca="false">IF(NOT(U175),0,IF(K175="Sick Leave",W175,IF(K175="Partial Sick Leave",IF(AND(ISNUMBER(H175),ISNUMBER(I175)),MAX(0,(I175-H175)*24),0),0)))</f>
        <v>0</v>
      </c>
      <c r="Q175" s="14" t="n">
        <f aca="false">IF(NOT(U175),0,IF(K175="Vacation",IF(C175="Eve",Settings!$B$11,1),IF(K175="Partial Vacation",O175/Settings!$B$9,0)))</f>
        <v>0</v>
      </c>
      <c r="R175" s="14" t="n">
        <f aca="false">IF(NOT(U175),0,IF(K175="Sick Leave",1,IF(K175="Partial Sick Leave",P175/Settings!$B$9,0)))</f>
        <v>0</v>
      </c>
      <c r="S175" s="35" t="str">
        <f aca="false">IF(AND(OR(E175="Vacation",E175="Sick Leave",E175="Partial Vacation",E175="Partial Sick Leave"),NOT(U175)),"Leave not allowed on this day",IF(AND(E175="Manual Work",OR(NOT(ISNUMBER(F175)),NOT(ISNUMBER(G175)))),"Enter start and end",IF(AND(OR(E175="Partial Vacation",E175="Partial Sick Leave"),OR(NOT(ISNUMBER(H175)),NOT(ISNUMBER(I175)))),"Enter leave from and to",IF(AND(ISNUMBER(F175),ISNUMBER(G175),G175&lt;=F175),"End is before start",IF(AND(ISNUMBER(H175),ISNUMBER(I175),I175&lt;=H175),"Leave end is before start",IF(AND(ISNUMBER(F175),ISNUMBER(G175),ISNUMBER(H175),ISNUMBER(I175),F175&lt;I175,H175&lt;G175),"Work and leave hours overlap",IF(AND(E175&lt;&gt;"",WEEKDAY(A175)=7),"Saturday - administrator only","")))))))</f>
        <v/>
      </c>
      <c r="T175" s="36" t="n">
        <f aca="false">MONTH(A175)</f>
        <v>6</v>
      </c>
      <c r="U175" s="37" t="b">
        <f aca="false">OR(C175="Workday",C175="Eve")</f>
        <v>1</v>
      </c>
      <c r="V175" s="34" t="n">
        <f aca="false">IF(C175="Eve",Settings!$B$8,Settings!$B$7)</f>
        <v>0.6875</v>
      </c>
      <c r="W175" s="14" t="n">
        <f aca="false">IF(U175,(V175-Settings!$B$6)*24,0)</f>
        <v>8.5</v>
      </c>
    </row>
    <row r="176" customFormat="false" ht="15" hidden="false" customHeight="false" outlineLevel="0" collapsed="false">
      <c r="A176" s="29" t="n">
        <v>46192</v>
      </c>
      <c r="B176" s="30" t="str">
        <f aca="false">CHOOSE(WEEKDAY(A176),"Sun","Mon","Tue","Wed","Thu","Fri","Sat")</f>
        <v>Fri</v>
      </c>
      <c r="C176" s="30" t="str">
        <f aca="false">IF(IFERROR(INDEX(Holidays!$D$5:$D$60,MATCH(A176,Holidays!$A$5:$A$60,0)),"")="Holiday","Holiday",IF(WEEKDAY(A176)&gt;=6,"Weekend",IF(IFERROR(INDEX(Holidays!$D$5:$D$60,MATCH(A176,Holidays!$A$5:$A$60,0)),"")="Eve","Eve","Workday")))</f>
        <v>Weekend</v>
      </c>
      <c r="D176" s="18" t="str">
        <f aca="false">IFERROR(INDEX(Holidays!$C$5:$C$60,MATCH(A176,Holidays!$A$5:$A$60,0)),"")</f>
        <v/>
      </c>
      <c r="E176" s="31"/>
      <c r="F176" s="32"/>
      <c r="G176" s="32"/>
      <c r="H176" s="32"/>
      <c r="I176" s="32"/>
      <c r="J176" s="31"/>
      <c r="K176" s="33" t="str">
        <f aca="false">IF(E176&lt;&gt;"",E176,IF(U176,"Present",IF(C176="Holiday","Holiday","Weekend")))</f>
        <v>Weekend</v>
      </c>
      <c r="L176" s="34" t="str">
        <f aca="false">IF(OR(K176="Present",K176="Manual Work",K176="Partial Vacation",K176="Partial Sick Leave"),IF(ISNUMBER(F176),F176,IF(AND(K176="Present",U176),Settings!$B$6,"")),"")</f>
        <v/>
      </c>
      <c r="M176" s="34" t="str">
        <f aca="false">IF(OR(K176="Present",K176="Manual Work",K176="Partial Vacation",K176="Partial Sick Leave"),IF(ISNUMBER(G176),G176,IF(AND(K176="Present",U176),V176,"")),"")</f>
        <v/>
      </c>
      <c r="N176" s="14" t="n">
        <f aca="false">IF(AND(ISNUMBER(L176),ISNUMBER(M176)),MAX(0,(M176-L176)*24),0)</f>
        <v>0</v>
      </c>
      <c r="O176" s="14" t="n">
        <f aca="false">IF(NOT(U176),0,IF(K176="Vacation",IF(C176="Eve",Settings!$B$9*Settings!$B$11,W176),IF(K176="Partial Vacation",IF(AND(ISNUMBER(H176),ISNUMBER(I176)),MAX(0,(I176-H176)*24),0),0)))</f>
        <v>0</v>
      </c>
      <c r="P176" s="14" t="n">
        <f aca="false">IF(NOT(U176),0,IF(K176="Sick Leave",W176,IF(K176="Partial Sick Leave",IF(AND(ISNUMBER(H176),ISNUMBER(I176)),MAX(0,(I176-H176)*24),0),0)))</f>
        <v>0</v>
      </c>
      <c r="Q176" s="14" t="n">
        <f aca="false">IF(NOT(U176),0,IF(K176="Vacation",IF(C176="Eve",Settings!$B$11,1),IF(K176="Partial Vacation",O176/Settings!$B$9,0)))</f>
        <v>0</v>
      </c>
      <c r="R176" s="14" t="n">
        <f aca="false">IF(NOT(U176),0,IF(K176="Sick Leave",1,IF(K176="Partial Sick Leave",P176/Settings!$B$9,0)))</f>
        <v>0</v>
      </c>
      <c r="S176" s="35" t="str">
        <f aca="false">IF(AND(OR(E176="Vacation",E176="Sick Leave",E176="Partial Vacation",E176="Partial Sick Leave"),NOT(U176)),"Leave not allowed on this day",IF(AND(E176="Manual Work",OR(NOT(ISNUMBER(F176)),NOT(ISNUMBER(G176)))),"Enter start and end",IF(AND(OR(E176="Partial Vacation",E176="Partial Sick Leave"),OR(NOT(ISNUMBER(H176)),NOT(ISNUMBER(I176)))),"Enter leave from and to",IF(AND(ISNUMBER(F176),ISNUMBER(G176),G176&lt;=F176),"End is before start",IF(AND(ISNUMBER(H176),ISNUMBER(I176),I176&lt;=H176),"Leave end is before start",IF(AND(ISNUMBER(F176),ISNUMBER(G176),ISNUMBER(H176),ISNUMBER(I176),F176&lt;I176,H176&lt;G176),"Work and leave hours overlap",IF(AND(E176&lt;&gt;"",WEEKDAY(A176)=7),"Saturday - administrator only","")))))))</f>
        <v/>
      </c>
      <c r="T176" s="36" t="n">
        <f aca="false">MONTH(A176)</f>
        <v>6</v>
      </c>
      <c r="U176" s="37" t="b">
        <f aca="false">OR(C176="Workday",C176="Eve")</f>
        <v>0</v>
      </c>
      <c r="V176" s="34" t="n">
        <f aca="false">IF(C176="Eve",Settings!$B$8,Settings!$B$7)</f>
        <v>0.6875</v>
      </c>
      <c r="W176" s="14" t="n">
        <f aca="false">IF(U176,(V176-Settings!$B$6)*24,0)</f>
        <v>0</v>
      </c>
    </row>
    <row r="177" customFormat="false" ht="15" hidden="false" customHeight="false" outlineLevel="0" collapsed="false">
      <c r="A177" s="29" t="n">
        <v>46193</v>
      </c>
      <c r="B177" s="30" t="str">
        <f aca="false">CHOOSE(WEEKDAY(A177),"Sun","Mon","Tue","Wed","Thu","Fri","Sat")</f>
        <v>Sat</v>
      </c>
      <c r="C177" s="30" t="str">
        <f aca="false">IF(IFERROR(INDEX(Holidays!$D$5:$D$60,MATCH(A177,Holidays!$A$5:$A$60,0)),"")="Holiday","Holiday",IF(WEEKDAY(A177)&gt;=6,"Weekend",IF(IFERROR(INDEX(Holidays!$D$5:$D$60,MATCH(A177,Holidays!$A$5:$A$60,0)),"")="Eve","Eve","Workday")))</f>
        <v>Weekend</v>
      </c>
      <c r="D177" s="18" t="str">
        <f aca="false">IFERROR(INDEX(Holidays!$C$5:$C$60,MATCH(A177,Holidays!$A$5:$A$60,0)),"")</f>
        <v/>
      </c>
      <c r="E177" s="31"/>
      <c r="F177" s="32"/>
      <c r="G177" s="32"/>
      <c r="H177" s="32"/>
      <c r="I177" s="32"/>
      <c r="J177" s="31"/>
      <c r="K177" s="33" t="str">
        <f aca="false">IF(E177&lt;&gt;"",E177,IF(U177,"Present",IF(C177="Holiday","Holiday","Weekend")))</f>
        <v>Weekend</v>
      </c>
      <c r="L177" s="34" t="str">
        <f aca="false">IF(OR(K177="Present",K177="Manual Work",K177="Partial Vacation",K177="Partial Sick Leave"),IF(ISNUMBER(F177),F177,IF(AND(K177="Present",U177),Settings!$B$6,"")),"")</f>
        <v/>
      </c>
      <c r="M177" s="34" t="str">
        <f aca="false">IF(OR(K177="Present",K177="Manual Work",K177="Partial Vacation",K177="Partial Sick Leave"),IF(ISNUMBER(G177),G177,IF(AND(K177="Present",U177),V177,"")),"")</f>
        <v/>
      </c>
      <c r="N177" s="14" t="n">
        <f aca="false">IF(AND(ISNUMBER(L177),ISNUMBER(M177)),MAX(0,(M177-L177)*24),0)</f>
        <v>0</v>
      </c>
      <c r="O177" s="14" t="n">
        <f aca="false">IF(NOT(U177),0,IF(K177="Vacation",IF(C177="Eve",Settings!$B$9*Settings!$B$11,W177),IF(K177="Partial Vacation",IF(AND(ISNUMBER(H177),ISNUMBER(I177)),MAX(0,(I177-H177)*24),0),0)))</f>
        <v>0</v>
      </c>
      <c r="P177" s="14" t="n">
        <f aca="false">IF(NOT(U177),0,IF(K177="Sick Leave",W177,IF(K177="Partial Sick Leave",IF(AND(ISNUMBER(H177),ISNUMBER(I177)),MAX(0,(I177-H177)*24),0),0)))</f>
        <v>0</v>
      </c>
      <c r="Q177" s="14" t="n">
        <f aca="false">IF(NOT(U177),0,IF(K177="Vacation",IF(C177="Eve",Settings!$B$11,1),IF(K177="Partial Vacation",O177/Settings!$B$9,0)))</f>
        <v>0</v>
      </c>
      <c r="R177" s="14" t="n">
        <f aca="false">IF(NOT(U177),0,IF(K177="Sick Leave",1,IF(K177="Partial Sick Leave",P177/Settings!$B$9,0)))</f>
        <v>0</v>
      </c>
      <c r="S177" s="35" t="str">
        <f aca="false">IF(AND(OR(E177="Vacation",E177="Sick Leave",E177="Partial Vacation",E177="Partial Sick Leave"),NOT(U177)),"Leave not allowed on this day",IF(AND(E177="Manual Work",OR(NOT(ISNUMBER(F177)),NOT(ISNUMBER(G177)))),"Enter start and end",IF(AND(OR(E177="Partial Vacation",E177="Partial Sick Leave"),OR(NOT(ISNUMBER(H177)),NOT(ISNUMBER(I177)))),"Enter leave from and to",IF(AND(ISNUMBER(F177),ISNUMBER(G177),G177&lt;=F177),"End is before start",IF(AND(ISNUMBER(H177),ISNUMBER(I177),I177&lt;=H177),"Leave end is before start",IF(AND(ISNUMBER(F177),ISNUMBER(G177),ISNUMBER(H177),ISNUMBER(I177),F177&lt;I177,H177&lt;G177),"Work and leave hours overlap",IF(AND(E177&lt;&gt;"",WEEKDAY(A177)=7),"Saturday - administrator only","")))))))</f>
        <v/>
      </c>
      <c r="T177" s="36" t="n">
        <f aca="false">MONTH(A177)</f>
        <v>6</v>
      </c>
      <c r="U177" s="37" t="b">
        <f aca="false">OR(C177="Workday",C177="Eve")</f>
        <v>0</v>
      </c>
      <c r="V177" s="34" t="n">
        <f aca="false">IF(C177="Eve",Settings!$B$8,Settings!$B$7)</f>
        <v>0.6875</v>
      </c>
      <c r="W177" s="14" t="n">
        <f aca="false">IF(U177,(V177-Settings!$B$6)*24,0)</f>
        <v>0</v>
      </c>
    </row>
    <row r="178" customFormat="false" ht="15" hidden="false" customHeight="false" outlineLevel="0" collapsed="false">
      <c r="A178" s="29" t="n">
        <v>46194</v>
      </c>
      <c r="B178" s="30" t="str">
        <f aca="false">CHOOSE(WEEKDAY(A178),"Sun","Mon","Tue","Wed","Thu","Fri","Sat")</f>
        <v>Sun</v>
      </c>
      <c r="C178" s="30" t="str">
        <f aca="false">IF(IFERROR(INDEX(Holidays!$D$5:$D$60,MATCH(A178,Holidays!$A$5:$A$60,0)),"")="Holiday","Holiday",IF(WEEKDAY(A178)&gt;=6,"Weekend",IF(IFERROR(INDEX(Holidays!$D$5:$D$60,MATCH(A178,Holidays!$A$5:$A$60,0)),"")="Eve","Eve","Workday")))</f>
        <v>Workday</v>
      </c>
      <c r="D178" s="18" t="str">
        <f aca="false">IFERROR(INDEX(Holidays!$C$5:$C$60,MATCH(A178,Holidays!$A$5:$A$60,0)),"")</f>
        <v/>
      </c>
      <c r="E178" s="31"/>
      <c r="F178" s="32"/>
      <c r="G178" s="32"/>
      <c r="H178" s="32"/>
      <c r="I178" s="32"/>
      <c r="J178" s="31"/>
      <c r="K178" s="33" t="str">
        <f aca="false">IF(E178&lt;&gt;"",E178,IF(U178,"Present",IF(C178="Holiday","Holiday","Weekend")))</f>
        <v>Present</v>
      </c>
      <c r="L178" s="34" t="n">
        <f aca="false">IF(OR(K178="Present",K178="Manual Work",K178="Partial Vacation",K178="Partial Sick Leave"),IF(ISNUMBER(F178),F178,IF(AND(K178="Present",U178),Settings!$B$6,"")),"")</f>
        <v>0.333333333333333</v>
      </c>
      <c r="M178" s="34" t="n">
        <f aca="false">IF(OR(K178="Present",K178="Manual Work",K178="Partial Vacation",K178="Partial Sick Leave"),IF(ISNUMBER(G178),G178,IF(AND(K178="Present",U178),V178,"")),"")</f>
        <v>0.6875</v>
      </c>
      <c r="N178" s="14" t="n">
        <f aca="false">IF(AND(ISNUMBER(L178),ISNUMBER(M178)),MAX(0,(M178-L178)*24),0)</f>
        <v>8.5</v>
      </c>
      <c r="O178" s="14" t="n">
        <f aca="false">IF(NOT(U178),0,IF(K178="Vacation",IF(C178="Eve",Settings!$B$9*Settings!$B$11,W178),IF(K178="Partial Vacation",IF(AND(ISNUMBER(H178),ISNUMBER(I178)),MAX(0,(I178-H178)*24),0),0)))</f>
        <v>0</v>
      </c>
      <c r="P178" s="14" t="n">
        <f aca="false">IF(NOT(U178),0,IF(K178="Sick Leave",W178,IF(K178="Partial Sick Leave",IF(AND(ISNUMBER(H178),ISNUMBER(I178)),MAX(0,(I178-H178)*24),0),0)))</f>
        <v>0</v>
      </c>
      <c r="Q178" s="14" t="n">
        <f aca="false">IF(NOT(U178),0,IF(K178="Vacation",IF(C178="Eve",Settings!$B$11,1),IF(K178="Partial Vacation",O178/Settings!$B$9,0)))</f>
        <v>0</v>
      </c>
      <c r="R178" s="14" t="n">
        <f aca="false">IF(NOT(U178),0,IF(K178="Sick Leave",1,IF(K178="Partial Sick Leave",P178/Settings!$B$9,0)))</f>
        <v>0</v>
      </c>
      <c r="S178" s="35" t="str">
        <f aca="false">IF(AND(OR(E178="Vacation",E178="Sick Leave",E178="Partial Vacation",E178="Partial Sick Leave"),NOT(U178)),"Leave not allowed on this day",IF(AND(E178="Manual Work",OR(NOT(ISNUMBER(F178)),NOT(ISNUMBER(G178)))),"Enter start and end",IF(AND(OR(E178="Partial Vacation",E178="Partial Sick Leave"),OR(NOT(ISNUMBER(H178)),NOT(ISNUMBER(I178)))),"Enter leave from and to",IF(AND(ISNUMBER(F178),ISNUMBER(G178),G178&lt;=F178),"End is before start",IF(AND(ISNUMBER(H178),ISNUMBER(I178),I178&lt;=H178),"Leave end is before start",IF(AND(ISNUMBER(F178),ISNUMBER(G178),ISNUMBER(H178),ISNUMBER(I178),F178&lt;I178,H178&lt;G178),"Work and leave hours overlap",IF(AND(E178&lt;&gt;"",WEEKDAY(A178)=7),"Saturday - administrator only","")))))))</f>
        <v/>
      </c>
      <c r="T178" s="36" t="n">
        <f aca="false">MONTH(A178)</f>
        <v>6</v>
      </c>
      <c r="U178" s="37" t="b">
        <f aca="false">OR(C178="Workday",C178="Eve")</f>
        <v>1</v>
      </c>
      <c r="V178" s="34" t="n">
        <f aca="false">IF(C178="Eve",Settings!$B$8,Settings!$B$7)</f>
        <v>0.6875</v>
      </c>
      <c r="W178" s="14" t="n">
        <f aca="false">IF(U178,(V178-Settings!$B$6)*24,0)</f>
        <v>8.5</v>
      </c>
    </row>
    <row r="179" customFormat="false" ht="15" hidden="false" customHeight="false" outlineLevel="0" collapsed="false">
      <c r="A179" s="29" t="n">
        <v>46195</v>
      </c>
      <c r="B179" s="30" t="str">
        <f aca="false">CHOOSE(WEEKDAY(A179),"Sun","Mon","Tue","Wed","Thu","Fri","Sat")</f>
        <v>Mon</v>
      </c>
      <c r="C179" s="30" t="str">
        <f aca="false">IF(IFERROR(INDEX(Holidays!$D$5:$D$60,MATCH(A179,Holidays!$A$5:$A$60,0)),"")="Holiday","Holiday",IF(WEEKDAY(A179)&gt;=6,"Weekend",IF(IFERROR(INDEX(Holidays!$D$5:$D$60,MATCH(A179,Holidays!$A$5:$A$60,0)),"")="Eve","Eve","Workday")))</f>
        <v>Workday</v>
      </c>
      <c r="D179" s="18" t="str">
        <f aca="false">IFERROR(INDEX(Holidays!$C$5:$C$60,MATCH(A179,Holidays!$A$5:$A$60,0)),"")</f>
        <v/>
      </c>
      <c r="E179" s="31"/>
      <c r="F179" s="32"/>
      <c r="G179" s="32"/>
      <c r="H179" s="32"/>
      <c r="I179" s="32"/>
      <c r="J179" s="31"/>
      <c r="K179" s="33" t="str">
        <f aca="false">IF(E179&lt;&gt;"",E179,IF(U179,"Present",IF(C179="Holiday","Holiday","Weekend")))</f>
        <v>Present</v>
      </c>
      <c r="L179" s="34" t="n">
        <f aca="false">IF(OR(K179="Present",K179="Manual Work",K179="Partial Vacation",K179="Partial Sick Leave"),IF(ISNUMBER(F179),F179,IF(AND(K179="Present",U179),Settings!$B$6,"")),"")</f>
        <v>0.333333333333333</v>
      </c>
      <c r="M179" s="34" t="n">
        <f aca="false">IF(OR(K179="Present",K179="Manual Work",K179="Partial Vacation",K179="Partial Sick Leave"),IF(ISNUMBER(G179),G179,IF(AND(K179="Present",U179),V179,"")),"")</f>
        <v>0.6875</v>
      </c>
      <c r="N179" s="14" t="n">
        <f aca="false">IF(AND(ISNUMBER(L179),ISNUMBER(M179)),MAX(0,(M179-L179)*24),0)</f>
        <v>8.5</v>
      </c>
      <c r="O179" s="14" t="n">
        <f aca="false">IF(NOT(U179),0,IF(K179="Vacation",IF(C179="Eve",Settings!$B$9*Settings!$B$11,W179),IF(K179="Partial Vacation",IF(AND(ISNUMBER(H179),ISNUMBER(I179)),MAX(0,(I179-H179)*24),0),0)))</f>
        <v>0</v>
      </c>
      <c r="P179" s="14" t="n">
        <f aca="false">IF(NOT(U179),0,IF(K179="Sick Leave",W179,IF(K179="Partial Sick Leave",IF(AND(ISNUMBER(H179),ISNUMBER(I179)),MAX(0,(I179-H179)*24),0),0)))</f>
        <v>0</v>
      </c>
      <c r="Q179" s="14" t="n">
        <f aca="false">IF(NOT(U179),0,IF(K179="Vacation",IF(C179="Eve",Settings!$B$11,1),IF(K179="Partial Vacation",O179/Settings!$B$9,0)))</f>
        <v>0</v>
      </c>
      <c r="R179" s="14" t="n">
        <f aca="false">IF(NOT(U179),0,IF(K179="Sick Leave",1,IF(K179="Partial Sick Leave",P179/Settings!$B$9,0)))</f>
        <v>0</v>
      </c>
      <c r="S179" s="35" t="str">
        <f aca="false">IF(AND(OR(E179="Vacation",E179="Sick Leave",E179="Partial Vacation",E179="Partial Sick Leave"),NOT(U179)),"Leave not allowed on this day",IF(AND(E179="Manual Work",OR(NOT(ISNUMBER(F179)),NOT(ISNUMBER(G179)))),"Enter start and end",IF(AND(OR(E179="Partial Vacation",E179="Partial Sick Leave"),OR(NOT(ISNUMBER(H179)),NOT(ISNUMBER(I179)))),"Enter leave from and to",IF(AND(ISNUMBER(F179),ISNUMBER(G179),G179&lt;=F179),"End is before start",IF(AND(ISNUMBER(H179),ISNUMBER(I179),I179&lt;=H179),"Leave end is before start",IF(AND(ISNUMBER(F179),ISNUMBER(G179),ISNUMBER(H179),ISNUMBER(I179),F179&lt;I179,H179&lt;G179),"Work and leave hours overlap",IF(AND(E179&lt;&gt;"",WEEKDAY(A179)=7),"Saturday - administrator only","")))))))</f>
        <v/>
      </c>
      <c r="T179" s="36" t="n">
        <f aca="false">MONTH(A179)</f>
        <v>6</v>
      </c>
      <c r="U179" s="37" t="b">
        <f aca="false">OR(C179="Workday",C179="Eve")</f>
        <v>1</v>
      </c>
      <c r="V179" s="34" t="n">
        <f aca="false">IF(C179="Eve",Settings!$B$8,Settings!$B$7)</f>
        <v>0.6875</v>
      </c>
      <c r="W179" s="14" t="n">
        <f aca="false">IF(U179,(V179-Settings!$B$6)*24,0)</f>
        <v>8.5</v>
      </c>
    </row>
    <row r="180" customFormat="false" ht="15" hidden="false" customHeight="false" outlineLevel="0" collapsed="false">
      <c r="A180" s="29" t="n">
        <v>46196</v>
      </c>
      <c r="B180" s="30" t="str">
        <f aca="false">CHOOSE(WEEKDAY(A180),"Sun","Mon","Tue","Wed","Thu","Fri","Sat")</f>
        <v>Tue</v>
      </c>
      <c r="C180" s="30" t="str">
        <f aca="false">IF(IFERROR(INDEX(Holidays!$D$5:$D$60,MATCH(A180,Holidays!$A$5:$A$60,0)),"")="Holiday","Holiday",IF(WEEKDAY(A180)&gt;=6,"Weekend",IF(IFERROR(INDEX(Holidays!$D$5:$D$60,MATCH(A180,Holidays!$A$5:$A$60,0)),"")="Eve","Eve","Workday")))</f>
        <v>Workday</v>
      </c>
      <c r="D180" s="18" t="str">
        <f aca="false">IFERROR(INDEX(Holidays!$C$5:$C$60,MATCH(A180,Holidays!$A$5:$A$60,0)),"")</f>
        <v/>
      </c>
      <c r="E180" s="31"/>
      <c r="F180" s="32"/>
      <c r="G180" s="32"/>
      <c r="H180" s="32"/>
      <c r="I180" s="32"/>
      <c r="J180" s="31"/>
      <c r="K180" s="33" t="str">
        <f aca="false">IF(E180&lt;&gt;"",E180,IF(U180,"Present",IF(C180="Holiday","Holiday","Weekend")))</f>
        <v>Present</v>
      </c>
      <c r="L180" s="34" t="n">
        <f aca="false">IF(OR(K180="Present",K180="Manual Work",K180="Partial Vacation",K180="Partial Sick Leave"),IF(ISNUMBER(F180),F180,IF(AND(K180="Present",U180),Settings!$B$6,"")),"")</f>
        <v>0.333333333333333</v>
      </c>
      <c r="M180" s="34" t="n">
        <f aca="false">IF(OR(K180="Present",K180="Manual Work",K180="Partial Vacation",K180="Partial Sick Leave"),IF(ISNUMBER(G180),G180,IF(AND(K180="Present",U180),V180,"")),"")</f>
        <v>0.6875</v>
      </c>
      <c r="N180" s="14" t="n">
        <f aca="false">IF(AND(ISNUMBER(L180),ISNUMBER(M180)),MAX(0,(M180-L180)*24),0)</f>
        <v>8.5</v>
      </c>
      <c r="O180" s="14" t="n">
        <f aca="false">IF(NOT(U180),0,IF(K180="Vacation",IF(C180="Eve",Settings!$B$9*Settings!$B$11,W180),IF(K180="Partial Vacation",IF(AND(ISNUMBER(H180),ISNUMBER(I180)),MAX(0,(I180-H180)*24),0),0)))</f>
        <v>0</v>
      </c>
      <c r="P180" s="14" t="n">
        <f aca="false">IF(NOT(U180),0,IF(K180="Sick Leave",W180,IF(K180="Partial Sick Leave",IF(AND(ISNUMBER(H180),ISNUMBER(I180)),MAX(0,(I180-H180)*24),0),0)))</f>
        <v>0</v>
      </c>
      <c r="Q180" s="14" t="n">
        <f aca="false">IF(NOT(U180),0,IF(K180="Vacation",IF(C180="Eve",Settings!$B$11,1),IF(K180="Partial Vacation",O180/Settings!$B$9,0)))</f>
        <v>0</v>
      </c>
      <c r="R180" s="14" t="n">
        <f aca="false">IF(NOT(U180),0,IF(K180="Sick Leave",1,IF(K180="Partial Sick Leave",P180/Settings!$B$9,0)))</f>
        <v>0</v>
      </c>
      <c r="S180" s="35" t="str">
        <f aca="false">IF(AND(OR(E180="Vacation",E180="Sick Leave",E180="Partial Vacation",E180="Partial Sick Leave"),NOT(U180)),"Leave not allowed on this day",IF(AND(E180="Manual Work",OR(NOT(ISNUMBER(F180)),NOT(ISNUMBER(G180)))),"Enter start and end",IF(AND(OR(E180="Partial Vacation",E180="Partial Sick Leave"),OR(NOT(ISNUMBER(H180)),NOT(ISNUMBER(I180)))),"Enter leave from and to",IF(AND(ISNUMBER(F180),ISNUMBER(G180),G180&lt;=F180),"End is before start",IF(AND(ISNUMBER(H180),ISNUMBER(I180),I180&lt;=H180),"Leave end is before start",IF(AND(ISNUMBER(F180),ISNUMBER(G180),ISNUMBER(H180),ISNUMBER(I180),F180&lt;I180,H180&lt;G180),"Work and leave hours overlap",IF(AND(E180&lt;&gt;"",WEEKDAY(A180)=7),"Saturday - administrator only","")))))))</f>
        <v/>
      </c>
      <c r="T180" s="36" t="n">
        <f aca="false">MONTH(A180)</f>
        <v>6</v>
      </c>
      <c r="U180" s="37" t="b">
        <f aca="false">OR(C180="Workday",C180="Eve")</f>
        <v>1</v>
      </c>
      <c r="V180" s="34" t="n">
        <f aca="false">IF(C180="Eve",Settings!$B$8,Settings!$B$7)</f>
        <v>0.6875</v>
      </c>
      <c r="W180" s="14" t="n">
        <f aca="false">IF(U180,(V180-Settings!$B$6)*24,0)</f>
        <v>8.5</v>
      </c>
    </row>
    <row r="181" customFormat="false" ht="15" hidden="false" customHeight="false" outlineLevel="0" collapsed="false">
      <c r="A181" s="29" t="n">
        <v>46197</v>
      </c>
      <c r="B181" s="30" t="str">
        <f aca="false">CHOOSE(WEEKDAY(A181),"Sun","Mon","Tue","Wed","Thu","Fri","Sat")</f>
        <v>Wed</v>
      </c>
      <c r="C181" s="30" t="str">
        <f aca="false">IF(IFERROR(INDEX(Holidays!$D$5:$D$60,MATCH(A181,Holidays!$A$5:$A$60,0)),"")="Holiday","Holiday",IF(WEEKDAY(A181)&gt;=6,"Weekend",IF(IFERROR(INDEX(Holidays!$D$5:$D$60,MATCH(A181,Holidays!$A$5:$A$60,0)),"")="Eve","Eve","Workday")))</f>
        <v>Workday</v>
      </c>
      <c r="D181" s="18" t="str">
        <f aca="false">IFERROR(INDEX(Holidays!$C$5:$C$60,MATCH(A181,Holidays!$A$5:$A$60,0)),"")</f>
        <v/>
      </c>
      <c r="E181" s="31"/>
      <c r="F181" s="32"/>
      <c r="G181" s="32"/>
      <c r="H181" s="32"/>
      <c r="I181" s="32"/>
      <c r="J181" s="31"/>
      <c r="K181" s="33" t="str">
        <f aca="false">IF(E181&lt;&gt;"",E181,IF(U181,"Present",IF(C181="Holiday","Holiday","Weekend")))</f>
        <v>Present</v>
      </c>
      <c r="L181" s="34" t="n">
        <f aca="false">IF(OR(K181="Present",K181="Manual Work",K181="Partial Vacation",K181="Partial Sick Leave"),IF(ISNUMBER(F181),F181,IF(AND(K181="Present",U181),Settings!$B$6,"")),"")</f>
        <v>0.333333333333333</v>
      </c>
      <c r="M181" s="34" t="n">
        <f aca="false">IF(OR(K181="Present",K181="Manual Work",K181="Partial Vacation",K181="Partial Sick Leave"),IF(ISNUMBER(G181),G181,IF(AND(K181="Present",U181),V181,"")),"")</f>
        <v>0.6875</v>
      </c>
      <c r="N181" s="14" t="n">
        <f aca="false">IF(AND(ISNUMBER(L181),ISNUMBER(M181)),MAX(0,(M181-L181)*24),0)</f>
        <v>8.5</v>
      </c>
      <c r="O181" s="14" t="n">
        <f aca="false">IF(NOT(U181),0,IF(K181="Vacation",IF(C181="Eve",Settings!$B$9*Settings!$B$11,W181),IF(K181="Partial Vacation",IF(AND(ISNUMBER(H181),ISNUMBER(I181)),MAX(0,(I181-H181)*24),0),0)))</f>
        <v>0</v>
      </c>
      <c r="P181" s="14" t="n">
        <f aca="false">IF(NOT(U181),0,IF(K181="Sick Leave",W181,IF(K181="Partial Sick Leave",IF(AND(ISNUMBER(H181),ISNUMBER(I181)),MAX(0,(I181-H181)*24),0),0)))</f>
        <v>0</v>
      </c>
      <c r="Q181" s="14" t="n">
        <f aca="false">IF(NOT(U181),0,IF(K181="Vacation",IF(C181="Eve",Settings!$B$11,1),IF(K181="Partial Vacation",O181/Settings!$B$9,0)))</f>
        <v>0</v>
      </c>
      <c r="R181" s="14" t="n">
        <f aca="false">IF(NOT(U181),0,IF(K181="Sick Leave",1,IF(K181="Partial Sick Leave",P181/Settings!$B$9,0)))</f>
        <v>0</v>
      </c>
      <c r="S181" s="35" t="str">
        <f aca="false">IF(AND(OR(E181="Vacation",E181="Sick Leave",E181="Partial Vacation",E181="Partial Sick Leave"),NOT(U181)),"Leave not allowed on this day",IF(AND(E181="Manual Work",OR(NOT(ISNUMBER(F181)),NOT(ISNUMBER(G181)))),"Enter start and end",IF(AND(OR(E181="Partial Vacation",E181="Partial Sick Leave"),OR(NOT(ISNUMBER(H181)),NOT(ISNUMBER(I181)))),"Enter leave from and to",IF(AND(ISNUMBER(F181),ISNUMBER(G181),G181&lt;=F181),"End is before start",IF(AND(ISNUMBER(H181),ISNUMBER(I181),I181&lt;=H181),"Leave end is before start",IF(AND(ISNUMBER(F181),ISNUMBER(G181),ISNUMBER(H181),ISNUMBER(I181),F181&lt;I181,H181&lt;G181),"Work and leave hours overlap",IF(AND(E181&lt;&gt;"",WEEKDAY(A181)=7),"Saturday - administrator only","")))))))</f>
        <v/>
      </c>
      <c r="T181" s="36" t="n">
        <f aca="false">MONTH(A181)</f>
        <v>6</v>
      </c>
      <c r="U181" s="37" t="b">
        <f aca="false">OR(C181="Workday",C181="Eve")</f>
        <v>1</v>
      </c>
      <c r="V181" s="34" t="n">
        <f aca="false">IF(C181="Eve",Settings!$B$8,Settings!$B$7)</f>
        <v>0.6875</v>
      </c>
      <c r="W181" s="14" t="n">
        <f aca="false">IF(U181,(V181-Settings!$B$6)*24,0)</f>
        <v>8.5</v>
      </c>
    </row>
    <row r="182" customFormat="false" ht="15" hidden="false" customHeight="false" outlineLevel="0" collapsed="false">
      <c r="A182" s="29" t="n">
        <v>46198</v>
      </c>
      <c r="B182" s="30" t="str">
        <f aca="false">CHOOSE(WEEKDAY(A182),"Sun","Mon","Tue","Wed","Thu","Fri","Sat")</f>
        <v>Thu</v>
      </c>
      <c r="C182" s="30" t="str">
        <f aca="false">IF(IFERROR(INDEX(Holidays!$D$5:$D$60,MATCH(A182,Holidays!$A$5:$A$60,0)),"")="Holiday","Holiday",IF(WEEKDAY(A182)&gt;=6,"Weekend",IF(IFERROR(INDEX(Holidays!$D$5:$D$60,MATCH(A182,Holidays!$A$5:$A$60,0)),"")="Eve","Eve","Workday")))</f>
        <v>Workday</v>
      </c>
      <c r="D182" s="18" t="str">
        <f aca="false">IFERROR(INDEX(Holidays!$C$5:$C$60,MATCH(A182,Holidays!$A$5:$A$60,0)),"")</f>
        <v/>
      </c>
      <c r="E182" s="31"/>
      <c r="F182" s="32"/>
      <c r="G182" s="32"/>
      <c r="H182" s="32"/>
      <c r="I182" s="32"/>
      <c r="J182" s="31"/>
      <c r="K182" s="33" t="str">
        <f aca="false">IF(E182&lt;&gt;"",E182,IF(U182,"Present",IF(C182="Holiday","Holiday","Weekend")))</f>
        <v>Present</v>
      </c>
      <c r="L182" s="34" t="n">
        <f aca="false">IF(OR(K182="Present",K182="Manual Work",K182="Partial Vacation",K182="Partial Sick Leave"),IF(ISNUMBER(F182),F182,IF(AND(K182="Present",U182),Settings!$B$6,"")),"")</f>
        <v>0.333333333333333</v>
      </c>
      <c r="M182" s="34" t="n">
        <f aca="false">IF(OR(K182="Present",K182="Manual Work",K182="Partial Vacation",K182="Partial Sick Leave"),IF(ISNUMBER(G182),G182,IF(AND(K182="Present",U182),V182,"")),"")</f>
        <v>0.6875</v>
      </c>
      <c r="N182" s="14" t="n">
        <f aca="false">IF(AND(ISNUMBER(L182),ISNUMBER(M182)),MAX(0,(M182-L182)*24),0)</f>
        <v>8.5</v>
      </c>
      <c r="O182" s="14" t="n">
        <f aca="false">IF(NOT(U182),0,IF(K182="Vacation",IF(C182="Eve",Settings!$B$9*Settings!$B$11,W182),IF(K182="Partial Vacation",IF(AND(ISNUMBER(H182),ISNUMBER(I182)),MAX(0,(I182-H182)*24),0),0)))</f>
        <v>0</v>
      </c>
      <c r="P182" s="14" t="n">
        <f aca="false">IF(NOT(U182),0,IF(K182="Sick Leave",W182,IF(K182="Partial Sick Leave",IF(AND(ISNUMBER(H182),ISNUMBER(I182)),MAX(0,(I182-H182)*24),0),0)))</f>
        <v>0</v>
      </c>
      <c r="Q182" s="14" t="n">
        <f aca="false">IF(NOT(U182),0,IF(K182="Vacation",IF(C182="Eve",Settings!$B$11,1),IF(K182="Partial Vacation",O182/Settings!$B$9,0)))</f>
        <v>0</v>
      </c>
      <c r="R182" s="14" t="n">
        <f aca="false">IF(NOT(U182),0,IF(K182="Sick Leave",1,IF(K182="Partial Sick Leave",P182/Settings!$B$9,0)))</f>
        <v>0</v>
      </c>
      <c r="S182" s="35" t="str">
        <f aca="false">IF(AND(OR(E182="Vacation",E182="Sick Leave",E182="Partial Vacation",E182="Partial Sick Leave"),NOT(U182)),"Leave not allowed on this day",IF(AND(E182="Manual Work",OR(NOT(ISNUMBER(F182)),NOT(ISNUMBER(G182)))),"Enter start and end",IF(AND(OR(E182="Partial Vacation",E182="Partial Sick Leave"),OR(NOT(ISNUMBER(H182)),NOT(ISNUMBER(I182)))),"Enter leave from and to",IF(AND(ISNUMBER(F182),ISNUMBER(G182),G182&lt;=F182),"End is before start",IF(AND(ISNUMBER(H182),ISNUMBER(I182),I182&lt;=H182),"Leave end is before start",IF(AND(ISNUMBER(F182),ISNUMBER(G182),ISNUMBER(H182),ISNUMBER(I182),F182&lt;I182,H182&lt;G182),"Work and leave hours overlap",IF(AND(E182&lt;&gt;"",WEEKDAY(A182)=7),"Saturday - administrator only","")))))))</f>
        <v/>
      </c>
      <c r="T182" s="36" t="n">
        <f aca="false">MONTH(A182)</f>
        <v>6</v>
      </c>
      <c r="U182" s="37" t="b">
        <f aca="false">OR(C182="Workday",C182="Eve")</f>
        <v>1</v>
      </c>
      <c r="V182" s="34" t="n">
        <f aca="false">IF(C182="Eve",Settings!$B$8,Settings!$B$7)</f>
        <v>0.6875</v>
      </c>
      <c r="W182" s="14" t="n">
        <f aca="false">IF(U182,(V182-Settings!$B$6)*24,0)</f>
        <v>8.5</v>
      </c>
    </row>
    <row r="183" customFormat="false" ht="15" hidden="false" customHeight="false" outlineLevel="0" collapsed="false">
      <c r="A183" s="29" t="n">
        <v>46199</v>
      </c>
      <c r="B183" s="30" t="str">
        <f aca="false">CHOOSE(WEEKDAY(A183),"Sun","Mon","Tue","Wed","Thu","Fri","Sat")</f>
        <v>Fri</v>
      </c>
      <c r="C183" s="30" t="str">
        <f aca="false">IF(IFERROR(INDEX(Holidays!$D$5:$D$60,MATCH(A183,Holidays!$A$5:$A$60,0)),"")="Holiday","Holiday",IF(WEEKDAY(A183)&gt;=6,"Weekend",IF(IFERROR(INDEX(Holidays!$D$5:$D$60,MATCH(A183,Holidays!$A$5:$A$60,0)),"")="Eve","Eve","Workday")))</f>
        <v>Weekend</v>
      </c>
      <c r="D183" s="18" t="str">
        <f aca="false">IFERROR(INDEX(Holidays!$C$5:$C$60,MATCH(A183,Holidays!$A$5:$A$60,0)),"")</f>
        <v/>
      </c>
      <c r="E183" s="31"/>
      <c r="F183" s="32"/>
      <c r="G183" s="32"/>
      <c r="H183" s="32"/>
      <c r="I183" s="32"/>
      <c r="J183" s="31"/>
      <c r="K183" s="33" t="str">
        <f aca="false">IF(E183&lt;&gt;"",E183,IF(U183,"Present",IF(C183="Holiday","Holiday","Weekend")))</f>
        <v>Weekend</v>
      </c>
      <c r="L183" s="34" t="str">
        <f aca="false">IF(OR(K183="Present",K183="Manual Work",K183="Partial Vacation",K183="Partial Sick Leave"),IF(ISNUMBER(F183),F183,IF(AND(K183="Present",U183),Settings!$B$6,"")),"")</f>
        <v/>
      </c>
      <c r="M183" s="34" t="str">
        <f aca="false">IF(OR(K183="Present",K183="Manual Work",K183="Partial Vacation",K183="Partial Sick Leave"),IF(ISNUMBER(G183),G183,IF(AND(K183="Present",U183),V183,"")),"")</f>
        <v/>
      </c>
      <c r="N183" s="14" t="n">
        <f aca="false">IF(AND(ISNUMBER(L183),ISNUMBER(M183)),MAX(0,(M183-L183)*24),0)</f>
        <v>0</v>
      </c>
      <c r="O183" s="14" t="n">
        <f aca="false">IF(NOT(U183),0,IF(K183="Vacation",IF(C183="Eve",Settings!$B$9*Settings!$B$11,W183),IF(K183="Partial Vacation",IF(AND(ISNUMBER(H183),ISNUMBER(I183)),MAX(0,(I183-H183)*24),0),0)))</f>
        <v>0</v>
      </c>
      <c r="P183" s="14" t="n">
        <f aca="false">IF(NOT(U183),0,IF(K183="Sick Leave",W183,IF(K183="Partial Sick Leave",IF(AND(ISNUMBER(H183),ISNUMBER(I183)),MAX(0,(I183-H183)*24),0),0)))</f>
        <v>0</v>
      </c>
      <c r="Q183" s="14" t="n">
        <f aca="false">IF(NOT(U183),0,IF(K183="Vacation",IF(C183="Eve",Settings!$B$11,1),IF(K183="Partial Vacation",O183/Settings!$B$9,0)))</f>
        <v>0</v>
      </c>
      <c r="R183" s="14" t="n">
        <f aca="false">IF(NOT(U183),0,IF(K183="Sick Leave",1,IF(K183="Partial Sick Leave",P183/Settings!$B$9,0)))</f>
        <v>0</v>
      </c>
      <c r="S183" s="35" t="str">
        <f aca="false">IF(AND(OR(E183="Vacation",E183="Sick Leave",E183="Partial Vacation",E183="Partial Sick Leave"),NOT(U183)),"Leave not allowed on this day",IF(AND(E183="Manual Work",OR(NOT(ISNUMBER(F183)),NOT(ISNUMBER(G183)))),"Enter start and end",IF(AND(OR(E183="Partial Vacation",E183="Partial Sick Leave"),OR(NOT(ISNUMBER(H183)),NOT(ISNUMBER(I183)))),"Enter leave from and to",IF(AND(ISNUMBER(F183),ISNUMBER(G183),G183&lt;=F183),"End is before start",IF(AND(ISNUMBER(H183),ISNUMBER(I183),I183&lt;=H183),"Leave end is before start",IF(AND(ISNUMBER(F183),ISNUMBER(G183),ISNUMBER(H183),ISNUMBER(I183),F183&lt;I183,H183&lt;G183),"Work and leave hours overlap",IF(AND(E183&lt;&gt;"",WEEKDAY(A183)=7),"Saturday - administrator only","")))))))</f>
        <v/>
      </c>
      <c r="T183" s="36" t="n">
        <f aca="false">MONTH(A183)</f>
        <v>6</v>
      </c>
      <c r="U183" s="37" t="b">
        <f aca="false">OR(C183="Workday",C183="Eve")</f>
        <v>0</v>
      </c>
      <c r="V183" s="34" t="n">
        <f aca="false">IF(C183="Eve",Settings!$B$8,Settings!$B$7)</f>
        <v>0.6875</v>
      </c>
      <c r="W183" s="14" t="n">
        <f aca="false">IF(U183,(V183-Settings!$B$6)*24,0)</f>
        <v>0</v>
      </c>
    </row>
    <row r="184" customFormat="false" ht="15" hidden="false" customHeight="false" outlineLevel="0" collapsed="false">
      <c r="A184" s="29" t="n">
        <v>46200</v>
      </c>
      <c r="B184" s="30" t="str">
        <f aca="false">CHOOSE(WEEKDAY(A184),"Sun","Mon","Tue","Wed","Thu","Fri","Sat")</f>
        <v>Sat</v>
      </c>
      <c r="C184" s="30" t="str">
        <f aca="false">IF(IFERROR(INDEX(Holidays!$D$5:$D$60,MATCH(A184,Holidays!$A$5:$A$60,0)),"")="Holiday","Holiday",IF(WEEKDAY(A184)&gt;=6,"Weekend",IF(IFERROR(INDEX(Holidays!$D$5:$D$60,MATCH(A184,Holidays!$A$5:$A$60,0)),"")="Eve","Eve","Workday")))</f>
        <v>Weekend</v>
      </c>
      <c r="D184" s="18" t="str">
        <f aca="false">IFERROR(INDEX(Holidays!$C$5:$C$60,MATCH(A184,Holidays!$A$5:$A$60,0)),"")</f>
        <v/>
      </c>
      <c r="E184" s="31"/>
      <c r="F184" s="32"/>
      <c r="G184" s="32"/>
      <c r="H184" s="32"/>
      <c r="I184" s="32"/>
      <c r="J184" s="31"/>
      <c r="K184" s="33" t="str">
        <f aca="false">IF(E184&lt;&gt;"",E184,IF(U184,"Present",IF(C184="Holiday","Holiday","Weekend")))</f>
        <v>Weekend</v>
      </c>
      <c r="L184" s="34" t="str">
        <f aca="false">IF(OR(K184="Present",K184="Manual Work",K184="Partial Vacation",K184="Partial Sick Leave"),IF(ISNUMBER(F184),F184,IF(AND(K184="Present",U184),Settings!$B$6,"")),"")</f>
        <v/>
      </c>
      <c r="M184" s="34" t="str">
        <f aca="false">IF(OR(K184="Present",K184="Manual Work",K184="Partial Vacation",K184="Partial Sick Leave"),IF(ISNUMBER(G184),G184,IF(AND(K184="Present",U184),V184,"")),"")</f>
        <v/>
      </c>
      <c r="N184" s="14" t="n">
        <f aca="false">IF(AND(ISNUMBER(L184),ISNUMBER(M184)),MAX(0,(M184-L184)*24),0)</f>
        <v>0</v>
      </c>
      <c r="O184" s="14" t="n">
        <f aca="false">IF(NOT(U184),0,IF(K184="Vacation",IF(C184="Eve",Settings!$B$9*Settings!$B$11,W184),IF(K184="Partial Vacation",IF(AND(ISNUMBER(H184),ISNUMBER(I184)),MAX(0,(I184-H184)*24),0),0)))</f>
        <v>0</v>
      </c>
      <c r="P184" s="14" t="n">
        <f aca="false">IF(NOT(U184),0,IF(K184="Sick Leave",W184,IF(K184="Partial Sick Leave",IF(AND(ISNUMBER(H184),ISNUMBER(I184)),MAX(0,(I184-H184)*24),0),0)))</f>
        <v>0</v>
      </c>
      <c r="Q184" s="14" t="n">
        <f aca="false">IF(NOT(U184),0,IF(K184="Vacation",IF(C184="Eve",Settings!$B$11,1),IF(K184="Partial Vacation",O184/Settings!$B$9,0)))</f>
        <v>0</v>
      </c>
      <c r="R184" s="14" t="n">
        <f aca="false">IF(NOT(U184),0,IF(K184="Sick Leave",1,IF(K184="Partial Sick Leave",P184/Settings!$B$9,0)))</f>
        <v>0</v>
      </c>
      <c r="S184" s="35" t="str">
        <f aca="false">IF(AND(OR(E184="Vacation",E184="Sick Leave",E184="Partial Vacation",E184="Partial Sick Leave"),NOT(U184)),"Leave not allowed on this day",IF(AND(E184="Manual Work",OR(NOT(ISNUMBER(F184)),NOT(ISNUMBER(G184)))),"Enter start and end",IF(AND(OR(E184="Partial Vacation",E184="Partial Sick Leave"),OR(NOT(ISNUMBER(H184)),NOT(ISNUMBER(I184)))),"Enter leave from and to",IF(AND(ISNUMBER(F184),ISNUMBER(G184),G184&lt;=F184),"End is before start",IF(AND(ISNUMBER(H184),ISNUMBER(I184),I184&lt;=H184),"Leave end is before start",IF(AND(ISNUMBER(F184),ISNUMBER(G184),ISNUMBER(H184),ISNUMBER(I184),F184&lt;I184,H184&lt;G184),"Work and leave hours overlap",IF(AND(E184&lt;&gt;"",WEEKDAY(A184)=7),"Saturday - administrator only","")))))))</f>
        <v/>
      </c>
      <c r="T184" s="36" t="n">
        <f aca="false">MONTH(A184)</f>
        <v>6</v>
      </c>
      <c r="U184" s="37" t="b">
        <f aca="false">OR(C184="Workday",C184="Eve")</f>
        <v>0</v>
      </c>
      <c r="V184" s="34" t="n">
        <f aca="false">IF(C184="Eve",Settings!$B$8,Settings!$B$7)</f>
        <v>0.6875</v>
      </c>
      <c r="W184" s="14" t="n">
        <f aca="false">IF(U184,(V184-Settings!$B$6)*24,0)</f>
        <v>0</v>
      </c>
    </row>
    <row r="185" customFormat="false" ht="15" hidden="false" customHeight="false" outlineLevel="0" collapsed="false">
      <c r="A185" s="29" t="n">
        <v>46201</v>
      </c>
      <c r="B185" s="30" t="str">
        <f aca="false">CHOOSE(WEEKDAY(A185),"Sun","Mon","Tue","Wed","Thu","Fri","Sat")</f>
        <v>Sun</v>
      </c>
      <c r="C185" s="30" t="str">
        <f aca="false">IF(IFERROR(INDEX(Holidays!$D$5:$D$60,MATCH(A185,Holidays!$A$5:$A$60,0)),"")="Holiday","Holiday",IF(WEEKDAY(A185)&gt;=6,"Weekend",IF(IFERROR(INDEX(Holidays!$D$5:$D$60,MATCH(A185,Holidays!$A$5:$A$60,0)),"")="Eve","Eve","Workday")))</f>
        <v>Workday</v>
      </c>
      <c r="D185" s="18" t="str">
        <f aca="false">IFERROR(INDEX(Holidays!$C$5:$C$60,MATCH(A185,Holidays!$A$5:$A$60,0)),"")</f>
        <v/>
      </c>
      <c r="E185" s="31"/>
      <c r="F185" s="32"/>
      <c r="G185" s="32"/>
      <c r="H185" s="32"/>
      <c r="I185" s="32"/>
      <c r="J185" s="31"/>
      <c r="K185" s="33" t="str">
        <f aca="false">IF(E185&lt;&gt;"",E185,IF(U185,"Present",IF(C185="Holiday","Holiday","Weekend")))</f>
        <v>Present</v>
      </c>
      <c r="L185" s="34" t="n">
        <f aca="false">IF(OR(K185="Present",K185="Manual Work",K185="Partial Vacation",K185="Partial Sick Leave"),IF(ISNUMBER(F185),F185,IF(AND(K185="Present",U185),Settings!$B$6,"")),"")</f>
        <v>0.333333333333333</v>
      </c>
      <c r="M185" s="34" t="n">
        <f aca="false">IF(OR(K185="Present",K185="Manual Work",K185="Partial Vacation",K185="Partial Sick Leave"),IF(ISNUMBER(G185),G185,IF(AND(K185="Present",U185),V185,"")),"")</f>
        <v>0.6875</v>
      </c>
      <c r="N185" s="14" t="n">
        <f aca="false">IF(AND(ISNUMBER(L185),ISNUMBER(M185)),MAX(0,(M185-L185)*24),0)</f>
        <v>8.5</v>
      </c>
      <c r="O185" s="14" t="n">
        <f aca="false">IF(NOT(U185),0,IF(K185="Vacation",IF(C185="Eve",Settings!$B$9*Settings!$B$11,W185),IF(K185="Partial Vacation",IF(AND(ISNUMBER(H185),ISNUMBER(I185)),MAX(0,(I185-H185)*24),0),0)))</f>
        <v>0</v>
      </c>
      <c r="P185" s="14" t="n">
        <f aca="false">IF(NOT(U185),0,IF(K185="Sick Leave",W185,IF(K185="Partial Sick Leave",IF(AND(ISNUMBER(H185),ISNUMBER(I185)),MAX(0,(I185-H185)*24),0),0)))</f>
        <v>0</v>
      </c>
      <c r="Q185" s="14" t="n">
        <f aca="false">IF(NOT(U185),0,IF(K185="Vacation",IF(C185="Eve",Settings!$B$11,1),IF(K185="Partial Vacation",O185/Settings!$B$9,0)))</f>
        <v>0</v>
      </c>
      <c r="R185" s="14" t="n">
        <f aca="false">IF(NOT(U185),0,IF(K185="Sick Leave",1,IF(K185="Partial Sick Leave",P185/Settings!$B$9,0)))</f>
        <v>0</v>
      </c>
      <c r="S185" s="35" t="str">
        <f aca="false">IF(AND(OR(E185="Vacation",E185="Sick Leave",E185="Partial Vacation",E185="Partial Sick Leave"),NOT(U185)),"Leave not allowed on this day",IF(AND(E185="Manual Work",OR(NOT(ISNUMBER(F185)),NOT(ISNUMBER(G185)))),"Enter start and end",IF(AND(OR(E185="Partial Vacation",E185="Partial Sick Leave"),OR(NOT(ISNUMBER(H185)),NOT(ISNUMBER(I185)))),"Enter leave from and to",IF(AND(ISNUMBER(F185),ISNUMBER(G185),G185&lt;=F185),"End is before start",IF(AND(ISNUMBER(H185),ISNUMBER(I185),I185&lt;=H185),"Leave end is before start",IF(AND(ISNUMBER(F185),ISNUMBER(G185),ISNUMBER(H185),ISNUMBER(I185),F185&lt;I185,H185&lt;G185),"Work and leave hours overlap",IF(AND(E185&lt;&gt;"",WEEKDAY(A185)=7),"Saturday - administrator only","")))))))</f>
        <v/>
      </c>
      <c r="T185" s="36" t="n">
        <f aca="false">MONTH(A185)</f>
        <v>6</v>
      </c>
      <c r="U185" s="37" t="b">
        <f aca="false">OR(C185="Workday",C185="Eve")</f>
        <v>1</v>
      </c>
      <c r="V185" s="34" t="n">
        <f aca="false">IF(C185="Eve",Settings!$B$8,Settings!$B$7)</f>
        <v>0.6875</v>
      </c>
      <c r="W185" s="14" t="n">
        <f aca="false">IF(U185,(V185-Settings!$B$6)*24,0)</f>
        <v>8.5</v>
      </c>
    </row>
    <row r="186" customFormat="false" ht="15" hidden="false" customHeight="false" outlineLevel="0" collapsed="false">
      <c r="A186" s="29" t="n">
        <v>46202</v>
      </c>
      <c r="B186" s="30" t="str">
        <f aca="false">CHOOSE(WEEKDAY(A186),"Sun","Mon","Tue","Wed","Thu","Fri","Sat")</f>
        <v>Mon</v>
      </c>
      <c r="C186" s="30" t="str">
        <f aca="false">IF(IFERROR(INDEX(Holidays!$D$5:$D$60,MATCH(A186,Holidays!$A$5:$A$60,0)),"")="Holiday","Holiday",IF(WEEKDAY(A186)&gt;=6,"Weekend",IF(IFERROR(INDEX(Holidays!$D$5:$D$60,MATCH(A186,Holidays!$A$5:$A$60,0)),"")="Eve","Eve","Workday")))</f>
        <v>Workday</v>
      </c>
      <c r="D186" s="18" t="str">
        <f aca="false">IFERROR(INDEX(Holidays!$C$5:$C$60,MATCH(A186,Holidays!$A$5:$A$60,0)),"")</f>
        <v/>
      </c>
      <c r="E186" s="31"/>
      <c r="F186" s="32"/>
      <c r="G186" s="32"/>
      <c r="H186" s="32"/>
      <c r="I186" s="32"/>
      <c r="J186" s="31"/>
      <c r="K186" s="33" t="str">
        <f aca="false">IF(E186&lt;&gt;"",E186,IF(U186,"Present",IF(C186="Holiday","Holiday","Weekend")))</f>
        <v>Present</v>
      </c>
      <c r="L186" s="34" t="n">
        <f aca="false">IF(OR(K186="Present",K186="Manual Work",K186="Partial Vacation",K186="Partial Sick Leave"),IF(ISNUMBER(F186),F186,IF(AND(K186="Present",U186),Settings!$B$6,"")),"")</f>
        <v>0.333333333333333</v>
      </c>
      <c r="M186" s="34" t="n">
        <f aca="false">IF(OR(K186="Present",K186="Manual Work",K186="Partial Vacation",K186="Partial Sick Leave"),IF(ISNUMBER(G186),G186,IF(AND(K186="Present",U186),V186,"")),"")</f>
        <v>0.6875</v>
      </c>
      <c r="N186" s="14" t="n">
        <f aca="false">IF(AND(ISNUMBER(L186),ISNUMBER(M186)),MAX(0,(M186-L186)*24),0)</f>
        <v>8.5</v>
      </c>
      <c r="O186" s="14" t="n">
        <f aca="false">IF(NOT(U186),0,IF(K186="Vacation",IF(C186="Eve",Settings!$B$9*Settings!$B$11,W186),IF(K186="Partial Vacation",IF(AND(ISNUMBER(H186),ISNUMBER(I186)),MAX(0,(I186-H186)*24),0),0)))</f>
        <v>0</v>
      </c>
      <c r="P186" s="14" t="n">
        <f aca="false">IF(NOT(U186),0,IF(K186="Sick Leave",W186,IF(K186="Partial Sick Leave",IF(AND(ISNUMBER(H186),ISNUMBER(I186)),MAX(0,(I186-H186)*24),0),0)))</f>
        <v>0</v>
      </c>
      <c r="Q186" s="14" t="n">
        <f aca="false">IF(NOT(U186),0,IF(K186="Vacation",IF(C186="Eve",Settings!$B$11,1),IF(K186="Partial Vacation",O186/Settings!$B$9,0)))</f>
        <v>0</v>
      </c>
      <c r="R186" s="14" t="n">
        <f aca="false">IF(NOT(U186),0,IF(K186="Sick Leave",1,IF(K186="Partial Sick Leave",P186/Settings!$B$9,0)))</f>
        <v>0</v>
      </c>
      <c r="S186" s="35" t="str">
        <f aca="false">IF(AND(OR(E186="Vacation",E186="Sick Leave",E186="Partial Vacation",E186="Partial Sick Leave"),NOT(U186)),"Leave not allowed on this day",IF(AND(E186="Manual Work",OR(NOT(ISNUMBER(F186)),NOT(ISNUMBER(G186)))),"Enter start and end",IF(AND(OR(E186="Partial Vacation",E186="Partial Sick Leave"),OR(NOT(ISNUMBER(H186)),NOT(ISNUMBER(I186)))),"Enter leave from and to",IF(AND(ISNUMBER(F186),ISNUMBER(G186),G186&lt;=F186),"End is before start",IF(AND(ISNUMBER(H186),ISNUMBER(I186),I186&lt;=H186),"Leave end is before start",IF(AND(ISNUMBER(F186),ISNUMBER(G186),ISNUMBER(H186),ISNUMBER(I186),F186&lt;I186,H186&lt;G186),"Work and leave hours overlap",IF(AND(E186&lt;&gt;"",WEEKDAY(A186)=7),"Saturday - administrator only","")))))))</f>
        <v/>
      </c>
      <c r="T186" s="36" t="n">
        <f aca="false">MONTH(A186)</f>
        <v>6</v>
      </c>
      <c r="U186" s="37" t="b">
        <f aca="false">OR(C186="Workday",C186="Eve")</f>
        <v>1</v>
      </c>
      <c r="V186" s="34" t="n">
        <f aca="false">IF(C186="Eve",Settings!$B$8,Settings!$B$7)</f>
        <v>0.6875</v>
      </c>
      <c r="W186" s="14" t="n">
        <f aca="false">IF(U186,(V186-Settings!$B$6)*24,0)</f>
        <v>8.5</v>
      </c>
    </row>
    <row r="187" customFormat="false" ht="15" hidden="false" customHeight="false" outlineLevel="0" collapsed="false">
      <c r="A187" s="29" t="n">
        <v>46203</v>
      </c>
      <c r="B187" s="30" t="str">
        <f aca="false">CHOOSE(WEEKDAY(A187),"Sun","Mon","Tue","Wed","Thu","Fri","Sat")</f>
        <v>Tue</v>
      </c>
      <c r="C187" s="30" t="str">
        <f aca="false">IF(IFERROR(INDEX(Holidays!$D$5:$D$60,MATCH(A187,Holidays!$A$5:$A$60,0)),"")="Holiday","Holiday",IF(WEEKDAY(A187)&gt;=6,"Weekend",IF(IFERROR(INDEX(Holidays!$D$5:$D$60,MATCH(A187,Holidays!$A$5:$A$60,0)),"")="Eve","Eve","Workday")))</f>
        <v>Workday</v>
      </c>
      <c r="D187" s="18" t="str">
        <f aca="false">IFERROR(INDEX(Holidays!$C$5:$C$60,MATCH(A187,Holidays!$A$5:$A$60,0)),"")</f>
        <v/>
      </c>
      <c r="E187" s="31"/>
      <c r="F187" s="32"/>
      <c r="G187" s="32"/>
      <c r="H187" s="32"/>
      <c r="I187" s="32"/>
      <c r="J187" s="31"/>
      <c r="K187" s="33" t="str">
        <f aca="false">IF(E187&lt;&gt;"",E187,IF(U187,"Present",IF(C187="Holiday","Holiday","Weekend")))</f>
        <v>Present</v>
      </c>
      <c r="L187" s="34" t="n">
        <f aca="false">IF(OR(K187="Present",K187="Manual Work",K187="Partial Vacation",K187="Partial Sick Leave"),IF(ISNUMBER(F187),F187,IF(AND(K187="Present",U187),Settings!$B$6,"")),"")</f>
        <v>0.333333333333333</v>
      </c>
      <c r="M187" s="34" t="n">
        <f aca="false">IF(OR(K187="Present",K187="Manual Work",K187="Partial Vacation",K187="Partial Sick Leave"),IF(ISNUMBER(G187),G187,IF(AND(K187="Present",U187),V187,"")),"")</f>
        <v>0.6875</v>
      </c>
      <c r="N187" s="14" t="n">
        <f aca="false">IF(AND(ISNUMBER(L187),ISNUMBER(M187)),MAX(0,(M187-L187)*24),0)</f>
        <v>8.5</v>
      </c>
      <c r="O187" s="14" t="n">
        <f aca="false">IF(NOT(U187),0,IF(K187="Vacation",IF(C187="Eve",Settings!$B$9*Settings!$B$11,W187),IF(K187="Partial Vacation",IF(AND(ISNUMBER(H187),ISNUMBER(I187)),MAX(0,(I187-H187)*24),0),0)))</f>
        <v>0</v>
      </c>
      <c r="P187" s="14" t="n">
        <f aca="false">IF(NOT(U187),0,IF(K187="Sick Leave",W187,IF(K187="Partial Sick Leave",IF(AND(ISNUMBER(H187),ISNUMBER(I187)),MAX(0,(I187-H187)*24),0),0)))</f>
        <v>0</v>
      </c>
      <c r="Q187" s="14" t="n">
        <f aca="false">IF(NOT(U187),0,IF(K187="Vacation",IF(C187="Eve",Settings!$B$11,1),IF(K187="Partial Vacation",O187/Settings!$B$9,0)))</f>
        <v>0</v>
      </c>
      <c r="R187" s="14" t="n">
        <f aca="false">IF(NOT(U187),0,IF(K187="Sick Leave",1,IF(K187="Partial Sick Leave",P187/Settings!$B$9,0)))</f>
        <v>0</v>
      </c>
      <c r="S187" s="35" t="str">
        <f aca="false">IF(AND(OR(E187="Vacation",E187="Sick Leave",E187="Partial Vacation",E187="Partial Sick Leave"),NOT(U187)),"Leave not allowed on this day",IF(AND(E187="Manual Work",OR(NOT(ISNUMBER(F187)),NOT(ISNUMBER(G187)))),"Enter start and end",IF(AND(OR(E187="Partial Vacation",E187="Partial Sick Leave"),OR(NOT(ISNUMBER(H187)),NOT(ISNUMBER(I187)))),"Enter leave from and to",IF(AND(ISNUMBER(F187),ISNUMBER(G187),G187&lt;=F187),"End is before start",IF(AND(ISNUMBER(H187),ISNUMBER(I187),I187&lt;=H187),"Leave end is before start",IF(AND(ISNUMBER(F187),ISNUMBER(G187),ISNUMBER(H187),ISNUMBER(I187),F187&lt;I187,H187&lt;G187),"Work and leave hours overlap",IF(AND(E187&lt;&gt;"",WEEKDAY(A187)=7),"Saturday - administrator only","")))))))</f>
        <v/>
      </c>
      <c r="T187" s="36" t="n">
        <f aca="false">MONTH(A187)</f>
        <v>6</v>
      </c>
      <c r="U187" s="37" t="b">
        <f aca="false">OR(C187="Workday",C187="Eve")</f>
        <v>1</v>
      </c>
      <c r="V187" s="34" t="n">
        <f aca="false">IF(C187="Eve",Settings!$B$8,Settings!$B$7)</f>
        <v>0.6875</v>
      </c>
      <c r="W187" s="14" t="n">
        <f aca="false">IF(U187,(V187-Settings!$B$6)*24,0)</f>
        <v>8.5</v>
      </c>
    </row>
    <row r="188" customFormat="false" ht="15" hidden="false" customHeight="false" outlineLevel="0" collapsed="false">
      <c r="A188" s="29" t="n">
        <v>46204</v>
      </c>
      <c r="B188" s="30" t="str">
        <f aca="false">CHOOSE(WEEKDAY(A188),"Sun","Mon","Tue","Wed","Thu","Fri","Sat")</f>
        <v>Wed</v>
      </c>
      <c r="C188" s="30" t="str">
        <f aca="false">IF(IFERROR(INDEX(Holidays!$D$5:$D$60,MATCH(A188,Holidays!$A$5:$A$60,0)),"")="Holiday","Holiday",IF(WEEKDAY(A188)&gt;=6,"Weekend",IF(IFERROR(INDEX(Holidays!$D$5:$D$60,MATCH(A188,Holidays!$A$5:$A$60,0)),"")="Eve","Eve","Workday")))</f>
        <v>Workday</v>
      </c>
      <c r="D188" s="18" t="str">
        <f aca="false">IFERROR(INDEX(Holidays!$C$5:$C$60,MATCH(A188,Holidays!$A$5:$A$60,0)),"")</f>
        <v/>
      </c>
      <c r="E188" s="31"/>
      <c r="F188" s="32"/>
      <c r="G188" s="32"/>
      <c r="H188" s="32"/>
      <c r="I188" s="32"/>
      <c r="J188" s="31"/>
      <c r="K188" s="33" t="str">
        <f aca="false">IF(E188&lt;&gt;"",E188,IF(U188,"Present",IF(C188="Holiday","Holiday","Weekend")))</f>
        <v>Present</v>
      </c>
      <c r="L188" s="34" t="n">
        <f aca="false">IF(OR(K188="Present",K188="Manual Work",K188="Partial Vacation",K188="Partial Sick Leave"),IF(ISNUMBER(F188),F188,IF(AND(K188="Present",U188),Settings!$B$6,"")),"")</f>
        <v>0.333333333333333</v>
      </c>
      <c r="M188" s="34" t="n">
        <f aca="false">IF(OR(K188="Present",K188="Manual Work",K188="Partial Vacation",K188="Partial Sick Leave"),IF(ISNUMBER(G188),G188,IF(AND(K188="Present",U188),V188,"")),"")</f>
        <v>0.6875</v>
      </c>
      <c r="N188" s="14" t="n">
        <f aca="false">IF(AND(ISNUMBER(L188),ISNUMBER(M188)),MAX(0,(M188-L188)*24),0)</f>
        <v>8.5</v>
      </c>
      <c r="O188" s="14" t="n">
        <f aca="false">IF(NOT(U188),0,IF(K188="Vacation",IF(C188="Eve",Settings!$B$9*Settings!$B$11,W188),IF(K188="Partial Vacation",IF(AND(ISNUMBER(H188),ISNUMBER(I188)),MAX(0,(I188-H188)*24),0),0)))</f>
        <v>0</v>
      </c>
      <c r="P188" s="14" t="n">
        <f aca="false">IF(NOT(U188),0,IF(K188="Sick Leave",W188,IF(K188="Partial Sick Leave",IF(AND(ISNUMBER(H188),ISNUMBER(I188)),MAX(0,(I188-H188)*24),0),0)))</f>
        <v>0</v>
      </c>
      <c r="Q188" s="14" t="n">
        <f aca="false">IF(NOT(U188),0,IF(K188="Vacation",IF(C188="Eve",Settings!$B$11,1),IF(K188="Partial Vacation",O188/Settings!$B$9,0)))</f>
        <v>0</v>
      </c>
      <c r="R188" s="14" t="n">
        <f aca="false">IF(NOT(U188),0,IF(K188="Sick Leave",1,IF(K188="Partial Sick Leave",P188/Settings!$B$9,0)))</f>
        <v>0</v>
      </c>
      <c r="S188" s="35" t="str">
        <f aca="false">IF(AND(OR(E188="Vacation",E188="Sick Leave",E188="Partial Vacation",E188="Partial Sick Leave"),NOT(U188)),"Leave not allowed on this day",IF(AND(E188="Manual Work",OR(NOT(ISNUMBER(F188)),NOT(ISNUMBER(G188)))),"Enter start and end",IF(AND(OR(E188="Partial Vacation",E188="Partial Sick Leave"),OR(NOT(ISNUMBER(H188)),NOT(ISNUMBER(I188)))),"Enter leave from and to",IF(AND(ISNUMBER(F188),ISNUMBER(G188),G188&lt;=F188),"End is before start",IF(AND(ISNUMBER(H188),ISNUMBER(I188),I188&lt;=H188),"Leave end is before start",IF(AND(ISNUMBER(F188),ISNUMBER(G188),ISNUMBER(H188),ISNUMBER(I188),F188&lt;I188,H188&lt;G188),"Work and leave hours overlap",IF(AND(E188&lt;&gt;"",WEEKDAY(A188)=7),"Saturday - administrator only","")))))))</f>
        <v/>
      </c>
      <c r="T188" s="36" t="n">
        <f aca="false">MONTH(A188)</f>
        <v>7</v>
      </c>
      <c r="U188" s="37" t="b">
        <f aca="false">OR(C188="Workday",C188="Eve")</f>
        <v>1</v>
      </c>
      <c r="V188" s="34" t="n">
        <f aca="false">IF(C188="Eve",Settings!$B$8,Settings!$B$7)</f>
        <v>0.6875</v>
      </c>
      <c r="W188" s="14" t="n">
        <f aca="false">IF(U188,(V188-Settings!$B$6)*24,0)</f>
        <v>8.5</v>
      </c>
    </row>
    <row r="189" customFormat="false" ht="15" hidden="false" customHeight="false" outlineLevel="0" collapsed="false">
      <c r="A189" s="29" t="n">
        <v>46205</v>
      </c>
      <c r="B189" s="30" t="str">
        <f aca="false">CHOOSE(WEEKDAY(A189),"Sun","Mon","Tue","Wed","Thu","Fri","Sat")</f>
        <v>Thu</v>
      </c>
      <c r="C189" s="30" t="str">
        <f aca="false">IF(IFERROR(INDEX(Holidays!$D$5:$D$60,MATCH(A189,Holidays!$A$5:$A$60,0)),"")="Holiday","Holiday",IF(WEEKDAY(A189)&gt;=6,"Weekend",IF(IFERROR(INDEX(Holidays!$D$5:$D$60,MATCH(A189,Holidays!$A$5:$A$60,0)),"")="Eve","Eve","Workday")))</f>
        <v>Workday</v>
      </c>
      <c r="D189" s="18" t="str">
        <f aca="false">IFERROR(INDEX(Holidays!$C$5:$C$60,MATCH(A189,Holidays!$A$5:$A$60,0)),"")</f>
        <v/>
      </c>
      <c r="E189" s="31"/>
      <c r="F189" s="32"/>
      <c r="G189" s="32"/>
      <c r="H189" s="32"/>
      <c r="I189" s="32"/>
      <c r="J189" s="31"/>
      <c r="K189" s="33" t="str">
        <f aca="false">IF(E189&lt;&gt;"",E189,IF(U189,"Present",IF(C189="Holiday","Holiday","Weekend")))</f>
        <v>Present</v>
      </c>
      <c r="L189" s="34" t="n">
        <f aca="false">IF(OR(K189="Present",K189="Manual Work",K189="Partial Vacation",K189="Partial Sick Leave"),IF(ISNUMBER(F189),F189,IF(AND(K189="Present",U189),Settings!$B$6,"")),"")</f>
        <v>0.333333333333333</v>
      </c>
      <c r="M189" s="34" t="n">
        <f aca="false">IF(OR(K189="Present",K189="Manual Work",K189="Partial Vacation",K189="Partial Sick Leave"),IF(ISNUMBER(G189),G189,IF(AND(K189="Present",U189),V189,"")),"")</f>
        <v>0.6875</v>
      </c>
      <c r="N189" s="14" t="n">
        <f aca="false">IF(AND(ISNUMBER(L189),ISNUMBER(M189)),MAX(0,(M189-L189)*24),0)</f>
        <v>8.5</v>
      </c>
      <c r="O189" s="14" t="n">
        <f aca="false">IF(NOT(U189),0,IF(K189="Vacation",IF(C189="Eve",Settings!$B$9*Settings!$B$11,W189),IF(K189="Partial Vacation",IF(AND(ISNUMBER(H189),ISNUMBER(I189)),MAX(0,(I189-H189)*24),0),0)))</f>
        <v>0</v>
      </c>
      <c r="P189" s="14" t="n">
        <f aca="false">IF(NOT(U189),0,IF(K189="Sick Leave",W189,IF(K189="Partial Sick Leave",IF(AND(ISNUMBER(H189),ISNUMBER(I189)),MAX(0,(I189-H189)*24),0),0)))</f>
        <v>0</v>
      </c>
      <c r="Q189" s="14" t="n">
        <f aca="false">IF(NOT(U189),0,IF(K189="Vacation",IF(C189="Eve",Settings!$B$11,1),IF(K189="Partial Vacation",O189/Settings!$B$9,0)))</f>
        <v>0</v>
      </c>
      <c r="R189" s="14" t="n">
        <f aca="false">IF(NOT(U189),0,IF(K189="Sick Leave",1,IF(K189="Partial Sick Leave",P189/Settings!$B$9,0)))</f>
        <v>0</v>
      </c>
      <c r="S189" s="35" t="str">
        <f aca="false">IF(AND(OR(E189="Vacation",E189="Sick Leave",E189="Partial Vacation",E189="Partial Sick Leave"),NOT(U189)),"Leave not allowed on this day",IF(AND(E189="Manual Work",OR(NOT(ISNUMBER(F189)),NOT(ISNUMBER(G189)))),"Enter start and end",IF(AND(OR(E189="Partial Vacation",E189="Partial Sick Leave"),OR(NOT(ISNUMBER(H189)),NOT(ISNUMBER(I189)))),"Enter leave from and to",IF(AND(ISNUMBER(F189),ISNUMBER(G189),G189&lt;=F189),"End is before start",IF(AND(ISNUMBER(H189),ISNUMBER(I189),I189&lt;=H189),"Leave end is before start",IF(AND(ISNUMBER(F189),ISNUMBER(G189),ISNUMBER(H189),ISNUMBER(I189),F189&lt;I189,H189&lt;G189),"Work and leave hours overlap",IF(AND(E189&lt;&gt;"",WEEKDAY(A189)=7),"Saturday - administrator only","")))))))</f>
        <v/>
      </c>
      <c r="T189" s="36" t="n">
        <f aca="false">MONTH(A189)</f>
        <v>7</v>
      </c>
      <c r="U189" s="37" t="b">
        <f aca="false">OR(C189="Workday",C189="Eve")</f>
        <v>1</v>
      </c>
      <c r="V189" s="34" t="n">
        <f aca="false">IF(C189="Eve",Settings!$B$8,Settings!$B$7)</f>
        <v>0.6875</v>
      </c>
      <c r="W189" s="14" t="n">
        <f aca="false">IF(U189,(V189-Settings!$B$6)*24,0)</f>
        <v>8.5</v>
      </c>
    </row>
    <row r="190" customFormat="false" ht="15" hidden="false" customHeight="false" outlineLevel="0" collapsed="false">
      <c r="A190" s="29" t="n">
        <v>46206</v>
      </c>
      <c r="B190" s="30" t="str">
        <f aca="false">CHOOSE(WEEKDAY(A190),"Sun","Mon","Tue","Wed","Thu","Fri","Sat")</f>
        <v>Fri</v>
      </c>
      <c r="C190" s="30" t="str">
        <f aca="false">IF(IFERROR(INDEX(Holidays!$D$5:$D$60,MATCH(A190,Holidays!$A$5:$A$60,0)),"")="Holiday","Holiday",IF(WEEKDAY(A190)&gt;=6,"Weekend",IF(IFERROR(INDEX(Holidays!$D$5:$D$60,MATCH(A190,Holidays!$A$5:$A$60,0)),"")="Eve","Eve","Workday")))</f>
        <v>Weekend</v>
      </c>
      <c r="D190" s="18" t="str">
        <f aca="false">IFERROR(INDEX(Holidays!$C$5:$C$60,MATCH(A190,Holidays!$A$5:$A$60,0)),"")</f>
        <v/>
      </c>
      <c r="E190" s="31"/>
      <c r="F190" s="32"/>
      <c r="G190" s="32"/>
      <c r="H190" s="32"/>
      <c r="I190" s="32"/>
      <c r="J190" s="31"/>
      <c r="K190" s="33" t="str">
        <f aca="false">IF(E190&lt;&gt;"",E190,IF(U190,"Present",IF(C190="Holiday","Holiday","Weekend")))</f>
        <v>Weekend</v>
      </c>
      <c r="L190" s="34" t="str">
        <f aca="false">IF(OR(K190="Present",K190="Manual Work",K190="Partial Vacation",K190="Partial Sick Leave"),IF(ISNUMBER(F190),F190,IF(AND(K190="Present",U190),Settings!$B$6,"")),"")</f>
        <v/>
      </c>
      <c r="M190" s="34" t="str">
        <f aca="false">IF(OR(K190="Present",K190="Manual Work",K190="Partial Vacation",K190="Partial Sick Leave"),IF(ISNUMBER(G190),G190,IF(AND(K190="Present",U190),V190,"")),"")</f>
        <v/>
      </c>
      <c r="N190" s="14" t="n">
        <f aca="false">IF(AND(ISNUMBER(L190),ISNUMBER(M190)),MAX(0,(M190-L190)*24),0)</f>
        <v>0</v>
      </c>
      <c r="O190" s="14" t="n">
        <f aca="false">IF(NOT(U190),0,IF(K190="Vacation",IF(C190="Eve",Settings!$B$9*Settings!$B$11,W190),IF(K190="Partial Vacation",IF(AND(ISNUMBER(H190),ISNUMBER(I190)),MAX(0,(I190-H190)*24),0),0)))</f>
        <v>0</v>
      </c>
      <c r="P190" s="14" t="n">
        <f aca="false">IF(NOT(U190),0,IF(K190="Sick Leave",W190,IF(K190="Partial Sick Leave",IF(AND(ISNUMBER(H190),ISNUMBER(I190)),MAX(0,(I190-H190)*24),0),0)))</f>
        <v>0</v>
      </c>
      <c r="Q190" s="14" t="n">
        <f aca="false">IF(NOT(U190),0,IF(K190="Vacation",IF(C190="Eve",Settings!$B$11,1),IF(K190="Partial Vacation",O190/Settings!$B$9,0)))</f>
        <v>0</v>
      </c>
      <c r="R190" s="14" t="n">
        <f aca="false">IF(NOT(U190),0,IF(K190="Sick Leave",1,IF(K190="Partial Sick Leave",P190/Settings!$B$9,0)))</f>
        <v>0</v>
      </c>
      <c r="S190" s="35" t="str">
        <f aca="false">IF(AND(OR(E190="Vacation",E190="Sick Leave",E190="Partial Vacation",E190="Partial Sick Leave"),NOT(U190)),"Leave not allowed on this day",IF(AND(E190="Manual Work",OR(NOT(ISNUMBER(F190)),NOT(ISNUMBER(G190)))),"Enter start and end",IF(AND(OR(E190="Partial Vacation",E190="Partial Sick Leave"),OR(NOT(ISNUMBER(H190)),NOT(ISNUMBER(I190)))),"Enter leave from and to",IF(AND(ISNUMBER(F190),ISNUMBER(G190),G190&lt;=F190),"End is before start",IF(AND(ISNUMBER(H190),ISNUMBER(I190),I190&lt;=H190),"Leave end is before start",IF(AND(ISNUMBER(F190),ISNUMBER(G190),ISNUMBER(H190),ISNUMBER(I190),F190&lt;I190,H190&lt;G190),"Work and leave hours overlap",IF(AND(E190&lt;&gt;"",WEEKDAY(A190)=7),"Saturday - administrator only","")))))))</f>
        <v/>
      </c>
      <c r="T190" s="36" t="n">
        <f aca="false">MONTH(A190)</f>
        <v>7</v>
      </c>
      <c r="U190" s="37" t="b">
        <f aca="false">OR(C190="Workday",C190="Eve")</f>
        <v>0</v>
      </c>
      <c r="V190" s="34" t="n">
        <f aca="false">IF(C190="Eve",Settings!$B$8,Settings!$B$7)</f>
        <v>0.6875</v>
      </c>
      <c r="W190" s="14" t="n">
        <f aca="false">IF(U190,(V190-Settings!$B$6)*24,0)</f>
        <v>0</v>
      </c>
    </row>
    <row r="191" customFormat="false" ht="15" hidden="false" customHeight="false" outlineLevel="0" collapsed="false">
      <c r="A191" s="29" t="n">
        <v>46207</v>
      </c>
      <c r="B191" s="30" t="str">
        <f aca="false">CHOOSE(WEEKDAY(A191),"Sun","Mon","Tue","Wed","Thu","Fri","Sat")</f>
        <v>Sat</v>
      </c>
      <c r="C191" s="30" t="str">
        <f aca="false">IF(IFERROR(INDEX(Holidays!$D$5:$D$60,MATCH(A191,Holidays!$A$5:$A$60,0)),"")="Holiday","Holiday",IF(WEEKDAY(A191)&gt;=6,"Weekend",IF(IFERROR(INDEX(Holidays!$D$5:$D$60,MATCH(A191,Holidays!$A$5:$A$60,0)),"")="Eve","Eve","Workday")))</f>
        <v>Weekend</v>
      </c>
      <c r="D191" s="18" t="str">
        <f aca="false">IFERROR(INDEX(Holidays!$C$5:$C$60,MATCH(A191,Holidays!$A$5:$A$60,0)),"")</f>
        <v/>
      </c>
      <c r="E191" s="31"/>
      <c r="F191" s="32"/>
      <c r="G191" s="32"/>
      <c r="H191" s="32"/>
      <c r="I191" s="32"/>
      <c r="J191" s="31"/>
      <c r="K191" s="33" t="str">
        <f aca="false">IF(E191&lt;&gt;"",E191,IF(U191,"Present",IF(C191="Holiday","Holiday","Weekend")))</f>
        <v>Weekend</v>
      </c>
      <c r="L191" s="34" t="str">
        <f aca="false">IF(OR(K191="Present",K191="Manual Work",K191="Partial Vacation",K191="Partial Sick Leave"),IF(ISNUMBER(F191),F191,IF(AND(K191="Present",U191),Settings!$B$6,"")),"")</f>
        <v/>
      </c>
      <c r="M191" s="34" t="str">
        <f aca="false">IF(OR(K191="Present",K191="Manual Work",K191="Partial Vacation",K191="Partial Sick Leave"),IF(ISNUMBER(G191),G191,IF(AND(K191="Present",U191),V191,"")),"")</f>
        <v/>
      </c>
      <c r="N191" s="14" t="n">
        <f aca="false">IF(AND(ISNUMBER(L191),ISNUMBER(M191)),MAX(0,(M191-L191)*24),0)</f>
        <v>0</v>
      </c>
      <c r="O191" s="14" t="n">
        <f aca="false">IF(NOT(U191),0,IF(K191="Vacation",IF(C191="Eve",Settings!$B$9*Settings!$B$11,W191),IF(K191="Partial Vacation",IF(AND(ISNUMBER(H191),ISNUMBER(I191)),MAX(0,(I191-H191)*24),0),0)))</f>
        <v>0</v>
      </c>
      <c r="P191" s="14" t="n">
        <f aca="false">IF(NOT(U191),0,IF(K191="Sick Leave",W191,IF(K191="Partial Sick Leave",IF(AND(ISNUMBER(H191),ISNUMBER(I191)),MAX(0,(I191-H191)*24),0),0)))</f>
        <v>0</v>
      </c>
      <c r="Q191" s="14" t="n">
        <f aca="false">IF(NOT(U191),0,IF(K191="Vacation",IF(C191="Eve",Settings!$B$11,1),IF(K191="Partial Vacation",O191/Settings!$B$9,0)))</f>
        <v>0</v>
      </c>
      <c r="R191" s="14" t="n">
        <f aca="false">IF(NOT(U191),0,IF(K191="Sick Leave",1,IF(K191="Partial Sick Leave",P191/Settings!$B$9,0)))</f>
        <v>0</v>
      </c>
      <c r="S191" s="35" t="str">
        <f aca="false">IF(AND(OR(E191="Vacation",E191="Sick Leave",E191="Partial Vacation",E191="Partial Sick Leave"),NOT(U191)),"Leave not allowed on this day",IF(AND(E191="Manual Work",OR(NOT(ISNUMBER(F191)),NOT(ISNUMBER(G191)))),"Enter start and end",IF(AND(OR(E191="Partial Vacation",E191="Partial Sick Leave"),OR(NOT(ISNUMBER(H191)),NOT(ISNUMBER(I191)))),"Enter leave from and to",IF(AND(ISNUMBER(F191),ISNUMBER(G191),G191&lt;=F191),"End is before start",IF(AND(ISNUMBER(H191),ISNUMBER(I191),I191&lt;=H191),"Leave end is before start",IF(AND(ISNUMBER(F191),ISNUMBER(G191),ISNUMBER(H191),ISNUMBER(I191),F191&lt;I191,H191&lt;G191),"Work and leave hours overlap",IF(AND(E191&lt;&gt;"",WEEKDAY(A191)=7),"Saturday - administrator only","")))))))</f>
        <v/>
      </c>
      <c r="T191" s="36" t="n">
        <f aca="false">MONTH(A191)</f>
        <v>7</v>
      </c>
      <c r="U191" s="37" t="b">
        <f aca="false">OR(C191="Workday",C191="Eve")</f>
        <v>0</v>
      </c>
      <c r="V191" s="34" t="n">
        <f aca="false">IF(C191="Eve",Settings!$B$8,Settings!$B$7)</f>
        <v>0.6875</v>
      </c>
      <c r="W191" s="14" t="n">
        <f aca="false">IF(U191,(V191-Settings!$B$6)*24,0)</f>
        <v>0</v>
      </c>
    </row>
    <row r="192" customFormat="false" ht="15" hidden="false" customHeight="false" outlineLevel="0" collapsed="false">
      <c r="A192" s="29" t="n">
        <v>46208</v>
      </c>
      <c r="B192" s="30" t="str">
        <f aca="false">CHOOSE(WEEKDAY(A192),"Sun","Mon","Tue","Wed","Thu","Fri","Sat")</f>
        <v>Sun</v>
      </c>
      <c r="C192" s="30" t="str">
        <f aca="false">IF(IFERROR(INDEX(Holidays!$D$5:$D$60,MATCH(A192,Holidays!$A$5:$A$60,0)),"")="Holiday","Holiday",IF(WEEKDAY(A192)&gt;=6,"Weekend",IF(IFERROR(INDEX(Holidays!$D$5:$D$60,MATCH(A192,Holidays!$A$5:$A$60,0)),"")="Eve","Eve","Workday")))</f>
        <v>Workday</v>
      </c>
      <c r="D192" s="18" t="str">
        <f aca="false">IFERROR(INDEX(Holidays!$C$5:$C$60,MATCH(A192,Holidays!$A$5:$A$60,0)),"")</f>
        <v/>
      </c>
      <c r="E192" s="31"/>
      <c r="F192" s="32"/>
      <c r="G192" s="32"/>
      <c r="H192" s="32"/>
      <c r="I192" s="32"/>
      <c r="J192" s="31"/>
      <c r="K192" s="33" t="str">
        <f aca="false">IF(E192&lt;&gt;"",E192,IF(U192,"Present",IF(C192="Holiday","Holiday","Weekend")))</f>
        <v>Present</v>
      </c>
      <c r="L192" s="34" t="n">
        <f aca="false">IF(OR(K192="Present",K192="Manual Work",K192="Partial Vacation",K192="Partial Sick Leave"),IF(ISNUMBER(F192),F192,IF(AND(K192="Present",U192),Settings!$B$6,"")),"")</f>
        <v>0.333333333333333</v>
      </c>
      <c r="M192" s="34" t="n">
        <f aca="false">IF(OR(K192="Present",K192="Manual Work",K192="Partial Vacation",K192="Partial Sick Leave"),IF(ISNUMBER(G192),G192,IF(AND(K192="Present",U192),V192,"")),"")</f>
        <v>0.6875</v>
      </c>
      <c r="N192" s="14" t="n">
        <f aca="false">IF(AND(ISNUMBER(L192),ISNUMBER(M192)),MAX(0,(M192-L192)*24),0)</f>
        <v>8.5</v>
      </c>
      <c r="O192" s="14" t="n">
        <f aca="false">IF(NOT(U192),0,IF(K192="Vacation",IF(C192="Eve",Settings!$B$9*Settings!$B$11,W192),IF(K192="Partial Vacation",IF(AND(ISNUMBER(H192),ISNUMBER(I192)),MAX(0,(I192-H192)*24),0),0)))</f>
        <v>0</v>
      </c>
      <c r="P192" s="14" t="n">
        <f aca="false">IF(NOT(U192),0,IF(K192="Sick Leave",W192,IF(K192="Partial Sick Leave",IF(AND(ISNUMBER(H192),ISNUMBER(I192)),MAX(0,(I192-H192)*24),0),0)))</f>
        <v>0</v>
      </c>
      <c r="Q192" s="14" t="n">
        <f aca="false">IF(NOT(U192),0,IF(K192="Vacation",IF(C192="Eve",Settings!$B$11,1),IF(K192="Partial Vacation",O192/Settings!$B$9,0)))</f>
        <v>0</v>
      </c>
      <c r="R192" s="14" t="n">
        <f aca="false">IF(NOT(U192),0,IF(K192="Sick Leave",1,IF(K192="Partial Sick Leave",P192/Settings!$B$9,0)))</f>
        <v>0</v>
      </c>
      <c r="S192" s="35" t="str">
        <f aca="false">IF(AND(OR(E192="Vacation",E192="Sick Leave",E192="Partial Vacation",E192="Partial Sick Leave"),NOT(U192)),"Leave not allowed on this day",IF(AND(E192="Manual Work",OR(NOT(ISNUMBER(F192)),NOT(ISNUMBER(G192)))),"Enter start and end",IF(AND(OR(E192="Partial Vacation",E192="Partial Sick Leave"),OR(NOT(ISNUMBER(H192)),NOT(ISNUMBER(I192)))),"Enter leave from and to",IF(AND(ISNUMBER(F192),ISNUMBER(G192),G192&lt;=F192),"End is before start",IF(AND(ISNUMBER(H192),ISNUMBER(I192),I192&lt;=H192),"Leave end is before start",IF(AND(ISNUMBER(F192),ISNUMBER(G192),ISNUMBER(H192),ISNUMBER(I192),F192&lt;I192,H192&lt;G192),"Work and leave hours overlap",IF(AND(E192&lt;&gt;"",WEEKDAY(A192)=7),"Saturday - administrator only","")))))))</f>
        <v/>
      </c>
      <c r="T192" s="36" t="n">
        <f aca="false">MONTH(A192)</f>
        <v>7</v>
      </c>
      <c r="U192" s="37" t="b">
        <f aca="false">OR(C192="Workday",C192="Eve")</f>
        <v>1</v>
      </c>
      <c r="V192" s="34" t="n">
        <f aca="false">IF(C192="Eve",Settings!$B$8,Settings!$B$7)</f>
        <v>0.6875</v>
      </c>
      <c r="W192" s="14" t="n">
        <f aca="false">IF(U192,(V192-Settings!$B$6)*24,0)</f>
        <v>8.5</v>
      </c>
    </row>
    <row r="193" customFormat="false" ht="15" hidden="false" customHeight="false" outlineLevel="0" collapsed="false">
      <c r="A193" s="29" t="n">
        <v>46209</v>
      </c>
      <c r="B193" s="30" t="str">
        <f aca="false">CHOOSE(WEEKDAY(A193),"Sun","Mon","Tue","Wed","Thu","Fri","Sat")</f>
        <v>Mon</v>
      </c>
      <c r="C193" s="30" t="str">
        <f aca="false">IF(IFERROR(INDEX(Holidays!$D$5:$D$60,MATCH(A193,Holidays!$A$5:$A$60,0)),"")="Holiday","Holiday",IF(WEEKDAY(A193)&gt;=6,"Weekend",IF(IFERROR(INDEX(Holidays!$D$5:$D$60,MATCH(A193,Holidays!$A$5:$A$60,0)),"")="Eve","Eve","Workday")))</f>
        <v>Workday</v>
      </c>
      <c r="D193" s="18" t="str">
        <f aca="false">IFERROR(INDEX(Holidays!$C$5:$C$60,MATCH(A193,Holidays!$A$5:$A$60,0)),"")</f>
        <v/>
      </c>
      <c r="E193" s="31"/>
      <c r="F193" s="32"/>
      <c r="G193" s="32"/>
      <c r="H193" s="32"/>
      <c r="I193" s="32"/>
      <c r="J193" s="31"/>
      <c r="K193" s="33" t="str">
        <f aca="false">IF(E193&lt;&gt;"",E193,IF(U193,"Present",IF(C193="Holiday","Holiday","Weekend")))</f>
        <v>Present</v>
      </c>
      <c r="L193" s="34" t="n">
        <f aca="false">IF(OR(K193="Present",K193="Manual Work",K193="Partial Vacation",K193="Partial Sick Leave"),IF(ISNUMBER(F193),F193,IF(AND(K193="Present",U193),Settings!$B$6,"")),"")</f>
        <v>0.333333333333333</v>
      </c>
      <c r="M193" s="34" t="n">
        <f aca="false">IF(OR(K193="Present",K193="Manual Work",K193="Partial Vacation",K193="Partial Sick Leave"),IF(ISNUMBER(G193),G193,IF(AND(K193="Present",U193),V193,"")),"")</f>
        <v>0.6875</v>
      </c>
      <c r="N193" s="14" t="n">
        <f aca="false">IF(AND(ISNUMBER(L193),ISNUMBER(M193)),MAX(0,(M193-L193)*24),0)</f>
        <v>8.5</v>
      </c>
      <c r="O193" s="14" t="n">
        <f aca="false">IF(NOT(U193),0,IF(K193="Vacation",IF(C193="Eve",Settings!$B$9*Settings!$B$11,W193),IF(K193="Partial Vacation",IF(AND(ISNUMBER(H193),ISNUMBER(I193)),MAX(0,(I193-H193)*24),0),0)))</f>
        <v>0</v>
      </c>
      <c r="P193" s="14" t="n">
        <f aca="false">IF(NOT(U193),0,IF(K193="Sick Leave",W193,IF(K193="Partial Sick Leave",IF(AND(ISNUMBER(H193),ISNUMBER(I193)),MAX(0,(I193-H193)*24),0),0)))</f>
        <v>0</v>
      </c>
      <c r="Q193" s="14" t="n">
        <f aca="false">IF(NOT(U193),0,IF(K193="Vacation",IF(C193="Eve",Settings!$B$11,1),IF(K193="Partial Vacation",O193/Settings!$B$9,0)))</f>
        <v>0</v>
      </c>
      <c r="R193" s="14" t="n">
        <f aca="false">IF(NOT(U193),0,IF(K193="Sick Leave",1,IF(K193="Partial Sick Leave",P193/Settings!$B$9,0)))</f>
        <v>0</v>
      </c>
      <c r="S193" s="35" t="str">
        <f aca="false">IF(AND(OR(E193="Vacation",E193="Sick Leave",E193="Partial Vacation",E193="Partial Sick Leave"),NOT(U193)),"Leave not allowed on this day",IF(AND(E193="Manual Work",OR(NOT(ISNUMBER(F193)),NOT(ISNUMBER(G193)))),"Enter start and end",IF(AND(OR(E193="Partial Vacation",E193="Partial Sick Leave"),OR(NOT(ISNUMBER(H193)),NOT(ISNUMBER(I193)))),"Enter leave from and to",IF(AND(ISNUMBER(F193),ISNUMBER(G193),G193&lt;=F193),"End is before start",IF(AND(ISNUMBER(H193),ISNUMBER(I193),I193&lt;=H193),"Leave end is before start",IF(AND(ISNUMBER(F193),ISNUMBER(G193),ISNUMBER(H193),ISNUMBER(I193),F193&lt;I193,H193&lt;G193),"Work and leave hours overlap",IF(AND(E193&lt;&gt;"",WEEKDAY(A193)=7),"Saturday - administrator only","")))))))</f>
        <v/>
      </c>
      <c r="T193" s="36" t="n">
        <f aca="false">MONTH(A193)</f>
        <v>7</v>
      </c>
      <c r="U193" s="37" t="b">
        <f aca="false">OR(C193="Workday",C193="Eve")</f>
        <v>1</v>
      </c>
      <c r="V193" s="34" t="n">
        <f aca="false">IF(C193="Eve",Settings!$B$8,Settings!$B$7)</f>
        <v>0.6875</v>
      </c>
      <c r="W193" s="14" t="n">
        <f aca="false">IF(U193,(V193-Settings!$B$6)*24,0)</f>
        <v>8.5</v>
      </c>
    </row>
    <row r="194" customFormat="false" ht="15" hidden="false" customHeight="false" outlineLevel="0" collapsed="false">
      <c r="A194" s="29" t="n">
        <v>46210</v>
      </c>
      <c r="B194" s="30" t="str">
        <f aca="false">CHOOSE(WEEKDAY(A194),"Sun","Mon","Tue","Wed","Thu","Fri","Sat")</f>
        <v>Tue</v>
      </c>
      <c r="C194" s="30" t="str">
        <f aca="false">IF(IFERROR(INDEX(Holidays!$D$5:$D$60,MATCH(A194,Holidays!$A$5:$A$60,0)),"")="Holiday","Holiday",IF(WEEKDAY(A194)&gt;=6,"Weekend",IF(IFERROR(INDEX(Holidays!$D$5:$D$60,MATCH(A194,Holidays!$A$5:$A$60,0)),"")="Eve","Eve","Workday")))</f>
        <v>Workday</v>
      </c>
      <c r="D194" s="18" t="str">
        <f aca="false">IFERROR(INDEX(Holidays!$C$5:$C$60,MATCH(A194,Holidays!$A$5:$A$60,0)),"")</f>
        <v/>
      </c>
      <c r="E194" s="31"/>
      <c r="F194" s="32"/>
      <c r="G194" s="32"/>
      <c r="H194" s="32"/>
      <c r="I194" s="32"/>
      <c r="J194" s="31"/>
      <c r="K194" s="33" t="str">
        <f aca="false">IF(E194&lt;&gt;"",E194,IF(U194,"Present",IF(C194="Holiday","Holiday","Weekend")))</f>
        <v>Present</v>
      </c>
      <c r="L194" s="34" t="n">
        <f aca="false">IF(OR(K194="Present",K194="Manual Work",K194="Partial Vacation",K194="Partial Sick Leave"),IF(ISNUMBER(F194),F194,IF(AND(K194="Present",U194),Settings!$B$6,"")),"")</f>
        <v>0.333333333333333</v>
      </c>
      <c r="M194" s="34" t="n">
        <f aca="false">IF(OR(K194="Present",K194="Manual Work",K194="Partial Vacation",K194="Partial Sick Leave"),IF(ISNUMBER(G194),G194,IF(AND(K194="Present",U194),V194,"")),"")</f>
        <v>0.6875</v>
      </c>
      <c r="N194" s="14" t="n">
        <f aca="false">IF(AND(ISNUMBER(L194),ISNUMBER(M194)),MAX(0,(M194-L194)*24),0)</f>
        <v>8.5</v>
      </c>
      <c r="O194" s="14" t="n">
        <f aca="false">IF(NOT(U194),0,IF(K194="Vacation",IF(C194="Eve",Settings!$B$9*Settings!$B$11,W194),IF(K194="Partial Vacation",IF(AND(ISNUMBER(H194),ISNUMBER(I194)),MAX(0,(I194-H194)*24),0),0)))</f>
        <v>0</v>
      </c>
      <c r="P194" s="14" t="n">
        <f aca="false">IF(NOT(U194),0,IF(K194="Sick Leave",W194,IF(K194="Partial Sick Leave",IF(AND(ISNUMBER(H194),ISNUMBER(I194)),MAX(0,(I194-H194)*24),0),0)))</f>
        <v>0</v>
      </c>
      <c r="Q194" s="14" t="n">
        <f aca="false">IF(NOT(U194),0,IF(K194="Vacation",IF(C194="Eve",Settings!$B$11,1),IF(K194="Partial Vacation",O194/Settings!$B$9,0)))</f>
        <v>0</v>
      </c>
      <c r="R194" s="14" t="n">
        <f aca="false">IF(NOT(U194),0,IF(K194="Sick Leave",1,IF(K194="Partial Sick Leave",P194/Settings!$B$9,0)))</f>
        <v>0</v>
      </c>
      <c r="S194" s="35" t="str">
        <f aca="false">IF(AND(OR(E194="Vacation",E194="Sick Leave",E194="Partial Vacation",E194="Partial Sick Leave"),NOT(U194)),"Leave not allowed on this day",IF(AND(E194="Manual Work",OR(NOT(ISNUMBER(F194)),NOT(ISNUMBER(G194)))),"Enter start and end",IF(AND(OR(E194="Partial Vacation",E194="Partial Sick Leave"),OR(NOT(ISNUMBER(H194)),NOT(ISNUMBER(I194)))),"Enter leave from and to",IF(AND(ISNUMBER(F194),ISNUMBER(G194),G194&lt;=F194),"End is before start",IF(AND(ISNUMBER(H194),ISNUMBER(I194),I194&lt;=H194),"Leave end is before start",IF(AND(ISNUMBER(F194),ISNUMBER(G194),ISNUMBER(H194),ISNUMBER(I194),F194&lt;I194,H194&lt;G194),"Work and leave hours overlap",IF(AND(E194&lt;&gt;"",WEEKDAY(A194)=7),"Saturday - administrator only","")))))))</f>
        <v/>
      </c>
      <c r="T194" s="36" t="n">
        <f aca="false">MONTH(A194)</f>
        <v>7</v>
      </c>
      <c r="U194" s="37" t="b">
        <f aca="false">OR(C194="Workday",C194="Eve")</f>
        <v>1</v>
      </c>
      <c r="V194" s="34" t="n">
        <f aca="false">IF(C194="Eve",Settings!$B$8,Settings!$B$7)</f>
        <v>0.6875</v>
      </c>
      <c r="W194" s="14" t="n">
        <f aca="false">IF(U194,(V194-Settings!$B$6)*24,0)</f>
        <v>8.5</v>
      </c>
    </row>
    <row r="195" customFormat="false" ht="15" hidden="false" customHeight="false" outlineLevel="0" collapsed="false">
      <c r="A195" s="29" t="n">
        <v>46211</v>
      </c>
      <c r="B195" s="30" t="str">
        <f aca="false">CHOOSE(WEEKDAY(A195),"Sun","Mon","Tue","Wed","Thu","Fri","Sat")</f>
        <v>Wed</v>
      </c>
      <c r="C195" s="30" t="str">
        <f aca="false">IF(IFERROR(INDEX(Holidays!$D$5:$D$60,MATCH(A195,Holidays!$A$5:$A$60,0)),"")="Holiday","Holiday",IF(WEEKDAY(A195)&gt;=6,"Weekend",IF(IFERROR(INDEX(Holidays!$D$5:$D$60,MATCH(A195,Holidays!$A$5:$A$60,0)),"")="Eve","Eve","Workday")))</f>
        <v>Workday</v>
      </c>
      <c r="D195" s="18" t="str">
        <f aca="false">IFERROR(INDEX(Holidays!$C$5:$C$60,MATCH(A195,Holidays!$A$5:$A$60,0)),"")</f>
        <v/>
      </c>
      <c r="E195" s="31"/>
      <c r="F195" s="32"/>
      <c r="G195" s="32"/>
      <c r="H195" s="32"/>
      <c r="I195" s="32"/>
      <c r="J195" s="31"/>
      <c r="K195" s="33" t="str">
        <f aca="false">IF(E195&lt;&gt;"",E195,IF(U195,"Present",IF(C195="Holiday","Holiday","Weekend")))</f>
        <v>Present</v>
      </c>
      <c r="L195" s="34" t="n">
        <f aca="false">IF(OR(K195="Present",K195="Manual Work",K195="Partial Vacation",K195="Partial Sick Leave"),IF(ISNUMBER(F195),F195,IF(AND(K195="Present",U195),Settings!$B$6,"")),"")</f>
        <v>0.333333333333333</v>
      </c>
      <c r="M195" s="34" t="n">
        <f aca="false">IF(OR(K195="Present",K195="Manual Work",K195="Partial Vacation",K195="Partial Sick Leave"),IF(ISNUMBER(G195),G195,IF(AND(K195="Present",U195),V195,"")),"")</f>
        <v>0.6875</v>
      </c>
      <c r="N195" s="14" t="n">
        <f aca="false">IF(AND(ISNUMBER(L195),ISNUMBER(M195)),MAX(0,(M195-L195)*24),0)</f>
        <v>8.5</v>
      </c>
      <c r="O195" s="14" t="n">
        <f aca="false">IF(NOT(U195),0,IF(K195="Vacation",IF(C195="Eve",Settings!$B$9*Settings!$B$11,W195),IF(K195="Partial Vacation",IF(AND(ISNUMBER(H195),ISNUMBER(I195)),MAX(0,(I195-H195)*24),0),0)))</f>
        <v>0</v>
      </c>
      <c r="P195" s="14" t="n">
        <f aca="false">IF(NOT(U195),0,IF(K195="Sick Leave",W195,IF(K195="Partial Sick Leave",IF(AND(ISNUMBER(H195),ISNUMBER(I195)),MAX(0,(I195-H195)*24),0),0)))</f>
        <v>0</v>
      </c>
      <c r="Q195" s="14" t="n">
        <f aca="false">IF(NOT(U195),0,IF(K195="Vacation",IF(C195="Eve",Settings!$B$11,1),IF(K195="Partial Vacation",O195/Settings!$B$9,0)))</f>
        <v>0</v>
      </c>
      <c r="R195" s="14" t="n">
        <f aca="false">IF(NOT(U195),0,IF(K195="Sick Leave",1,IF(K195="Partial Sick Leave",P195/Settings!$B$9,0)))</f>
        <v>0</v>
      </c>
      <c r="S195" s="35" t="str">
        <f aca="false">IF(AND(OR(E195="Vacation",E195="Sick Leave",E195="Partial Vacation",E195="Partial Sick Leave"),NOT(U195)),"Leave not allowed on this day",IF(AND(E195="Manual Work",OR(NOT(ISNUMBER(F195)),NOT(ISNUMBER(G195)))),"Enter start and end",IF(AND(OR(E195="Partial Vacation",E195="Partial Sick Leave"),OR(NOT(ISNUMBER(H195)),NOT(ISNUMBER(I195)))),"Enter leave from and to",IF(AND(ISNUMBER(F195),ISNUMBER(G195),G195&lt;=F195),"End is before start",IF(AND(ISNUMBER(H195),ISNUMBER(I195),I195&lt;=H195),"Leave end is before start",IF(AND(ISNUMBER(F195),ISNUMBER(G195),ISNUMBER(H195),ISNUMBER(I195),F195&lt;I195,H195&lt;G195),"Work and leave hours overlap",IF(AND(E195&lt;&gt;"",WEEKDAY(A195)=7),"Saturday - administrator only","")))))))</f>
        <v/>
      </c>
      <c r="T195" s="36" t="n">
        <f aca="false">MONTH(A195)</f>
        <v>7</v>
      </c>
      <c r="U195" s="37" t="b">
        <f aca="false">OR(C195="Workday",C195="Eve")</f>
        <v>1</v>
      </c>
      <c r="V195" s="34" t="n">
        <f aca="false">IF(C195="Eve",Settings!$B$8,Settings!$B$7)</f>
        <v>0.6875</v>
      </c>
      <c r="W195" s="14" t="n">
        <f aca="false">IF(U195,(V195-Settings!$B$6)*24,0)</f>
        <v>8.5</v>
      </c>
    </row>
    <row r="196" customFormat="false" ht="15" hidden="false" customHeight="false" outlineLevel="0" collapsed="false">
      <c r="A196" s="29" t="n">
        <v>46212</v>
      </c>
      <c r="B196" s="30" t="str">
        <f aca="false">CHOOSE(WEEKDAY(A196),"Sun","Mon","Tue","Wed","Thu","Fri","Sat")</f>
        <v>Thu</v>
      </c>
      <c r="C196" s="30" t="str">
        <f aca="false">IF(IFERROR(INDEX(Holidays!$D$5:$D$60,MATCH(A196,Holidays!$A$5:$A$60,0)),"")="Holiday","Holiday",IF(WEEKDAY(A196)&gt;=6,"Weekend",IF(IFERROR(INDEX(Holidays!$D$5:$D$60,MATCH(A196,Holidays!$A$5:$A$60,0)),"")="Eve","Eve","Workday")))</f>
        <v>Workday</v>
      </c>
      <c r="D196" s="18" t="str">
        <f aca="false">IFERROR(INDEX(Holidays!$C$5:$C$60,MATCH(A196,Holidays!$A$5:$A$60,0)),"")</f>
        <v/>
      </c>
      <c r="E196" s="31"/>
      <c r="F196" s="32"/>
      <c r="G196" s="32"/>
      <c r="H196" s="32"/>
      <c r="I196" s="32"/>
      <c r="J196" s="31"/>
      <c r="K196" s="33" t="str">
        <f aca="false">IF(E196&lt;&gt;"",E196,IF(U196,"Present",IF(C196="Holiday","Holiday","Weekend")))</f>
        <v>Present</v>
      </c>
      <c r="L196" s="34" t="n">
        <f aca="false">IF(OR(K196="Present",K196="Manual Work",K196="Partial Vacation",K196="Partial Sick Leave"),IF(ISNUMBER(F196),F196,IF(AND(K196="Present",U196),Settings!$B$6,"")),"")</f>
        <v>0.333333333333333</v>
      </c>
      <c r="M196" s="34" t="n">
        <f aca="false">IF(OR(K196="Present",K196="Manual Work",K196="Partial Vacation",K196="Partial Sick Leave"),IF(ISNUMBER(G196),G196,IF(AND(K196="Present",U196),V196,"")),"")</f>
        <v>0.6875</v>
      </c>
      <c r="N196" s="14" t="n">
        <f aca="false">IF(AND(ISNUMBER(L196),ISNUMBER(M196)),MAX(0,(M196-L196)*24),0)</f>
        <v>8.5</v>
      </c>
      <c r="O196" s="14" t="n">
        <f aca="false">IF(NOT(U196),0,IF(K196="Vacation",IF(C196="Eve",Settings!$B$9*Settings!$B$11,W196),IF(K196="Partial Vacation",IF(AND(ISNUMBER(H196),ISNUMBER(I196)),MAX(0,(I196-H196)*24),0),0)))</f>
        <v>0</v>
      </c>
      <c r="P196" s="14" t="n">
        <f aca="false">IF(NOT(U196),0,IF(K196="Sick Leave",W196,IF(K196="Partial Sick Leave",IF(AND(ISNUMBER(H196),ISNUMBER(I196)),MAX(0,(I196-H196)*24),0),0)))</f>
        <v>0</v>
      </c>
      <c r="Q196" s="14" t="n">
        <f aca="false">IF(NOT(U196),0,IF(K196="Vacation",IF(C196="Eve",Settings!$B$11,1),IF(K196="Partial Vacation",O196/Settings!$B$9,0)))</f>
        <v>0</v>
      </c>
      <c r="R196" s="14" t="n">
        <f aca="false">IF(NOT(U196),0,IF(K196="Sick Leave",1,IF(K196="Partial Sick Leave",P196/Settings!$B$9,0)))</f>
        <v>0</v>
      </c>
      <c r="S196" s="35" t="str">
        <f aca="false">IF(AND(OR(E196="Vacation",E196="Sick Leave",E196="Partial Vacation",E196="Partial Sick Leave"),NOT(U196)),"Leave not allowed on this day",IF(AND(E196="Manual Work",OR(NOT(ISNUMBER(F196)),NOT(ISNUMBER(G196)))),"Enter start and end",IF(AND(OR(E196="Partial Vacation",E196="Partial Sick Leave"),OR(NOT(ISNUMBER(H196)),NOT(ISNUMBER(I196)))),"Enter leave from and to",IF(AND(ISNUMBER(F196),ISNUMBER(G196),G196&lt;=F196),"End is before start",IF(AND(ISNUMBER(H196),ISNUMBER(I196),I196&lt;=H196),"Leave end is before start",IF(AND(ISNUMBER(F196),ISNUMBER(G196),ISNUMBER(H196),ISNUMBER(I196),F196&lt;I196,H196&lt;G196),"Work and leave hours overlap",IF(AND(E196&lt;&gt;"",WEEKDAY(A196)=7),"Saturday - administrator only","")))))))</f>
        <v/>
      </c>
      <c r="T196" s="36" t="n">
        <f aca="false">MONTH(A196)</f>
        <v>7</v>
      </c>
      <c r="U196" s="37" t="b">
        <f aca="false">OR(C196="Workday",C196="Eve")</f>
        <v>1</v>
      </c>
      <c r="V196" s="34" t="n">
        <f aca="false">IF(C196="Eve",Settings!$B$8,Settings!$B$7)</f>
        <v>0.6875</v>
      </c>
      <c r="W196" s="14" t="n">
        <f aca="false">IF(U196,(V196-Settings!$B$6)*24,0)</f>
        <v>8.5</v>
      </c>
    </row>
    <row r="197" customFormat="false" ht="15" hidden="false" customHeight="false" outlineLevel="0" collapsed="false">
      <c r="A197" s="29" t="n">
        <v>46213</v>
      </c>
      <c r="B197" s="30" t="str">
        <f aca="false">CHOOSE(WEEKDAY(A197),"Sun","Mon","Tue","Wed","Thu","Fri","Sat")</f>
        <v>Fri</v>
      </c>
      <c r="C197" s="30" t="str">
        <f aca="false">IF(IFERROR(INDEX(Holidays!$D$5:$D$60,MATCH(A197,Holidays!$A$5:$A$60,0)),"")="Holiday","Holiday",IF(WEEKDAY(A197)&gt;=6,"Weekend",IF(IFERROR(INDEX(Holidays!$D$5:$D$60,MATCH(A197,Holidays!$A$5:$A$60,0)),"")="Eve","Eve","Workday")))</f>
        <v>Weekend</v>
      </c>
      <c r="D197" s="18" t="str">
        <f aca="false">IFERROR(INDEX(Holidays!$C$5:$C$60,MATCH(A197,Holidays!$A$5:$A$60,0)),"")</f>
        <v/>
      </c>
      <c r="E197" s="31"/>
      <c r="F197" s="32"/>
      <c r="G197" s="32"/>
      <c r="H197" s="32"/>
      <c r="I197" s="32"/>
      <c r="J197" s="31"/>
      <c r="K197" s="33" t="str">
        <f aca="false">IF(E197&lt;&gt;"",E197,IF(U197,"Present",IF(C197="Holiday","Holiday","Weekend")))</f>
        <v>Weekend</v>
      </c>
      <c r="L197" s="34" t="str">
        <f aca="false">IF(OR(K197="Present",K197="Manual Work",K197="Partial Vacation",K197="Partial Sick Leave"),IF(ISNUMBER(F197),F197,IF(AND(K197="Present",U197),Settings!$B$6,"")),"")</f>
        <v/>
      </c>
      <c r="M197" s="34" t="str">
        <f aca="false">IF(OR(K197="Present",K197="Manual Work",K197="Partial Vacation",K197="Partial Sick Leave"),IF(ISNUMBER(G197),G197,IF(AND(K197="Present",U197),V197,"")),"")</f>
        <v/>
      </c>
      <c r="N197" s="14" t="n">
        <f aca="false">IF(AND(ISNUMBER(L197),ISNUMBER(M197)),MAX(0,(M197-L197)*24),0)</f>
        <v>0</v>
      </c>
      <c r="O197" s="14" t="n">
        <f aca="false">IF(NOT(U197),0,IF(K197="Vacation",IF(C197="Eve",Settings!$B$9*Settings!$B$11,W197),IF(K197="Partial Vacation",IF(AND(ISNUMBER(H197),ISNUMBER(I197)),MAX(0,(I197-H197)*24),0),0)))</f>
        <v>0</v>
      </c>
      <c r="P197" s="14" t="n">
        <f aca="false">IF(NOT(U197),0,IF(K197="Sick Leave",W197,IF(K197="Partial Sick Leave",IF(AND(ISNUMBER(H197),ISNUMBER(I197)),MAX(0,(I197-H197)*24),0),0)))</f>
        <v>0</v>
      </c>
      <c r="Q197" s="14" t="n">
        <f aca="false">IF(NOT(U197),0,IF(K197="Vacation",IF(C197="Eve",Settings!$B$11,1),IF(K197="Partial Vacation",O197/Settings!$B$9,0)))</f>
        <v>0</v>
      </c>
      <c r="R197" s="14" t="n">
        <f aca="false">IF(NOT(U197),0,IF(K197="Sick Leave",1,IF(K197="Partial Sick Leave",P197/Settings!$B$9,0)))</f>
        <v>0</v>
      </c>
      <c r="S197" s="35" t="str">
        <f aca="false">IF(AND(OR(E197="Vacation",E197="Sick Leave",E197="Partial Vacation",E197="Partial Sick Leave"),NOT(U197)),"Leave not allowed on this day",IF(AND(E197="Manual Work",OR(NOT(ISNUMBER(F197)),NOT(ISNUMBER(G197)))),"Enter start and end",IF(AND(OR(E197="Partial Vacation",E197="Partial Sick Leave"),OR(NOT(ISNUMBER(H197)),NOT(ISNUMBER(I197)))),"Enter leave from and to",IF(AND(ISNUMBER(F197),ISNUMBER(G197),G197&lt;=F197),"End is before start",IF(AND(ISNUMBER(H197),ISNUMBER(I197),I197&lt;=H197),"Leave end is before start",IF(AND(ISNUMBER(F197),ISNUMBER(G197),ISNUMBER(H197),ISNUMBER(I197),F197&lt;I197,H197&lt;G197),"Work and leave hours overlap",IF(AND(E197&lt;&gt;"",WEEKDAY(A197)=7),"Saturday - administrator only","")))))))</f>
        <v/>
      </c>
      <c r="T197" s="36" t="n">
        <f aca="false">MONTH(A197)</f>
        <v>7</v>
      </c>
      <c r="U197" s="37" t="b">
        <f aca="false">OR(C197="Workday",C197="Eve")</f>
        <v>0</v>
      </c>
      <c r="V197" s="34" t="n">
        <f aca="false">IF(C197="Eve",Settings!$B$8,Settings!$B$7)</f>
        <v>0.6875</v>
      </c>
      <c r="W197" s="14" t="n">
        <f aca="false">IF(U197,(V197-Settings!$B$6)*24,0)</f>
        <v>0</v>
      </c>
    </row>
    <row r="198" customFormat="false" ht="15" hidden="false" customHeight="false" outlineLevel="0" collapsed="false">
      <c r="A198" s="29" t="n">
        <v>46214</v>
      </c>
      <c r="B198" s="30" t="str">
        <f aca="false">CHOOSE(WEEKDAY(A198),"Sun","Mon","Tue","Wed","Thu","Fri","Sat")</f>
        <v>Sat</v>
      </c>
      <c r="C198" s="30" t="str">
        <f aca="false">IF(IFERROR(INDEX(Holidays!$D$5:$D$60,MATCH(A198,Holidays!$A$5:$A$60,0)),"")="Holiday","Holiday",IF(WEEKDAY(A198)&gt;=6,"Weekend",IF(IFERROR(INDEX(Holidays!$D$5:$D$60,MATCH(A198,Holidays!$A$5:$A$60,0)),"")="Eve","Eve","Workday")))</f>
        <v>Weekend</v>
      </c>
      <c r="D198" s="18" t="str">
        <f aca="false">IFERROR(INDEX(Holidays!$C$5:$C$60,MATCH(A198,Holidays!$A$5:$A$60,0)),"")</f>
        <v/>
      </c>
      <c r="E198" s="31"/>
      <c r="F198" s="32"/>
      <c r="G198" s="32"/>
      <c r="H198" s="32"/>
      <c r="I198" s="32"/>
      <c r="J198" s="31"/>
      <c r="K198" s="33" t="str">
        <f aca="false">IF(E198&lt;&gt;"",E198,IF(U198,"Present",IF(C198="Holiday","Holiday","Weekend")))</f>
        <v>Weekend</v>
      </c>
      <c r="L198" s="34" t="str">
        <f aca="false">IF(OR(K198="Present",K198="Manual Work",K198="Partial Vacation",K198="Partial Sick Leave"),IF(ISNUMBER(F198),F198,IF(AND(K198="Present",U198),Settings!$B$6,"")),"")</f>
        <v/>
      </c>
      <c r="M198" s="34" t="str">
        <f aca="false">IF(OR(K198="Present",K198="Manual Work",K198="Partial Vacation",K198="Partial Sick Leave"),IF(ISNUMBER(G198),G198,IF(AND(K198="Present",U198),V198,"")),"")</f>
        <v/>
      </c>
      <c r="N198" s="14" t="n">
        <f aca="false">IF(AND(ISNUMBER(L198),ISNUMBER(M198)),MAX(0,(M198-L198)*24),0)</f>
        <v>0</v>
      </c>
      <c r="O198" s="14" t="n">
        <f aca="false">IF(NOT(U198),0,IF(K198="Vacation",IF(C198="Eve",Settings!$B$9*Settings!$B$11,W198),IF(K198="Partial Vacation",IF(AND(ISNUMBER(H198),ISNUMBER(I198)),MAX(0,(I198-H198)*24),0),0)))</f>
        <v>0</v>
      </c>
      <c r="P198" s="14" t="n">
        <f aca="false">IF(NOT(U198),0,IF(K198="Sick Leave",W198,IF(K198="Partial Sick Leave",IF(AND(ISNUMBER(H198),ISNUMBER(I198)),MAX(0,(I198-H198)*24),0),0)))</f>
        <v>0</v>
      </c>
      <c r="Q198" s="14" t="n">
        <f aca="false">IF(NOT(U198),0,IF(K198="Vacation",IF(C198="Eve",Settings!$B$11,1),IF(K198="Partial Vacation",O198/Settings!$B$9,0)))</f>
        <v>0</v>
      </c>
      <c r="R198" s="14" t="n">
        <f aca="false">IF(NOT(U198),0,IF(K198="Sick Leave",1,IF(K198="Partial Sick Leave",P198/Settings!$B$9,0)))</f>
        <v>0</v>
      </c>
      <c r="S198" s="35" t="str">
        <f aca="false">IF(AND(OR(E198="Vacation",E198="Sick Leave",E198="Partial Vacation",E198="Partial Sick Leave"),NOT(U198)),"Leave not allowed on this day",IF(AND(E198="Manual Work",OR(NOT(ISNUMBER(F198)),NOT(ISNUMBER(G198)))),"Enter start and end",IF(AND(OR(E198="Partial Vacation",E198="Partial Sick Leave"),OR(NOT(ISNUMBER(H198)),NOT(ISNUMBER(I198)))),"Enter leave from and to",IF(AND(ISNUMBER(F198),ISNUMBER(G198),G198&lt;=F198),"End is before start",IF(AND(ISNUMBER(H198),ISNUMBER(I198),I198&lt;=H198),"Leave end is before start",IF(AND(ISNUMBER(F198),ISNUMBER(G198),ISNUMBER(H198),ISNUMBER(I198),F198&lt;I198,H198&lt;G198),"Work and leave hours overlap",IF(AND(E198&lt;&gt;"",WEEKDAY(A198)=7),"Saturday - administrator only","")))))))</f>
        <v/>
      </c>
      <c r="T198" s="36" t="n">
        <f aca="false">MONTH(A198)</f>
        <v>7</v>
      </c>
      <c r="U198" s="37" t="b">
        <f aca="false">OR(C198="Workday",C198="Eve")</f>
        <v>0</v>
      </c>
      <c r="V198" s="34" t="n">
        <f aca="false">IF(C198="Eve",Settings!$B$8,Settings!$B$7)</f>
        <v>0.6875</v>
      </c>
      <c r="W198" s="14" t="n">
        <f aca="false">IF(U198,(V198-Settings!$B$6)*24,0)</f>
        <v>0</v>
      </c>
    </row>
    <row r="199" customFormat="false" ht="15" hidden="false" customHeight="false" outlineLevel="0" collapsed="false">
      <c r="A199" s="29" t="n">
        <v>46215</v>
      </c>
      <c r="B199" s="30" t="str">
        <f aca="false">CHOOSE(WEEKDAY(A199),"Sun","Mon","Tue","Wed","Thu","Fri","Sat")</f>
        <v>Sun</v>
      </c>
      <c r="C199" s="30" t="str">
        <f aca="false">IF(IFERROR(INDEX(Holidays!$D$5:$D$60,MATCH(A199,Holidays!$A$5:$A$60,0)),"")="Holiday","Holiday",IF(WEEKDAY(A199)&gt;=6,"Weekend",IF(IFERROR(INDEX(Holidays!$D$5:$D$60,MATCH(A199,Holidays!$A$5:$A$60,0)),"")="Eve","Eve","Workday")))</f>
        <v>Workday</v>
      </c>
      <c r="D199" s="18" t="str">
        <f aca="false">IFERROR(INDEX(Holidays!$C$5:$C$60,MATCH(A199,Holidays!$A$5:$A$60,0)),"")</f>
        <v/>
      </c>
      <c r="E199" s="31"/>
      <c r="F199" s="32"/>
      <c r="G199" s="32"/>
      <c r="H199" s="32"/>
      <c r="I199" s="32"/>
      <c r="J199" s="31"/>
      <c r="K199" s="33" t="str">
        <f aca="false">IF(E199&lt;&gt;"",E199,IF(U199,"Present",IF(C199="Holiday","Holiday","Weekend")))</f>
        <v>Present</v>
      </c>
      <c r="L199" s="34" t="n">
        <f aca="false">IF(OR(K199="Present",K199="Manual Work",K199="Partial Vacation",K199="Partial Sick Leave"),IF(ISNUMBER(F199),F199,IF(AND(K199="Present",U199),Settings!$B$6,"")),"")</f>
        <v>0.333333333333333</v>
      </c>
      <c r="M199" s="34" t="n">
        <f aca="false">IF(OR(K199="Present",K199="Manual Work",K199="Partial Vacation",K199="Partial Sick Leave"),IF(ISNUMBER(G199),G199,IF(AND(K199="Present",U199),V199,"")),"")</f>
        <v>0.6875</v>
      </c>
      <c r="N199" s="14" t="n">
        <f aca="false">IF(AND(ISNUMBER(L199),ISNUMBER(M199)),MAX(0,(M199-L199)*24),0)</f>
        <v>8.5</v>
      </c>
      <c r="O199" s="14" t="n">
        <f aca="false">IF(NOT(U199),0,IF(K199="Vacation",IF(C199="Eve",Settings!$B$9*Settings!$B$11,W199),IF(K199="Partial Vacation",IF(AND(ISNUMBER(H199),ISNUMBER(I199)),MAX(0,(I199-H199)*24),0),0)))</f>
        <v>0</v>
      </c>
      <c r="P199" s="14" t="n">
        <f aca="false">IF(NOT(U199),0,IF(K199="Sick Leave",W199,IF(K199="Partial Sick Leave",IF(AND(ISNUMBER(H199),ISNUMBER(I199)),MAX(0,(I199-H199)*24),0),0)))</f>
        <v>0</v>
      </c>
      <c r="Q199" s="14" t="n">
        <f aca="false">IF(NOT(U199),0,IF(K199="Vacation",IF(C199="Eve",Settings!$B$11,1),IF(K199="Partial Vacation",O199/Settings!$B$9,0)))</f>
        <v>0</v>
      </c>
      <c r="R199" s="14" t="n">
        <f aca="false">IF(NOT(U199),0,IF(K199="Sick Leave",1,IF(K199="Partial Sick Leave",P199/Settings!$B$9,0)))</f>
        <v>0</v>
      </c>
      <c r="S199" s="35" t="str">
        <f aca="false">IF(AND(OR(E199="Vacation",E199="Sick Leave",E199="Partial Vacation",E199="Partial Sick Leave"),NOT(U199)),"Leave not allowed on this day",IF(AND(E199="Manual Work",OR(NOT(ISNUMBER(F199)),NOT(ISNUMBER(G199)))),"Enter start and end",IF(AND(OR(E199="Partial Vacation",E199="Partial Sick Leave"),OR(NOT(ISNUMBER(H199)),NOT(ISNUMBER(I199)))),"Enter leave from and to",IF(AND(ISNUMBER(F199),ISNUMBER(G199),G199&lt;=F199),"End is before start",IF(AND(ISNUMBER(H199),ISNUMBER(I199),I199&lt;=H199),"Leave end is before start",IF(AND(ISNUMBER(F199),ISNUMBER(G199),ISNUMBER(H199),ISNUMBER(I199),F199&lt;I199,H199&lt;G199),"Work and leave hours overlap",IF(AND(E199&lt;&gt;"",WEEKDAY(A199)=7),"Saturday - administrator only","")))))))</f>
        <v/>
      </c>
      <c r="T199" s="36" t="n">
        <f aca="false">MONTH(A199)</f>
        <v>7</v>
      </c>
      <c r="U199" s="37" t="b">
        <f aca="false">OR(C199="Workday",C199="Eve")</f>
        <v>1</v>
      </c>
      <c r="V199" s="34" t="n">
        <f aca="false">IF(C199="Eve",Settings!$B$8,Settings!$B$7)</f>
        <v>0.6875</v>
      </c>
      <c r="W199" s="14" t="n">
        <f aca="false">IF(U199,(V199-Settings!$B$6)*24,0)</f>
        <v>8.5</v>
      </c>
    </row>
    <row r="200" customFormat="false" ht="15" hidden="false" customHeight="false" outlineLevel="0" collapsed="false">
      <c r="A200" s="29" t="n">
        <v>46216</v>
      </c>
      <c r="B200" s="30" t="str">
        <f aca="false">CHOOSE(WEEKDAY(A200),"Sun","Mon","Tue","Wed","Thu","Fri","Sat")</f>
        <v>Mon</v>
      </c>
      <c r="C200" s="30" t="str">
        <f aca="false">IF(IFERROR(INDEX(Holidays!$D$5:$D$60,MATCH(A200,Holidays!$A$5:$A$60,0)),"")="Holiday","Holiday",IF(WEEKDAY(A200)&gt;=6,"Weekend",IF(IFERROR(INDEX(Holidays!$D$5:$D$60,MATCH(A200,Holidays!$A$5:$A$60,0)),"")="Eve","Eve","Workday")))</f>
        <v>Workday</v>
      </c>
      <c r="D200" s="18" t="str">
        <f aca="false">IFERROR(INDEX(Holidays!$C$5:$C$60,MATCH(A200,Holidays!$A$5:$A$60,0)),"")</f>
        <v/>
      </c>
      <c r="E200" s="31"/>
      <c r="F200" s="32"/>
      <c r="G200" s="32"/>
      <c r="H200" s="32"/>
      <c r="I200" s="32"/>
      <c r="J200" s="31"/>
      <c r="K200" s="33" t="str">
        <f aca="false">IF(E200&lt;&gt;"",E200,IF(U200,"Present",IF(C200="Holiday","Holiday","Weekend")))</f>
        <v>Present</v>
      </c>
      <c r="L200" s="34" t="n">
        <f aca="false">IF(OR(K200="Present",K200="Manual Work",K200="Partial Vacation",K200="Partial Sick Leave"),IF(ISNUMBER(F200),F200,IF(AND(K200="Present",U200),Settings!$B$6,"")),"")</f>
        <v>0.333333333333333</v>
      </c>
      <c r="M200" s="34" t="n">
        <f aca="false">IF(OR(K200="Present",K200="Manual Work",K200="Partial Vacation",K200="Partial Sick Leave"),IF(ISNUMBER(G200),G200,IF(AND(K200="Present",U200),V200,"")),"")</f>
        <v>0.6875</v>
      </c>
      <c r="N200" s="14" t="n">
        <f aca="false">IF(AND(ISNUMBER(L200),ISNUMBER(M200)),MAX(0,(M200-L200)*24),0)</f>
        <v>8.5</v>
      </c>
      <c r="O200" s="14" t="n">
        <f aca="false">IF(NOT(U200),0,IF(K200="Vacation",IF(C200="Eve",Settings!$B$9*Settings!$B$11,W200),IF(K200="Partial Vacation",IF(AND(ISNUMBER(H200),ISNUMBER(I200)),MAX(0,(I200-H200)*24),0),0)))</f>
        <v>0</v>
      </c>
      <c r="P200" s="14" t="n">
        <f aca="false">IF(NOT(U200),0,IF(K200="Sick Leave",W200,IF(K200="Partial Sick Leave",IF(AND(ISNUMBER(H200),ISNUMBER(I200)),MAX(0,(I200-H200)*24),0),0)))</f>
        <v>0</v>
      </c>
      <c r="Q200" s="14" t="n">
        <f aca="false">IF(NOT(U200),0,IF(K200="Vacation",IF(C200="Eve",Settings!$B$11,1),IF(K200="Partial Vacation",O200/Settings!$B$9,0)))</f>
        <v>0</v>
      </c>
      <c r="R200" s="14" t="n">
        <f aca="false">IF(NOT(U200),0,IF(K200="Sick Leave",1,IF(K200="Partial Sick Leave",P200/Settings!$B$9,0)))</f>
        <v>0</v>
      </c>
      <c r="S200" s="35" t="str">
        <f aca="false">IF(AND(OR(E200="Vacation",E200="Sick Leave",E200="Partial Vacation",E200="Partial Sick Leave"),NOT(U200)),"Leave not allowed on this day",IF(AND(E200="Manual Work",OR(NOT(ISNUMBER(F200)),NOT(ISNUMBER(G200)))),"Enter start and end",IF(AND(OR(E200="Partial Vacation",E200="Partial Sick Leave"),OR(NOT(ISNUMBER(H200)),NOT(ISNUMBER(I200)))),"Enter leave from and to",IF(AND(ISNUMBER(F200),ISNUMBER(G200),G200&lt;=F200),"End is before start",IF(AND(ISNUMBER(H200),ISNUMBER(I200),I200&lt;=H200),"Leave end is before start",IF(AND(ISNUMBER(F200),ISNUMBER(G200),ISNUMBER(H200),ISNUMBER(I200),F200&lt;I200,H200&lt;G200),"Work and leave hours overlap",IF(AND(E200&lt;&gt;"",WEEKDAY(A200)=7),"Saturday - administrator only","")))))))</f>
        <v/>
      </c>
      <c r="T200" s="36" t="n">
        <f aca="false">MONTH(A200)</f>
        <v>7</v>
      </c>
      <c r="U200" s="37" t="b">
        <f aca="false">OR(C200="Workday",C200="Eve")</f>
        <v>1</v>
      </c>
      <c r="V200" s="34" t="n">
        <f aca="false">IF(C200="Eve",Settings!$B$8,Settings!$B$7)</f>
        <v>0.6875</v>
      </c>
      <c r="W200" s="14" t="n">
        <f aca="false">IF(U200,(V200-Settings!$B$6)*24,0)</f>
        <v>8.5</v>
      </c>
    </row>
    <row r="201" customFormat="false" ht="15" hidden="false" customHeight="false" outlineLevel="0" collapsed="false">
      <c r="A201" s="29" t="n">
        <v>46217</v>
      </c>
      <c r="B201" s="30" t="str">
        <f aca="false">CHOOSE(WEEKDAY(A201),"Sun","Mon","Tue","Wed","Thu","Fri","Sat")</f>
        <v>Tue</v>
      </c>
      <c r="C201" s="30" t="str">
        <f aca="false">IF(IFERROR(INDEX(Holidays!$D$5:$D$60,MATCH(A201,Holidays!$A$5:$A$60,0)),"")="Holiday","Holiday",IF(WEEKDAY(A201)&gt;=6,"Weekend",IF(IFERROR(INDEX(Holidays!$D$5:$D$60,MATCH(A201,Holidays!$A$5:$A$60,0)),"")="Eve","Eve","Workday")))</f>
        <v>Workday</v>
      </c>
      <c r="D201" s="18" t="str">
        <f aca="false">IFERROR(INDEX(Holidays!$C$5:$C$60,MATCH(A201,Holidays!$A$5:$A$60,0)),"")</f>
        <v/>
      </c>
      <c r="E201" s="31"/>
      <c r="F201" s="32"/>
      <c r="G201" s="32"/>
      <c r="H201" s="32"/>
      <c r="I201" s="32"/>
      <c r="J201" s="31"/>
      <c r="K201" s="33" t="str">
        <f aca="false">IF(E201&lt;&gt;"",E201,IF(U201,"Present",IF(C201="Holiday","Holiday","Weekend")))</f>
        <v>Present</v>
      </c>
      <c r="L201" s="34" t="n">
        <f aca="false">IF(OR(K201="Present",K201="Manual Work",K201="Partial Vacation",K201="Partial Sick Leave"),IF(ISNUMBER(F201),F201,IF(AND(K201="Present",U201),Settings!$B$6,"")),"")</f>
        <v>0.333333333333333</v>
      </c>
      <c r="M201" s="34" t="n">
        <f aca="false">IF(OR(K201="Present",K201="Manual Work",K201="Partial Vacation",K201="Partial Sick Leave"),IF(ISNUMBER(G201),G201,IF(AND(K201="Present",U201),V201,"")),"")</f>
        <v>0.6875</v>
      </c>
      <c r="N201" s="14" t="n">
        <f aca="false">IF(AND(ISNUMBER(L201),ISNUMBER(M201)),MAX(0,(M201-L201)*24),0)</f>
        <v>8.5</v>
      </c>
      <c r="O201" s="14" t="n">
        <f aca="false">IF(NOT(U201),0,IF(K201="Vacation",IF(C201="Eve",Settings!$B$9*Settings!$B$11,W201),IF(K201="Partial Vacation",IF(AND(ISNUMBER(H201),ISNUMBER(I201)),MAX(0,(I201-H201)*24),0),0)))</f>
        <v>0</v>
      </c>
      <c r="P201" s="14" t="n">
        <f aca="false">IF(NOT(U201),0,IF(K201="Sick Leave",W201,IF(K201="Partial Sick Leave",IF(AND(ISNUMBER(H201),ISNUMBER(I201)),MAX(0,(I201-H201)*24),0),0)))</f>
        <v>0</v>
      </c>
      <c r="Q201" s="14" t="n">
        <f aca="false">IF(NOT(U201),0,IF(K201="Vacation",IF(C201="Eve",Settings!$B$11,1),IF(K201="Partial Vacation",O201/Settings!$B$9,0)))</f>
        <v>0</v>
      </c>
      <c r="R201" s="14" t="n">
        <f aca="false">IF(NOT(U201),0,IF(K201="Sick Leave",1,IF(K201="Partial Sick Leave",P201/Settings!$B$9,0)))</f>
        <v>0</v>
      </c>
      <c r="S201" s="35" t="str">
        <f aca="false">IF(AND(OR(E201="Vacation",E201="Sick Leave",E201="Partial Vacation",E201="Partial Sick Leave"),NOT(U201)),"Leave not allowed on this day",IF(AND(E201="Manual Work",OR(NOT(ISNUMBER(F201)),NOT(ISNUMBER(G201)))),"Enter start and end",IF(AND(OR(E201="Partial Vacation",E201="Partial Sick Leave"),OR(NOT(ISNUMBER(H201)),NOT(ISNUMBER(I201)))),"Enter leave from and to",IF(AND(ISNUMBER(F201),ISNUMBER(G201),G201&lt;=F201),"End is before start",IF(AND(ISNUMBER(H201),ISNUMBER(I201),I201&lt;=H201),"Leave end is before start",IF(AND(ISNUMBER(F201),ISNUMBER(G201),ISNUMBER(H201),ISNUMBER(I201),F201&lt;I201,H201&lt;G201),"Work and leave hours overlap",IF(AND(E201&lt;&gt;"",WEEKDAY(A201)=7),"Saturday - administrator only","")))))))</f>
        <v/>
      </c>
      <c r="T201" s="36" t="n">
        <f aca="false">MONTH(A201)</f>
        <v>7</v>
      </c>
      <c r="U201" s="37" t="b">
        <f aca="false">OR(C201="Workday",C201="Eve")</f>
        <v>1</v>
      </c>
      <c r="V201" s="34" t="n">
        <f aca="false">IF(C201="Eve",Settings!$B$8,Settings!$B$7)</f>
        <v>0.6875</v>
      </c>
      <c r="W201" s="14" t="n">
        <f aca="false">IF(U201,(V201-Settings!$B$6)*24,0)</f>
        <v>8.5</v>
      </c>
    </row>
    <row r="202" customFormat="false" ht="15" hidden="false" customHeight="false" outlineLevel="0" collapsed="false">
      <c r="A202" s="29" t="n">
        <v>46218</v>
      </c>
      <c r="B202" s="30" t="str">
        <f aca="false">CHOOSE(WEEKDAY(A202),"Sun","Mon","Tue","Wed","Thu","Fri","Sat")</f>
        <v>Wed</v>
      </c>
      <c r="C202" s="30" t="str">
        <f aca="false">IF(IFERROR(INDEX(Holidays!$D$5:$D$60,MATCH(A202,Holidays!$A$5:$A$60,0)),"")="Holiday","Holiday",IF(WEEKDAY(A202)&gt;=6,"Weekend",IF(IFERROR(INDEX(Holidays!$D$5:$D$60,MATCH(A202,Holidays!$A$5:$A$60,0)),"")="Eve","Eve","Workday")))</f>
        <v>Workday</v>
      </c>
      <c r="D202" s="18" t="str">
        <f aca="false">IFERROR(INDEX(Holidays!$C$5:$C$60,MATCH(A202,Holidays!$A$5:$A$60,0)),"")</f>
        <v/>
      </c>
      <c r="E202" s="31"/>
      <c r="F202" s="32"/>
      <c r="G202" s="32"/>
      <c r="H202" s="32"/>
      <c r="I202" s="32"/>
      <c r="J202" s="31"/>
      <c r="K202" s="33" t="str">
        <f aca="false">IF(E202&lt;&gt;"",E202,IF(U202,"Present",IF(C202="Holiday","Holiday","Weekend")))</f>
        <v>Present</v>
      </c>
      <c r="L202" s="34" t="n">
        <f aca="false">IF(OR(K202="Present",K202="Manual Work",K202="Partial Vacation",K202="Partial Sick Leave"),IF(ISNUMBER(F202),F202,IF(AND(K202="Present",U202),Settings!$B$6,"")),"")</f>
        <v>0.333333333333333</v>
      </c>
      <c r="M202" s="34" t="n">
        <f aca="false">IF(OR(K202="Present",K202="Manual Work",K202="Partial Vacation",K202="Partial Sick Leave"),IF(ISNUMBER(G202),G202,IF(AND(K202="Present",U202),V202,"")),"")</f>
        <v>0.6875</v>
      </c>
      <c r="N202" s="14" t="n">
        <f aca="false">IF(AND(ISNUMBER(L202),ISNUMBER(M202)),MAX(0,(M202-L202)*24),0)</f>
        <v>8.5</v>
      </c>
      <c r="O202" s="14" t="n">
        <f aca="false">IF(NOT(U202),0,IF(K202="Vacation",IF(C202="Eve",Settings!$B$9*Settings!$B$11,W202),IF(K202="Partial Vacation",IF(AND(ISNUMBER(H202),ISNUMBER(I202)),MAX(0,(I202-H202)*24),0),0)))</f>
        <v>0</v>
      </c>
      <c r="P202" s="14" t="n">
        <f aca="false">IF(NOT(U202),0,IF(K202="Sick Leave",W202,IF(K202="Partial Sick Leave",IF(AND(ISNUMBER(H202),ISNUMBER(I202)),MAX(0,(I202-H202)*24),0),0)))</f>
        <v>0</v>
      </c>
      <c r="Q202" s="14" t="n">
        <f aca="false">IF(NOT(U202),0,IF(K202="Vacation",IF(C202="Eve",Settings!$B$11,1),IF(K202="Partial Vacation",O202/Settings!$B$9,0)))</f>
        <v>0</v>
      </c>
      <c r="R202" s="14" t="n">
        <f aca="false">IF(NOT(U202),0,IF(K202="Sick Leave",1,IF(K202="Partial Sick Leave",P202/Settings!$B$9,0)))</f>
        <v>0</v>
      </c>
      <c r="S202" s="35" t="str">
        <f aca="false">IF(AND(OR(E202="Vacation",E202="Sick Leave",E202="Partial Vacation",E202="Partial Sick Leave"),NOT(U202)),"Leave not allowed on this day",IF(AND(E202="Manual Work",OR(NOT(ISNUMBER(F202)),NOT(ISNUMBER(G202)))),"Enter start and end",IF(AND(OR(E202="Partial Vacation",E202="Partial Sick Leave"),OR(NOT(ISNUMBER(H202)),NOT(ISNUMBER(I202)))),"Enter leave from and to",IF(AND(ISNUMBER(F202),ISNUMBER(G202),G202&lt;=F202),"End is before start",IF(AND(ISNUMBER(H202),ISNUMBER(I202),I202&lt;=H202),"Leave end is before start",IF(AND(ISNUMBER(F202),ISNUMBER(G202),ISNUMBER(H202),ISNUMBER(I202),F202&lt;I202,H202&lt;G202),"Work and leave hours overlap",IF(AND(E202&lt;&gt;"",WEEKDAY(A202)=7),"Saturday - administrator only","")))))))</f>
        <v/>
      </c>
      <c r="T202" s="36" t="n">
        <f aca="false">MONTH(A202)</f>
        <v>7</v>
      </c>
      <c r="U202" s="37" t="b">
        <f aca="false">OR(C202="Workday",C202="Eve")</f>
        <v>1</v>
      </c>
      <c r="V202" s="34" t="n">
        <f aca="false">IF(C202="Eve",Settings!$B$8,Settings!$B$7)</f>
        <v>0.6875</v>
      </c>
      <c r="W202" s="14" t="n">
        <f aca="false">IF(U202,(V202-Settings!$B$6)*24,0)</f>
        <v>8.5</v>
      </c>
    </row>
    <row r="203" customFormat="false" ht="15" hidden="false" customHeight="false" outlineLevel="0" collapsed="false">
      <c r="A203" s="29" t="n">
        <v>46219</v>
      </c>
      <c r="B203" s="30" t="str">
        <f aca="false">CHOOSE(WEEKDAY(A203),"Sun","Mon","Tue","Wed","Thu","Fri","Sat")</f>
        <v>Thu</v>
      </c>
      <c r="C203" s="30" t="str">
        <f aca="false">IF(IFERROR(INDEX(Holidays!$D$5:$D$60,MATCH(A203,Holidays!$A$5:$A$60,0)),"")="Holiday","Holiday",IF(WEEKDAY(A203)&gt;=6,"Weekend",IF(IFERROR(INDEX(Holidays!$D$5:$D$60,MATCH(A203,Holidays!$A$5:$A$60,0)),"")="Eve","Eve","Workday")))</f>
        <v>Workday</v>
      </c>
      <c r="D203" s="18" t="str">
        <f aca="false">IFERROR(INDEX(Holidays!$C$5:$C$60,MATCH(A203,Holidays!$A$5:$A$60,0)),"")</f>
        <v/>
      </c>
      <c r="E203" s="31"/>
      <c r="F203" s="32"/>
      <c r="G203" s="32"/>
      <c r="H203" s="32"/>
      <c r="I203" s="32"/>
      <c r="J203" s="31"/>
      <c r="K203" s="33" t="str">
        <f aca="false">IF(E203&lt;&gt;"",E203,IF(U203,"Present",IF(C203="Holiday","Holiday","Weekend")))</f>
        <v>Present</v>
      </c>
      <c r="L203" s="34" t="n">
        <f aca="false">IF(OR(K203="Present",K203="Manual Work",K203="Partial Vacation",K203="Partial Sick Leave"),IF(ISNUMBER(F203),F203,IF(AND(K203="Present",U203),Settings!$B$6,"")),"")</f>
        <v>0.333333333333333</v>
      </c>
      <c r="M203" s="34" t="n">
        <f aca="false">IF(OR(K203="Present",K203="Manual Work",K203="Partial Vacation",K203="Partial Sick Leave"),IF(ISNUMBER(G203),G203,IF(AND(K203="Present",U203),V203,"")),"")</f>
        <v>0.6875</v>
      </c>
      <c r="N203" s="14" t="n">
        <f aca="false">IF(AND(ISNUMBER(L203),ISNUMBER(M203)),MAX(0,(M203-L203)*24),0)</f>
        <v>8.5</v>
      </c>
      <c r="O203" s="14" t="n">
        <f aca="false">IF(NOT(U203),0,IF(K203="Vacation",IF(C203="Eve",Settings!$B$9*Settings!$B$11,W203),IF(K203="Partial Vacation",IF(AND(ISNUMBER(H203),ISNUMBER(I203)),MAX(0,(I203-H203)*24),0),0)))</f>
        <v>0</v>
      </c>
      <c r="P203" s="14" t="n">
        <f aca="false">IF(NOT(U203),0,IF(K203="Sick Leave",W203,IF(K203="Partial Sick Leave",IF(AND(ISNUMBER(H203),ISNUMBER(I203)),MAX(0,(I203-H203)*24),0),0)))</f>
        <v>0</v>
      </c>
      <c r="Q203" s="14" t="n">
        <f aca="false">IF(NOT(U203),0,IF(K203="Vacation",IF(C203="Eve",Settings!$B$11,1),IF(K203="Partial Vacation",O203/Settings!$B$9,0)))</f>
        <v>0</v>
      </c>
      <c r="R203" s="14" t="n">
        <f aca="false">IF(NOT(U203),0,IF(K203="Sick Leave",1,IF(K203="Partial Sick Leave",P203/Settings!$B$9,0)))</f>
        <v>0</v>
      </c>
      <c r="S203" s="35" t="str">
        <f aca="false">IF(AND(OR(E203="Vacation",E203="Sick Leave",E203="Partial Vacation",E203="Partial Sick Leave"),NOT(U203)),"Leave not allowed on this day",IF(AND(E203="Manual Work",OR(NOT(ISNUMBER(F203)),NOT(ISNUMBER(G203)))),"Enter start and end",IF(AND(OR(E203="Partial Vacation",E203="Partial Sick Leave"),OR(NOT(ISNUMBER(H203)),NOT(ISNUMBER(I203)))),"Enter leave from and to",IF(AND(ISNUMBER(F203),ISNUMBER(G203),G203&lt;=F203),"End is before start",IF(AND(ISNUMBER(H203),ISNUMBER(I203),I203&lt;=H203),"Leave end is before start",IF(AND(ISNUMBER(F203),ISNUMBER(G203),ISNUMBER(H203),ISNUMBER(I203),F203&lt;I203,H203&lt;G203),"Work and leave hours overlap",IF(AND(E203&lt;&gt;"",WEEKDAY(A203)=7),"Saturday - administrator only","")))))))</f>
        <v/>
      </c>
      <c r="T203" s="36" t="n">
        <f aca="false">MONTH(A203)</f>
        <v>7</v>
      </c>
      <c r="U203" s="37" t="b">
        <f aca="false">OR(C203="Workday",C203="Eve")</f>
        <v>1</v>
      </c>
      <c r="V203" s="34" t="n">
        <f aca="false">IF(C203="Eve",Settings!$B$8,Settings!$B$7)</f>
        <v>0.6875</v>
      </c>
      <c r="W203" s="14" t="n">
        <f aca="false">IF(U203,(V203-Settings!$B$6)*24,0)</f>
        <v>8.5</v>
      </c>
    </row>
    <row r="204" customFormat="false" ht="15" hidden="false" customHeight="false" outlineLevel="0" collapsed="false">
      <c r="A204" s="29" t="n">
        <v>46220</v>
      </c>
      <c r="B204" s="30" t="str">
        <f aca="false">CHOOSE(WEEKDAY(A204),"Sun","Mon","Tue","Wed","Thu","Fri","Sat")</f>
        <v>Fri</v>
      </c>
      <c r="C204" s="30" t="str">
        <f aca="false">IF(IFERROR(INDEX(Holidays!$D$5:$D$60,MATCH(A204,Holidays!$A$5:$A$60,0)),"")="Holiday","Holiday",IF(WEEKDAY(A204)&gt;=6,"Weekend",IF(IFERROR(INDEX(Holidays!$D$5:$D$60,MATCH(A204,Holidays!$A$5:$A$60,0)),"")="Eve","Eve","Workday")))</f>
        <v>Weekend</v>
      </c>
      <c r="D204" s="18" t="str">
        <f aca="false">IFERROR(INDEX(Holidays!$C$5:$C$60,MATCH(A204,Holidays!$A$5:$A$60,0)),"")</f>
        <v/>
      </c>
      <c r="E204" s="31"/>
      <c r="F204" s="32"/>
      <c r="G204" s="32"/>
      <c r="H204" s="32"/>
      <c r="I204" s="32"/>
      <c r="J204" s="31"/>
      <c r="K204" s="33" t="str">
        <f aca="false">IF(E204&lt;&gt;"",E204,IF(U204,"Present",IF(C204="Holiday","Holiday","Weekend")))</f>
        <v>Weekend</v>
      </c>
      <c r="L204" s="34" t="str">
        <f aca="false">IF(OR(K204="Present",K204="Manual Work",K204="Partial Vacation",K204="Partial Sick Leave"),IF(ISNUMBER(F204),F204,IF(AND(K204="Present",U204),Settings!$B$6,"")),"")</f>
        <v/>
      </c>
      <c r="M204" s="34" t="str">
        <f aca="false">IF(OR(K204="Present",K204="Manual Work",K204="Partial Vacation",K204="Partial Sick Leave"),IF(ISNUMBER(G204),G204,IF(AND(K204="Present",U204),V204,"")),"")</f>
        <v/>
      </c>
      <c r="N204" s="14" t="n">
        <f aca="false">IF(AND(ISNUMBER(L204),ISNUMBER(M204)),MAX(0,(M204-L204)*24),0)</f>
        <v>0</v>
      </c>
      <c r="O204" s="14" t="n">
        <f aca="false">IF(NOT(U204),0,IF(K204="Vacation",IF(C204="Eve",Settings!$B$9*Settings!$B$11,W204),IF(K204="Partial Vacation",IF(AND(ISNUMBER(H204),ISNUMBER(I204)),MAX(0,(I204-H204)*24),0),0)))</f>
        <v>0</v>
      </c>
      <c r="P204" s="14" t="n">
        <f aca="false">IF(NOT(U204),0,IF(K204="Sick Leave",W204,IF(K204="Partial Sick Leave",IF(AND(ISNUMBER(H204),ISNUMBER(I204)),MAX(0,(I204-H204)*24),0),0)))</f>
        <v>0</v>
      </c>
      <c r="Q204" s="14" t="n">
        <f aca="false">IF(NOT(U204),0,IF(K204="Vacation",IF(C204="Eve",Settings!$B$11,1),IF(K204="Partial Vacation",O204/Settings!$B$9,0)))</f>
        <v>0</v>
      </c>
      <c r="R204" s="14" t="n">
        <f aca="false">IF(NOT(U204),0,IF(K204="Sick Leave",1,IF(K204="Partial Sick Leave",P204/Settings!$B$9,0)))</f>
        <v>0</v>
      </c>
      <c r="S204" s="35" t="str">
        <f aca="false">IF(AND(OR(E204="Vacation",E204="Sick Leave",E204="Partial Vacation",E204="Partial Sick Leave"),NOT(U204)),"Leave not allowed on this day",IF(AND(E204="Manual Work",OR(NOT(ISNUMBER(F204)),NOT(ISNUMBER(G204)))),"Enter start and end",IF(AND(OR(E204="Partial Vacation",E204="Partial Sick Leave"),OR(NOT(ISNUMBER(H204)),NOT(ISNUMBER(I204)))),"Enter leave from and to",IF(AND(ISNUMBER(F204),ISNUMBER(G204),G204&lt;=F204),"End is before start",IF(AND(ISNUMBER(H204),ISNUMBER(I204),I204&lt;=H204),"Leave end is before start",IF(AND(ISNUMBER(F204),ISNUMBER(G204),ISNUMBER(H204),ISNUMBER(I204),F204&lt;I204,H204&lt;G204),"Work and leave hours overlap",IF(AND(E204&lt;&gt;"",WEEKDAY(A204)=7),"Saturday - administrator only","")))))))</f>
        <v/>
      </c>
      <c r="T204" s="36" t="n">
        <f aca="false">MONTH(A204)</f>
        <v>7</v>
      </c>
      <c r="U204" s="37" t="b">
        <f aca="false">OR(C204="Workday",C204="Eve")</f>
        <v>0</v>
      </c>
      <c r="V204" s="34" t="n">
        <f aca="false">IF(C204="Eve",Settings!$B$8,Settings!$B$7)</f>
        <v>0.6875</v>
      </c>
      <c r="W204" s="14" t="n">
        <f aca="false">IF(U204,(V204-Settings!$B$6)*24,0)</f>
        <v>0</v>
      </c>
    </row>
    <row r="205" customFormat="false" ht="15" hidden="false" customHeight="false" outlineLevel="0" collapsed="false">
      <c r="A205" s="29" t="n">
        <v>46221</v>
      </c>
      <c r="B205" s="30" t="str">
        <f aca="false">CHOOSE(WEEKDAY(A205),"Sun","Mon","Tue","Wed","Thu","Fri","Sat")</f>
        <v>Sat</v>
      </c>
      <c r="C205" s="30" t="str">
        <f aca="false">IF(IFERROR(INDEX(Holidays!$D$5:$D$60,MATCH(A205,Holidays!$A$5:$A$60,0)),"")="Holiday","Holiday",IF(WEEKDAY(A205)&gt;=6,"Weekend",IF(IFERROR(INDEX(Holidays!$D$5:$D$60,MATCH(A205,Holidays!$A$5:$A$60,0)),"")="Eve","Eve","Workday")))</f>
        <v>Weekend</v>
      </c>
      <c r="D205" s="18" t="str">
        <f aca="false">IFERROR(INDEX(Holidays!$C$5:$C$60,MATCH(A205,Holidays!$A$5:$A$60,0)),"")</f>
        <v/>
      </c>
      <c r="E205" s="31"/>
      <c r="F205" s="32"/>
      <c r="G205" s="32"/>
      <c r="H205" s="32"/>
      <c r="I205" s="32"/>
      <c r="J205" s="31"/>
      <c r="K205" s="33" t="str">
        <f aca="false">IF(E205&lt;&gt;"",E205,IF(U205,"Present",IF(C205="Holiday","Holiday","Weekend")))</f>
        <v>Weekend</v>
      </c>
      <c r="L205" s="34" t="str">
        <f aca="false">IF(OR(K205="Present",K205="Manual Work",K205="Partial Vacation",K205="Partial Sick Leave"),IF(ISNUMBER(F205),F205,IF(AND(K205="Present",U205),Settings!$B$6,"")),"")</f>
        <v/>
      </c>
      <c r="M205" s="34" t="str">
        <f aca="false">IF(OR(K205="Present",K205="Manual Work",K205="Partial Vacation",K205="Partial Sick Leave"),IF(ISNUMBER(G205),G205,IF(AND(K205="Present",U205),V205,"")),"")</f>
        <v/>
      </c>
      <c r="N205" s="14" t="n">
        <f aca="false">IF(AND(ISNUMBER(L205),ISNUMBER(M205)),MAX(0,(M205-L205)*24),0)</f>
        <v>0</v>
      </c>
      <c r="O205" s="14" t="n">
        <f aca="false">IF(NOT(U205),0,IF(K205="Vacation",IF(C205="Eve",Settings!$B$9*Settings!$B$11,W205),IF(K205="Partial Vacation",IF(AND(ISNUMBER(H205),ISNUMBER(I205)),MAX(0,(I205-H205)*24),0),0)))</f>
        <v>0</v>
      </c>
      <c r="P205" s="14" t="n">
        <f aca="false">IF(NOT(U205),0,IF(K205="Sick Leave",W205,IF(K205="Partial Sick Leave",IF(AND(ISNUMBER(H205),ISNUMBER(I205)),MAX(0,(I205-H205)*24),0),0)))</f>
        <v>0</v>
      </c>
      <c r="Q205" s="14" t="n">
        <f aca="false">IF(NOT(U205),0,IF(K205="Vacation",IF(C205="Eve",Settings!$B$11,1),IF(K205="Partial Vacation",O205/Settings!$B$9,0)))</f>
        <v>0</v>
      </c>
      <c r="R205" s="14" t="n">
        <f aca="false">IF(NOT(U205),0,IF(K205="Sick Leave",1,IF(K205="Partial Sick Leave",P205/Settings!$B$9,0)))</f>
        <v>0</v>
      </c>
      <c r="S205" s="35" t="str">
        <f aca="false">IF(AND(OR(E205="Vacation",E205="Sick Leave",E205="Partial Vacation",E205="Partial Sick Leave"),NOT(U205)),"Leave not allowed on this day",IF(AND(E205="Manual Work",OR(NOT(ISNUMBER(F205)),NOT(ISNUMBER(G205)))),"Enter start and end",IF(AND(OR(E205="Partial Vacation",E205="Partial Sick Leave"),OR(NOT(ISNUMBER(H205)),NOT(ISNUMBER(I205)))),"Enter leave from and to",IF(AND(ISNUMBER(F205),ISNUMBER(G205),G205&lt;=F205),"End is before start",IF(AND(ISNUMBER(H205),ISNUMBER(I205),I205&lt;=H205),"Leave end is before start",IF(AND(ISNUMBER(F205),ISNUMBER(G205),ISNUMBER(H205),ISNUMBER(I205),F205&lt;I205,H205&lt;G205),"Work and leave hours overlap",IF(AND(E205&lt;&gt;"",WEEKDAY(A205)=7),"Saturday - administrator only","")))))))</f>
        <v/>
      </c>
      <c r="T205" s="36" t="n">
        <f aca="false">MONTH(A205)</f>
        <v>7</v>
      </c>
      <c r="U205" s="37" t="b">
        <f aca="false">OR(C205="Workday",C205="Eve")</f>
        <v>0</v>
      </c>
      <c r="V205" s="34" t="n">
        <f aca="false">IF(C205="Eve",Settings!$B$8,Settings!$B$7)</f>
        <v>0.6875</v>
      </c>
      <c r="W205" s="14" t="n">
        <f aca="false">IF(U205,(V205-Settings!$B$6)*24,0)</f>
        <v>0</v>
      </c>
    </row>
    <row r="206" customFormat="false" ht="15" hidden="false" customHeight="false" outlineLevel="0" collapsed="false">
      <c r="A206" s="29" t="n">
        <v>46222</v>
      </c>
      <c r="B206" s="30" t="str">
        <f aca="false">CHOOSE(WEEKDAY(A206),"Sun","Mon","Tue","Wed","Thu","Fri","Sat")</f>
        <v>Sun</v>
      </c>
      <c r="C206" s="30" t="str">
        <f aca="false">IF(IFERROR(INDEX(Holidays!$D$5:$D$60,MATCH(A206,Holidays!$A$5:$A$60,0)),"")="Holiday","Holiday",IF(WEEKDAY(A206)&gt;=6,"Weekend",IF(IFERROR(INDEX(Holidays!$D$5:$D$60,MATCH(A206,Holidays!$A$5:$A$60,0)),"")="Eve","Eve","Workday")))</f>
        <v>Workday</v>
      </c>
      <c r="D206" s="18" t="str">
        <f aca="false">IFERROR(INDEX(Holidays!$C$5:$C$60,MATCH(A206,Holidays!$A$5:$A$60,0)),"")</f>
        <v/>
      </c>
      <c r="E206" s="31"/>
      <c r="F206" s="32"/>
      <c r="G206" s="32"/>
      <c r="H206" s="32"/>
      <c r="I206" s="32"/>
      <c r="J206" s="31"/>
      <c r="K206" s="33" t="str">
        <f aca="false">IF(E206&lt;&gt;"",E206,IF(U206,"Present",IF(C206="Holiday","Holiday","Weekend")))</f>
        <v>Present</v>
      </c>
      <c r="L206" s="34" t="n">
        <f aca="false">IF(OR(K206="Present",K206="Manual Work",K206="Partial Vacation",K206="Partial Sick Leave"),IF(ISNUMBER(F206),F206,IF(AND(K206="Present",U206),Settings!$B$6,"")),"")</f>
        <v>0.333333333333333</v>
      </c>
      <c r="M206" s="34" t="n">
        <f aca="false">IF(OR(K206="Present",K206="Manual Work",K206="Partial Vacation",K206="Partial Sick Leave"),IF(ISNUMBER(G206),G206,IF(AND(K206="Present",U206),V206,"")),"")</f>
        <v>0.6875</v>
      </c>
      <c r="N206" s="14" t="n">
        <f aca="false">IF(AND(ISNUMBER(L206),ISNUMBER(M206)),MAX(0,(M206-L206)*24),0)</f>
        <v>8.5</v>
      </c>
      <c r="O206" s="14" t="n">
        <f aca="false">IF(NOT(U206),0,IF(K206="Vacation",IF(C206="Eve",Settings!$B$9*Settings!$B$11,W206),IF(K206="Partial Vacation",IF(AND(ISNUMBER(H206),ISNUMBER(I206)),MAX(0,(I206-H206)*24),0),0)))</f>
        <v>0</v>
      </c>
      <c r="P206" s="14" t="n">
        <f aca="false">IF(NOT(U206),0,IF(K206="Sick Leave",W206,IF(K206="Partial Sick Leave",IF(AND(ISNUMBER(H206),ISNUMBER(I206)),MAX(0,(I206-H206)*24),0),0)))</f>
        <v>0</v>
      </c>
      <c r="Q206" s="14" t="n">
        <f aca="false">IF(NOT(U206),0,IF(K206="Vacation",IF(C206="Eve",Settings!$B$11,1),IF(K206="Partial Vacation",O206/Settings!$B$9,0)))</f>
        <v>0</v>
      </c>
      <c r="R206" s="14" t="n">
        <f aca="false">IF(NOT(U206),0,IF(K206="Sick Leave",1,IF(K206="Partial Sick Leave",P206/Settings!$B$9,0)))</f>
        <v>0</v>
      </c>
      <c r="S206" s="35" t="str">
        <f aca="false">IF(AND(OR(E206="Vacation",E206="Sick Leave",E206="Partial Vacation",E206="Partial Sick Leave"),NOT(U206)),"Leave not allowed on this day",IF(AND(E206="Manual Work",OR(NOT(ISNUMBER(F206)),NOT(ISNUMBER(G206)))),"Enter start and end",IF(AND(OR(E206="Partial Vacation",E206="Partial Sick Leave"),OR(NOT(ISNUMBER(H206)),NOT(ISNUMBER(I206)))),"Enter leave from and to",IF(AND(ISNUMBER(F206),ISNUMBER(G206),G206&lt;=F206),"End is before start",IF(AND(ISNUMBER(H206),ISNUMBER(I206),I206&lt;=H206),"Leave end is before start",IF(AND(ISNUMBER(F206),ISNUMBER(G206),ISNUMBER(H206),ISNUMBER(I206),F206&lt;I206,H206&lt;G206),"Work and leave hours overlap",IF(AND(E206&lt;&gt;"",WEEKDAY(A206)=7),"Saturday - administrator only","")))))))</f>
        <v/>
      </c>
      <c r="T206" s="36" t="n">
        <f aca="false">MONTH(A206)</f>
        <v>7</v>
      </c>
      <c r="U206" s="37" t="b">
        <f aca="false">OR(C206="Workday",C206="Eve")</f>
        <v>1</v>
      </c>
      <c r="V206" s="34" t="n">
        <f aca="false">IF(C206="Eve",Settings!$B$8,Settings!$B$7)</f>
        <v>0.6875</v>
      </c>
      <c r="W206" s="14" t="n">
        <f aca="false">IF(U206,(V206-Settings!$B$6)*24,0)</f>
        <v>8.5</v>
      </c>
    </row>
    <row r="207" customFormat="false" ht="15" hidden="false" customHeight="false" outlineLevel="0" collapsed="false">
      <c r="A207" s="29" t="n">
        <v>46223</v>
      </c>
      <c r="B207" s="30" t="str">
        <f aca="false">CHOOSE(WEEKDAY(A207),"Sun","Mon","Tue","Wed","Thu","Fri","Sat")</f>
        <v>Mon</v>
      </c>
      <c r="C207" s="30" t="str">
        <f aca="false">IF(IFERROR(INDEX(Holidays!$D$5:$D$60,MATCH(A207,Holidays!$A$5:$A$60,0)),"")="Holiday","Holiday",IF(WEEKDAY(A207)&gt;=6,"Weekend",IF(IFERROR(INDEX(Holidays!$D$5:$D$60,MATCH(A207,Holidays!$A$5:$A$60,0)),"")="Eve","Eve","Workday")))</f>
        <v>Workday</v>
      </c>
      <c r="D207" s="18" t="str">
        <f aca="false">IFERROR(INDEX(Holidays!$C$5:$C$60,MATCH(A207,Holidays!$A$5:$A$60,0)),"")</f>
        <v/>
      </c>
      <c r="E207" s="31"/>
      <c r="F207" s="32"/>
      <c r="G207" s="32"/>
      <c r="H207" s="32"/>
      <c r="I207" s="32"/>
      <c r="J207" s="31"/>
      <c r="K207" s="33" t="str">
        <f aca="false">IF(E207&lt;&gt;"",E207,IF(U207,"Present",IF(C207="Holiday","Holiday","Weekend")))</f>
        <v>Present</v>
      </c>
      <c r="L207" s="34" t="n">
        <f aca="false">IF(OR(K207="Present",K207="Manual Work",K207="Partial Vacation",K207="Partial Sick Leave"),IF(ISNUMBER(F207),F207,IF(AND(K207="Present",U207),Settings!$B$6,"")),"")</f>
        <v>0.333333333333333</v>
      </c>
      <c r="M207" s="34" t="n">
        <f aca="false">IF(OR(K207="Present",K207="Manual Work",K207="Partial Vacation",K207="Partial Sick Leave"),IF(ISNUMBER(G207),G207,IF(AND(K207="Present",U207),V207,"")),"")</f>
        <v>0.6875</v>
      </c>
      <c r="N207" s="14" t="n">
        <f aca="false">IF(AND(ISNUMBER(L207),ISNUMBER(M207)),MAX(0,(M207-L207)*24),0)</f>
        <v>8.5</v>
      </c>
      <c r="O207" s="14" t="n">
        <f aca="false">IF(NOT(U207),0,IF(K207="Vacation",IF(C207="Eve",Settings!$B$9*Settings!$B$11,W207),IF(K207="Partial Vacation",IF(AND(ISNUMBER(H207),ISNUMBER(I207)),MAX(0,(I207-H207)*24),0),0)))</f>
        <v>0</v>
      </c>
      <c r="P207" s="14" t="n">
        <f aca="false">IF(NOT(U207),0,IF(K207="Sick Leave",W207,IF(K207="Partial Sick Leave",IF(AND(ISNUMBER(H207),ISNUMBER(I207)),MAX(0,(I207-H207)*24),0),0)))</f>
        <v>0</v>
      </c>
      <c r="Q207" s="14" t="n">
        <f aca="false">IF(NOT(U207),0,IF(K207="Vacation",IF(C207="Eve",Settings!$B$11,1),IF(K207="Partial Vacation",O207/Settings!$B$9,0)))</f>
        <v>0</v>
      </c>
      <c r="R207" s="14" t="n">
        <f aca="false">IF(NOT(U207),0,IF(K207="Sick Leave",1,IF(K207="Partial Sick Leave",P207/Settings!$B$9,0)))</f>
        <v>0</v>
      </c>
      <c r="S207" s="35" t="str">
        <f aca="false">IF(AND(OR(E207="Vacation",E207="Sick Leave",E207="Partial Vacation",E207="Partial Sick Leave"),NOT(U207)),"Leave not allowed on this day",IF(AND(E207="Manual Work",OR(NOT(ISNUMBER(F207)),NOT(ISNUMBER(G207)))),"Enter start and end",IF(AND(OR(E207="Partial Vacation",E207="Partial Sick Leave"),OR(NOT(ISNUMBER(H207)),NOT(ISNUMBER(I207)))),"Enter leave from and to",IF(AND(ISNUMBER(F207),ISNUMBER(G207),G207&lt;=F207),"End is before start",IF(AND(ISNUMBER(H207),ISNUMBER(I207),I207&lt;=H207),"Leave end is before start",IF(AND(ISNUMBER(F207),ISNUMBER(G207),ISNUMBER(H207),ISNUMBER(I207),F207&lt;I207,H207&lt;G207),"Work and leave hours overlap",IF(AND(E207&lt;&gt;"",WEEKDAY(A207)=7),"Saturday - administrator only","")))))))</f>
        <v/>
      </c>
      <c r="T207" s="36" t="n">
        <f aca="false">MONTH(A207)</f>
        <v>7</v>
      </c>
      <c r="U207" s="37" t="b">
        <f aca="false">OR(C207="Workday",C207="Eve")</f>
        <v>1</v>
      </c>
      <c r="V207" s="34" t="n">
        <f aca="false">IF(C207="Eve",Settings!$B$8,Settings!$B$7)</f>
        <v>0.6875</v>
      </c>
      <c r="W207" s="14" t="n">
        <f aca="false">IF(U207,(V207-Settings!$B$6)*24,0)</f>
        <v>8.5</v>
      </c>
    </row>
    <row r="208" customFormat="false" ht="15" hidden="false" customHeight="false" outlineLevel="0" collapsed="false">
      <c r="A208" s="29" t="n">
        <v>46224</v>
      </c>
      <c r="B208" s="30" t="str">
        <f aca="false">CHOOSE(WEEKDAY(A208),"Sun","Mon","Tue","Wed","Thu","Fri","Sat")</f>
        <v>Tue</v>
      </c>
      <c r="C208" s="30" t="str">
        <f aca="false">IF(IFERROR(INDEX(Holidays!$D$5:$D$60,MATCH(A208,Holidays!$A$5:$A$60,0)),"")="Holiday","Holiday",IF(WEEKDAY(A208)&gt;=6,"Weekend",IF(IFERROR(INDEX(Holidays!$D$5:$D$60,MATCH(A208,Holidays!$A$5:$A$60,0)),"")="Eve","Eve","Workday")))</f>
        <v>Workday</v>
      </c>
      <c r="D208" s="18" t="str">
        <f aca="false">IFERROR(INDEX(Holidays!$C$5:$C$60,MATCH(A208,Holidays!$A$5:$A$60,0)),"")</f>
        <v/>
      </c>
      <c r="E208" s="31"/>
      <c r="F208" s="32"/>
      <c r="G208" s="32"/>
      <c r="H208" s="32"/>
      <c r="I208" s="32"/>
      <c r="J208" s="31"/>
      <c r="K208" s="33" t="str">
        <f aca="false">IF(E208&lt;&gt;"",E208,IF(U208,"Present",IF(C208="Holiday","Holiday","Weekend")))</f>
        <v>Present</v>
      </c>
      <c r="L208" s="34" t="n">
        <f aca="false">IF(OR(K208="Present",K208="Manual Work",K208="Partial Vacation",K208="Partial Sick Leave"),IF(ISNUMBER(F208),F208,IF(AND(K208="Present",U208),Settings!$B$6,"")),"")</f>
        <v>0.333333333333333</v>
      </c>
      <c r="M208" s="34" t="n">
        <f aca="false">IF(OR(K208="Present",K208="Manual Work",K208="Partial Vacation",K208="Partial Sick Leave"),IF(ISNUMBER(G208),G208,IF(AND(K208="Present",U208),V208,"")),"")</f>
        <v>0.6875</v>
      </c>
      <c r="N208" s="14" t="n">
        <f aca="false">IF(AND(ISNUMBER(L208),ISNUMBER(M208)),MAX(0,(M208-L208)*24),0)</f>
        <v>8.5</v>
      </c>
      <c r="O208" s="14" t="n">
        <f aca="false">IF(NOT(U208),0,IF(K208="Vacation",IF(C208="Eve",Settings!$B$9*Settings!$B$11,W208),IF(K208="Partial Vacation",IF(AND(ISNUMBER(H208),ISNUMBER(I208)),MAX(0,(I208-H208)*24),0),0)))</f>
        <v>0</v>
      </c>
      <c r="P208" s="14" t="n">
        <f aca="false">IF(NOT(U208),0,IF(K208="Sick Leave",W208,IF(K208="Partial Sick Leave",IF(AND(ISNUMBER(H208),ISNUMBER(I208)),MAX(0,(I208-H208)*24),0),0)))</f>
        <v>0</v>
      </c>
      <c r="Q208" s="14" t="n">
        <f aca="false">IF(NOT(U208),0,IF(K208="Vacation",IF(C208="Eve",Settings!$B$11,1),IF(K208="Partial Vacation",O208/Settings!$B$9,0)))</f>
        <v>0</v>
      </c>
      <c r="R208" s="14" t="n">
        <f aca="false">IF(NOT(U208),0,IF(K208="Sick Leave",1,IF(K208="Partial Sick Leave",P208/Settings!$B$9,0)))</f>
        <v>0</v>
      </c>
      <c r="S208" s="35" t="str">
        <f aca="false">IF(AND(OR(E208="Vacation",E208="Sick Leave",E208="Partial Vacation",E208="Partial Sick Leave"),NOT(U208)),"Leave not allowed on this day",IF(AND(E208="Manual Work",OR(NOT(ISNUMBER(F208)),NOT(ISNUMBER(G208)))),"Enter start and end",IF(AND(OR(E208="Partial Vacation",E208="Partial Sick Leave"),OR(NOT(ISNUMBER(H208)),NOT(ISNUMBER(I208)))),"Enter leave from and to",IF(AND(ISNUMBER(F208),ISNUMBER(G208),G208&lt;=F208),"End is before start",IF(AND(ISNUMBER(H208),ISNUMBER(I208),I208&lt;=H208),"Leave end is before start",IF(AND(ISNUMBER(F208),ISNUMBER(G208),ISNUMBER(H208),ISNUMBER(I208),F208&lt;I208,H208&lt;G208),"Work and leave hours overlap",IF(AND(E208&lt;&gt;"",WEEKDAY(A208)=7),"Saturday - administrator only","")))))))</f>
        <v/>
      </c>
      <c r="T208" s="36" t="n">
        <f aca="false">MONTH(A208)</f>
        <v>7</v>
      </c>
      <c r="U208" s="37" t="b">
        <f aca="false">OR(C208="Workday",C208="Eve")</f>
        <v>1</v>
      </c>
      <c r="V208" s="34" t="n">
        <f aca="false">IF(C208="Eve",Settings!$B$8,Settings!$B$7)</f>
        <v>0.6875</v>
      </c>
      <c r="W208" s="14" t="n">
        <f aca="false">IF(U208,(V208-Settings!$B$6)*24,0)</f>
        <v>8.5</v>
      </c>
    </row>
    <row r="209" customFormat="false" ht="15" hidden="false" customHeight="false" outlineLevel="0" collapsed="false">
      <c r="A209" s="29" t="n">
        <v>46225</v>
      </c>
      <c r="B209" s="30" t="str">
        <f aca="false">CHOOSE(WEEKDAY(A209),"Sun","Mon","Tue","Wed","Thu","Fri","Sat")</f>
        <v>Wed</v>
      </c>
      <c r="C209" s="30" t="str">
        <f aca="false">IF(IFERROR(INDEX(Holidays!$D$5:$D$60,MATCH(A209,Holidays!$A$5:$A$60,0)),"")="Holiday","Holiday",IF(WEEKDAY(A209)&gt;=6,"Weekend",IF(IFERROR(INDEX(Holidays!$D$5:$D$60,MATCH(A209,Holidays!$A$5:$A$60,0)),"")="Eve","Eve","Workday")))</f>
        <v>Workday</v>
      </c>
      <c r="D209" s="18" t="str">
        <f aca="false">IFERROR(INDEX(Holidays!$C$5:$C$60,MATCH(A209,Holidays!$A$5:$A$60,0)),"")</f>
        <v/>
      </c>
      <c r="E209" s="31"/>
      <c r="F209" s="32"/>
      <c r="G209" s="32"/>
      <c r="H209" s="32"/>
      <c r="I209" s="32"/>
      <c r="J209" s="31"/>
      <c r="K209" s="33" t="str">
        <f aca="false">IF(E209&lt;&gt;"",E209,IF(U209,"Present",IF(C209="Holiday","Holiday","Weekend")))</f>
        <v>Present</v>
      </c>
      <c r="L209" s="34" t="n">
        <f aca="false">IF(OR(K209="Present",K209="Manual Work",K209="Partial Vacation",K209="Partial Sick Leave"),IF(ISNUMBER(F209),F209,IF(AND(K209="Present",U209),Settings!$B$6,"")),"")</f>
        <v>0.333333333333333</v>
      </c>
      <c r="M209" s="34" t="n">
        <f aca="false">IF(OR(K209="Present",K209="Manual Work",K209="Partial Vacation",K209="Partial Sick Leave"),IF(ISNUMBER(G209),G209,IF(AND(K209="Present",U209),V209,"")),"")</f>
        <v>0.6875</v>
      </c>
      <c r="N209" s="14" t="n">
        <f aca="false">IF(AND(ISNUMBER(L209),ISNUMBER(M209)),MAX(0,(M209-L209)*24),0)</f>
        <v>8.5</v>
      </c>
      <c r="O209" s="14" t="n">
        <f aca="false">IF(NOT(U209),0,IF(K209="Vacation",IF(C209="Eve",Settings!$B$9*Settings!$B$11,W209),IF(K209="Partial Vacation",IF(AND(ISNUMBER(H209),ISNUMBER(I209)),MAX(0,(I209-H209)*24),0),0)))</f>
        <v>0</v>
      </c>
      <c r="P209" s="14" t="n">
        <f aca="false">IF(NOT(U209),0,IF(K209="Sick Leave",W209,IF(K209="Partial Sick Leave",IF(AND(ISNUMBER(H209),ISNUMBER(I209)),MAX(0,(I209-H209)*24),0),0)))</f>
        <v>0</v>
      </c>
      <c r="Q209" s="14" t="n">
        <f aca="false">IF(NOT(U209),0,IF(K209="Vacation",IF(C209="Eve",Settings!$B$11,1),IF(K209="Partial Vacation",O209/Settings!$B$9,0)))</f>
        <v>0</v>
      </c>
      <c r="R209" s="14" t="n">
        <f aca="false">IF(NOT(U209),0,IF(K209="Sick Leave",1,IF(K209="Partial Sick Leave",P209/Settings!$B$9,0)))</f>
        <v>0</v>
      </c>
      <c r="S209" s="35" t="str">
        <f aca="false">IF(AND(OR(E209="Vacation",E209="Sick Leave",E209="Partial Vacation",E209="Partial Sick Leave"),NOT(U209)),"Leave not allowed on this day",IF(AND(E209="Manual Work",OR(NOT(ISNUMBER(F209)),NOT(ISNUMBER(G209)))),"Enter start and end",IF(AND(OR(E209="Partial Vacation",E209="Partial Sick Leave"),OR(NOT(ISNUMBER(H209)),NOT(ISNUMBER(I209)))),"Enter leave from and to",IF(AND(ISNUMBER(F209),ISNUMBER(G209),G209&lt;=F209),"End is before start",IF(AND(ISNUMBER(H209),ISNUMBER(I209),I209&lt;=H209),"Leave end is before start",IF(AND(ISNUMBER(F209),ISNUMBER(G209),ISNUMBER(H209),ISNUMBER(I209),F209&lt;I209,H209&lt;G209),"Work and leave hours overlap",IF(AND(E209&lt;&gt;"",WEEKDAY(A209)=7),"Saturday - administrator only","")))))))</f>
        <v/>
      </c>
      <c r="T209" s="36" t="n">
        <f aca="false">MONTH(A209)</f>
        <v>7</v>
      </c>
      <c r="U209" s="37" t="b">
        <f aca="false">OR(C209="Workday",C209="Eve")</f>
        <v>1</v>
      </c>
      <c r="V209" s="34" t="n">
        <f aca="false">IF(C209="Eve",Settings!$B$8,Settings!$B$7)</f>
        <v>0.6875</v>
      </c>
      <c r="W209" s="14" t="n">
        <f aca="false">IF(U209,(V209-Settings!$B$6)*24,0)</f>
        <v>8.5</v>
      </c>
    </row>
    <row r="210" customFormat="false" ht="15" hidden="false" customHeight="false" outlineLevel="0" collapsed="false">
      <c r="A210" s="29" t="n">
        <v>46226</v>
      </c>
      <c r="B210" s="30" t="str">
        <f aca="false">CHOOSE(WEEKDAY(A210),"Sun","Mon","Tue","Wed","Thu","Fri","Sat")</f>
        <v>Thu</v>
      </c>
      <c r="C210" s="30" t="str">
        <f aca="false">IF(IFERROR(INDEX(Holidays!$D$5:$D$60,MATCH(A210,Holidays!$A$5:$A$60,0)),"")="Holiday","Holiday",IF(WEEKDAY(A210)&gt;=6,"Weekend",IF(IFERROR(INDEX(Holidays!$D$5:$D$60,MATCH(A210,Holidays!$A$5:$A$60,0)),"")="Eve","Eve","Workday")))</f>
        <v>Workday</v>
      </c>
      <c r="D210" s="18" t="str">
        <f aca="false">IFERROR(INDEX(Holidays!$C$5:$C$60,MATCH(A210,Holidays!$A$5:$A$60,0)),"")</f>
        <v/>
      </c>
      <c r="E210" s="31"/>
      <c r="F210" s="32"/>
      <c r="G210" s="32"/>
      <c r="H210" s="32"/>
      <c r="I210" s="32"/>
      <c r="J210" s="31"/>
      <c r="K210" s="33" t="str">
        <f aca="false">IF(E210&lt;&gt;"",E210,IF(U210,"Present",IF(C210="Holiday","Holiday","Weekend")))</f>
        <v>Present</v>
      </c>
      <c r="L210" s="34" t="n">
        <f aca="false">IF(OR(K210="Present",K210="Manual Work",K210="Partial Vacation",K210="Partial Sick Leave"),IF(ISNUMBER(F210),F210,IF(AND(K210="Present",U210),Settings!$B$6,"")),"")</f>
        <v>0.333333333333333</v>
      </c>
      <c r="M210" s="34" t="n">
        <f aca="false">IF(OR(K210="Present",K210="Manual Work",K210="Partial Vacation",K210="Partial Sick Leave"),IF(ISNUMBER(G210),G210,IF(AND(K210="Present",U210),V210,"")),"")</f>
        <v>0.6875</v>
      </c>
      <c r="N210" s="14" t="n">
        <f aca="false">IF(AND(ISNUMBER(L210),ISNUMBER(M210)),MAX(0,(M210-L210)*24),0)</f>
        <v>8.5</v>
      </c>
      <c r="O210" s="14" t="n">
        <f aca="false">IF(NOT(U210),0,IF(K210="Vacation",IF(C210="Eve",Settings!$B$9*Settings!$B$11,W210),IF(K210="Partial Vacation",IF(AND(ISNUMBER(H210),ISNUMBER(I210)),MAX(0,(I210-H210)*24),0),0)))</f>
        <v>0</v>
      </c>
      <c r="P210" s="14" t="n">
        <f aca="false">IF(NOT(U210),0,IF(K210="Sick Leave",W210,IF(K210="Partial Sick Leave",IF(AND(ISNUMBER(H210),ISNUMBER(I210)),MAX(0,(I210-H210)*24),0),0)))</f>
        <v>0</v>
      </c>
      <c r="Q210" s="14" t="n">
        <f aca="false">IF(NOT(U210),0,IF(K210="Vacation",IF(C210="Eve",Settings!$B$11,1),IF(K210="Partial Vacation",O210/Settings!$B$9,0)))</f>
        <v>0</v>
      </c>
      <c r="R210" s="14" t="n">
        <f aca="false">IF(NOT(U210),0,IF(K210="Sick Leave",1,IF(K210="Partial Sick Leave",P210/Settings!$B$9,0)))</f>
        <v>0</v>
      </c>
      <c r="S210" s="35" t="str">
        <f aca="false">IF(AND(OR(E210="Vacation",E210="Sick Leave",E210="Partial Vacation",E210="Partial Sick Leave"),NOT(U210)),"Leave not allowed on this day",IF(AND(E210="Manual Work",OR(NOT(ISNUMBER(F210)),NOT(ISNUMBER(G210)))),"Enter start and end",IF(AND(OR(E210="Partial Vacation",E210="Partial Sick Leave"),OR(NOT(ISNUMBER(H210)),NOT(ISNUMBER(I210)))),"Enter leave from and to",IF(AND(ISNUMBER(F210),ISNUMBER(G210),G210&lt;=F210),"End is before start",IF(AND(ISNUMBER(H210),ISNUMBER(I210),I210&lt;=H210),"Leave end is before start",IF(AND(ISNUMBER(F210),ISNUMBER(G210),ISNUMBER(H210),ISNUMBER(I210),F210&lt;I210,H210&lt;G210),"Work and leave hours overlap",IF(AND(E210&lt;&gt;"",WEEKDAY(A210)=7),"Saturday - administrator only","")))))))</f>
        <v/>
      </c>
      <c r="T210" s="36" t="n">
        <f aca="false">MONTH(A210)</f>
        <v>7</v>
      </c>
      <c r="U210" s="37" t="b">
        <f aca="false">OR(C210="Workday",C210="Eve")</f>
        <v>1</v>
      </c>
      <c r="V210" s="34" t="n">
        <f aca="false">IF(C210="Eve",Settings!$B$8,Settings!$B$7)</f>
        <v>0.6875</v>
      </c>
      <c r="W210" s="14" t="n">
        <f aca="false">IF(U210,(V210-Settings!$B$6)*24,0)</f>
        <v>8.5</v>
      </c>
    </row>
    <row r="211" customFormat="false" ht="15" hidden="false" customHeight="false" outlineLevel="0" collapsed="false">
      <c r="A211" s="29" t="n">
        <v>46227</v>
      </c>
      <c r="B211" s="30" t="str">
        <f aca="false">CHOOSE(WEEKDAY(A211),"Sun","Mon","Tue","Wed","Thu","Fri","Sat")</f>
        <v>Fri</v>
      </c>
      <c r="C211" s="30" t="str">
        <f aca="false">IF(IFERROR(INDEX(Holidays!$D$5:$D$60,MATCH(A211,Holidays!$A$5:$A$60,0)),"")="Holiday","Holiday",IF(WEEKDAY(A211)&gt;=6,"Weekend",IF(IFERROR(INDEX(Holidays!$D$5:$D$60,MATCH(A211,Holidays!$A$5:$A$60,0)),"")="Eve","Eve","Workday")))</f>
        <v>Weekend</v>
      </c>
      <c r="D211" s="18" t="str">
        <f aca="false">IFERROR(INDEX(Holidays!$C$5:$C$60,MATCH(A211,Holidays!$A$5:$A$60,0)),"")</f>
        <v/>
      </c>
      <c r="E211" s="31"/>
      <c r="F211" s="32"/>
      <c r="G211" s="32"/>
      <c r="H211" s="32"/>
      <c r="I211" s="32"/>
      <c r="J211" s="31"/>
      <c r="K211" s="33" t="str">
        <f aca="false">IF(E211&lt;&gt;"",E211,IF(U211,"Present",IF(C211="Holiday","Holiday","Weekend")))</f>
        <v>Weekend</v>
      </c>
      <c r="L211" s="34" t="str">
        <f aca="false">IF(OR(K211="Present",K211="Manual Work",K211="Partial Vacation",K211="Partial Sick Leave"),IF(ISNUMBER(F211),F211,IF(AND(K211="Present",U211),Settings!$B$6,"")),"")</f>
        <v/>
      </c>
      <c r="M211" s="34" t="str">
        <f aca="false">IF(OR(K211="Present",K211="Manual Work",K211="Partial Vacation",K211="Partial Sick Leave"),IF(ISNUMBER(G211),G211,IF(AND(K211="Present",U211),V211,"")),"")</f>
        <v/>
      </c>
      <c r="N211" s="14" t="n">
        <f aca="false">IF(AND(ISNUMBER(L211),ISNUMBER(M211)),MAX(0,(M211-L211)*24),0)</f>
        <v>0</v>
      </c>
      <c r="O211" s="14" t="n">
        <f aca="false">IF(NOT(U211),0,IF(K211="Vacation",IF(C211="Eve",Settings!$B$9*Settings!$B$11,W211),IF(K211="Partial Vacation",IF(AND(ISNUMBER(H211),ISNUMBER(I211)),MAX(0,(I211-H211)*24),0),0)))</f>
        <v>0</v>
      </c>
      <c r="P211" s="14" t="n">
        <f aca="false">IF(NOT(U211),0,IF(K211="Sick Leave",W211,IF(K211="Partial Sick Leave",IF(AND(ISNUMBER(H211),ISNUMBER(I211)),MAX(0,(I211-H211)*24),0),0)))</f>
        <v>0</v>
      </c>
      <c r="Q211" s="14" t="n">
        <f aca="false">IF(NOT(U211),0,IF(K211="Vacation",IF(C211="Eve",Settings!$B$11,1),IF(K211="Partial Vacation",O211/Settings!$B$9,0)))</f>
        <v>0</v>
      </c>
      <c r="R211" s="14" t="n">
        <f aca="false">IF(NOT(U211),0,IF(K211="Sick Leave",1,IF(K211="Partial Sick Leave",P211/Settings!$B$9,0)))</f>
        <v>0</v>
      </c>
      <c r="S211" s="35" t="str">
        <f aca="false">IF(AND(OR(E211="Vacation",E211="Sick Leave",E211="Partial Vacation",E211="Partial Sick Leave"),NOT(U211)),"Leave not allowed on this day",IF(AND(E211="Manual Work",OR(NOT(ISNUMBER(F211)),NOT(ISNUMBER(G211)))),"Enter start and end",IF(AND(OR(E211="Partial Vacation",E211="Partial Sick Leave"),OR(NOT(ISNUMBER(H211)),NOT(ISNUMBER(I211)))),"Enter leave from and to",IF(AND(ISNUMBER(F211),ISNUMBER(G211),G211&lt;=F211),"End is before start",IF(AND(ISNUMBER(H211),ISNUMBER(I211),I211&lt;=H211),"Leave end is before start",IF(AND(ISNUMBER(F211),ISNUMBER(G211),ISNUMBER(H211),ISNUMBER(I211),F211&lt;I211,H211&lt;G211),"Work and leave hours overlap",IF(AND(E211&lt;&gt;"",WEEKDAY(A211)=7),"Saturday - administrator only","")))))))</f>
        <v/>
      </c>
      <c r="T211" s="36" t="n">
        <f aca="false">MONTH(A211)</f>
        <v>7</v>
      </c>
      <c r="U211" s="37" t="b">
        <f aca="false">OR(C211="Workday",C211="Eve")</f>
        <v>0</v>
      </c>
      <c r="V211" s="34" t="n">
        <f aca="false">IF(C211="Eve",Settings!$B$8,Settings!$B$7)</f>
        <v>0.6875</v>
      </c>
      <c r="W211" s="14" t="n">
        <f aca="false">IF(U211,(V211-Settings!$B$6)*24,0)</f>
        <v>0</v>
      </c>
    </row>
    <row r="212" customFormat="false" ht="15" hidden="false" customHeight="false" outlineLevel="0" collapsed="false">
      <c r="A212" s="29" t="n">
        <v>46228</v>
      </c>
      <c r="B212" s="30" t="str">
        <f aca="false">CHOOSE(WEEKDAY(A212),"Sun","Mon","Tue","Wed","Thu","Fri","Sat")</f>
        <v>Sat</v>
      </c>
      <c r="C212" s="30" t="str">
        <f aca="false">IF(IFERROR(INDEX(Holidays!$D$5:$D$60,MATCH(A212,Holidays!$A$5:$A$60,0)),"")="Holiday","Holiday",IF(WEEKDAY(A212)&gt;=6,"Weekend",IF(IFERROR(INDEX(Holidays!$D$5:$D$60,MATCH(A212,Holidays!$A$5:$A$60,0)),"")="Eve","Eve","Workday")))</f>
        <v>Weekend</v>
      </c>
      <c r="D212" s="18" t="str">
        <f aca="false">IFERROR(INDEX(Holidays!$C$5:$C$60,MATCH(A212,Holidays!$A$5:$A$60,0)),"")</f>
        <v/>
      </c>
      <c r="E212" s="31"/>
      <c r="F212" s="32"/>
      <c r="G212" s="32"/>
      <c r="H212" s="32"/>
      <c r="I212" s="32"/>
      <c r="J212" s="31"/>
      <c r="K212" s="33" t="str">
        <f aca="false">IF(E212&lt;&gt;"",E212,IF(U212,"Present",IF(C212="Holiday","Holiday","Weekend")))</f>
        <v>Weekend</v>
      </c>
      <c r="L212" s="34" t="str">
        <f aca="false">IF(OR(K212="Present",K212="Manual Work",K212="Partial Vacation",K212="Partial Sick Leave"),IF(ISNUMBER(F212),F212,IF(AND(K212="Present",U212),Settings!$B$6,"")),"")</f>
        <v/>
      </c>
      <c r="M212" s="34" t="str">
        <f aca="false">IF(OR(K212="Present",K212="Manual Work",K212="Partial Vacation",K212="Partial Sick Leave"),IF(ISNUMBER(G212),G212,IF(AND(K212="Present",U212),V212,"")),"")</f>
        <v/>
      </c>
      <c r="N212" s="14" t="n">
        <f aca="false">IF(AND(ISNUMBER(L212),ISNUMBER(M212)),MAX(0,(M212-L212)*24),0)</f>
        <v>0</v>
      </c>
      <c r="O212" s="14" t="n">
        <f aca="false">IF(NOT(U212),0,IF(K212="Vacation",IF(C212="Eve",Settings!$B$9*Settings!$B$11,W212),IF(K212="Partial Vacation",IF(AND(ISNUMBER(H212),ISNUMBER(I212)),MAX(0,(I212-H212)*24),0),0)))</f>
        <v>0</v>
      </c>
      <c r="P212" s="14" t="n">
        <f aca="false">IF(NOT(U212),0,IF(K212="Sick Leave",W212,IF(K212="Partial Sick Leave",IF(AND(ISNUMBER(H212),ISNUMBER(I212)),MAX(0,(I212-H212)*24),0),0)))</f>
        <v>0</v>
      </c>
      <c r="Q212" s="14" t="n">
        <f aca="false">IF(NOT(U212),0,IF(K212="Vacation",IF(C212="Eve",Settings!$B$11,1),IF(K212="Partial Vacation",O212/Settings!$B$9,0)))</f>
        <v>0</v>
      </c>
      <c r="R212" s="14" t="n">
        <f aca="false">IF(NOT(U212),0,IF(K212="Sick Leave",1,IF(K212="Partial Sick Leave",P212/Settings!$B$9,0)))</f>
        <v>0</v>
      </c>
      <c r="S212" s="35" t="str">
        <f aca="false">IF(AND(OR(E212="Vacation",E212="Sick Leave",E212="Partial Vacation",E212="Partial Sick Leave"),NOT(U212)),"Leave not allowed on this day",IF(AND(E212="Manual Work",OR(NOT(ISNUMBER(F212)),NOT(ISNUMBER(G212)))),"Enter start and end",IF(AND(OR(E212="Partial Vacation",E212="Partial Sick Leave"),OR(NOT(ISNUMBER(H212)),NOT(ISNUMBER(I212)))),"Enter leave from and to",IF(AND(ISNUMBER(F212),ISNUMBER(G212),G212&lt;=F212),"End is before start",IF(AND(ISNUMBER(H212),ISNUMBER(I212),I212&lt;=H212),"Leave end is before start",IF(AND(ISNUMBER(F212),ISNUMBER(G212),ISNUMBER(H212),ISNUMBER(I212),F212&lt;I212,H212&lt;G212),"Work and leave hours overlap",IF(AND(E212&lt;&gt;"",WEEKDAY(A212)=7),"Saturday - administrator only","")))))))</f>
        <v/>
      </c>
      <c r="T212" s="36" t="n">
        <f aca="false">MONTH(A212)</f>
        <v>7</v>
      </c>
      <c r="U212" s="37" t="b">
        <f aca="false">OR(C212="Workday",C212="Eve")</f>
        <v>0</v>
      </c>
      <c r="V212" s="34" t="n">
        <f aca="false">IF(C212="Eve",Settings!$B$8,Settings!$B$7)</f>
        <v>0.6875</v>
      </c>
      <c r="W212" s="14" t="n">
        <f aca="false">IF(U212,(V212-Settings!$B$6)*24,0)</f>
        <v>0</v>
      </c>
    </row>
    <row r="213" customFormat="false" ht="15" hidden="false" customHeight="false" outlineLevel="0" collapsed="false">
      <c r="A213" s="29" t="n">
        <v>46229</v>
      </c>
      <c r="B213" s="30" t="str">
        <f aca="false">CHOOSE(WEEKDAY(A213),"Sun","Mon","Tue","Wed","Thu","Fri","Sat")</f>
        <v>Sun</v>
      </c>
      <c r="C213" s="30" t="str">
        <f aca="false">IF(IFERROR(INDEX(Holidays!$D$5:$D$60,MATCH(A213,Holidays!$A$5:$A$60,0)),"")="Holiday","Holiday",IF(WEEKDAY(A213)&gt;=6,"Weekend",IF(IFERROR(INDEX(Holidays!$D$5:$D$60,MATCH(A213,Holidays!$A$5:$A$60,0)),"")="Eve","Eve","Workday")))</f>
        <v>Workday</v>
      </c>
      <c r="D213" s="18" t="str">
        <f aca="false">IFERROR(INDEX(Holidays!$C$5:$C$60,MATCH(A213,Holidays!$A$5:$A$60,0)),"")</f>
        <v/>
      </c>
      <c r="E213" s="31"/>
      <c r="F213" s="32"/>
      <c r="G213" s="32"/>
      <c r="H213" s="32"/>
      <c r="I213" s="32"/>
      <c r="J213" s="31"/>
      <c r="K213" s="33" t="str">
        <f aca="false">IF(E213&lt;&gt;"",E213,IF(U213,"Present",IF(C213="Holiday","Holiday","Weekend")))</f>
        <v>Present</v>
      </c>
      <c r="L213" s="34" t="n">
        <f aca="false">IF(OR(K213="Present",K213="Manual Work",K213="Partial Vacation",K213="Partial Sick Leave"),IF(ISNUMBER(F213),F213,IF(AND(K213="Present",U213),Settings!$B$6,"")),"")</f>
        <v>0.333333333333333</v>
      </c>
      <c r="M213" s="34" t="n">
        <f aca="false">IF(OR(K213="Present",K213="Manual Work",K213="Partial Vacation",K213="Partial Sick Leave"),IF(ISNUMBER(G213),G213,IF(AND(K213="Present",U213),V213,"")),"")</f>
        <v>0.6875</v>
      </c>
      <c r="N213" s="14" t="n">
        <f aca="false">IF(AND(ISNUMBER(L213),ISNUMBER(M213)),MAX(0,(M213-L213)*24),0)</f>
        <v>8.5</v>
      </c>
      <c r="O213" s="14" t="n">
        <f aca="false">IF(NOT(U213),0,IF(K213="Vacation",IF(C213="Eve",Settings!$B$9*Settings!$B$11,W213),IF(K213="Partial Vacation",IF(AND(ISNUMBER(H213),ISNUMBER(I213)),MAX(0,(I213-H213)*24),0),0)))</f>
        <v>0</v>
      </c>
      <c r="P213" s="14" t="n">
        <f aca="false">IF(NOT(U213),0,IF(K213="Sick Leave",W213,IF(K213="Partial Sick Leave",IF(AND(ISNUMBER(H213),ISNUMBER(I213)),MAX(0,(I213-H213)*24),0),0)))</f>
        <v>0</v>
      </c>
      <c r="Q213" s="14" t="n">
        <f aca="false">IF(NOT(U213),0,IF(K213="Vacation",IF(C213="Eve",Settings!$B$11,1),IF(K213="Partial Vacation",O213/Settings!$B$9,0)))</f>
        <v>0</v>
      </c>
      <c r="R213" s="14" t="n">
        <f aca="false">IF(NOT(U213),0,IF(K213="Sick Leave",1,IF(K213="Partial Sick Leave",P213/Settings!$B$9,0)))</f>
        <v>0</v>
      </c>
      <c r="S213" s="35" t="str">
        <f aca="false">IF(AND(OR(E213="Vacation",E213="Sick Leave",E213="Partial Vacation",E213="Partial Sick Leave"),NOT(U213)),"Leave not allowed on this day",IF(AND(E213="Manual Work",OR(NOT(ISNUMBER(F213)),NOT(ISNUMBER(G213)))),"Enter start and end",IF(AND(OR(E213="Partial Vacation",E213="Partial Sick Leave"),OR(NOT(ISNUMBER(H213)),NOT(ISNUMBER(I213)))),"Enter leave from and to",IF(AND(ISNUMBER(F213),ISNUMBER(G213),G213&lt;=F213),"End is before start",IF(AND(ISNUMBER(H213),ISNUMBER(I213),I213&lt;=H213),"Leave end is before start",IF(AND(ISNUMBER(F213),ISNUMBER(G213),ISNUMBER(H213),ISNUMBER(I213),F213&lt;I213,H213&lt;G213),"Work and leave hours overlap",IF(AND(E213&lt;&gt;"",WEEKDAY(A213)=7),"Saturday - administrator only","")))))))</f>
        <v/>
      </c>
      <c r="T213" s="36" t="n">
        <f aca="false">MONTH(A213)</f>
        <v>7</v>
      </c>
      <c r="U213" s="37" t="b">
        <f aca="false">OR(C213="Workday",C213="Eve")</f>
        <v>1</v>
      </c>
      <c r="V213" s="34" t="n">
        <f aca="false">IF(C213="Eve",Settings!$B$8,Settings!$B$7)</f>
        <v>0.6875</v>
      </c>
      <c r="W213" s="14" t="n">
        <f aca="false">IF(U213,(V213-Settings!$B$6)*24,0)</f>
        <v>8.5</v>
      </c>
    </row>
    <row r="214" customFormat="false" ht="15" hidden="false" customHeight="false" outlineLevel="0" collapsed="false">
      <c r="A214" s="29" t="n">
        <v>46230</v>
      </c>
      <c r="B214" s="30" t="str">
        <f aca="false">CHOOSE(WEEKDAY(A214),"Sun","Mon","Tue","Wed","Thu","Fri","Sat")</f>
        <v>Mon</v>
      </c>
      <c r="C214" s="30" t="str">
        <f aca="false">IF(IFERROR(INDEX(Holidays!$D$5:$D$60,MATCH(A214,Holidays!$A$5:$A$60,0)),"")="Holiday","Holiday",IF(WEEKDAY(A214)&gt;=6,"Weekend",IF(IFERROR(INDEX(Holidays!$D$5:$D$60,MATCH(A214,Holidays!$A$5:$A$60,0)),"")="Eve","Eve","Workday")))</f>
        <v>Workday</v>
      </c>
      <c r="D214" s="18" t="str">
        <f aca="false">IFERROR(INDEX(Holidays!$C$5:$C$60,MATCH(A214,Holidays!$A$5:$A$60,0)),"")</f>
        <v/>
      </c>
      <c r="E214" s="31"/>
      <c r="F214" s="32"/>
      <c r="G214" s="32"/>
      <c r="H214" s="32"/>
      <c r="I214" s="32"/>
      <c r="J214" s="31"/>
      <c r="K214" s="33" t="str">
        <f aca="false">IF(E214&lt;&gt;"",E214,IF(U214,"Present",IF(C214="Holiday","Holiday","Weekend")))</f>
        <v>Present</v>
      </c>
      <c r="L214" s="34" t="n">
        <f aca="false">IF(OR(K214="Present",K214="Manual Work",K214="Partial Vacation",K214="Partial Sick Leave"),IF(ISNUMBER(F214),F214,IF(AND(K214="Present",U214),Settings!$B$6,"")),"")</f>
        <v>0.333333333333333</v>
      </c>
      <c r="M214" s="34" t="n">
        <f aca="false">IF(OR(K214="Present",K214="Manual Work",K214="Partial Vacation",K214="Partial Sick Leave"),IF(ISNUMBER(G214),G214,IF(AND(K214="Present",U214),V214,"")),"")</f>
        <v>0.6875</v>
      </c>
      <c r="N214" s="14" t="n">
        <f aca="false">IF(AND(ISNUMBER(L214),ISNUMBER(M214)),MAX(0,(M214-L214)*24),0)</f>
        <v>8.5</v>
      </c>
      <c r="O214" s="14" t="n">
        <f aca="false">IF(NOT(U214),0,IF(K214="Vacation",IF(C214="Eve",Settings!$B$9*Settings!$B$11,W214),IF(K214="Partial Vacation",IF(AND(ISNUMBER(H214),ISNUMBER(I214)),MAX(0,(I214-H214)*24),0),0)))</f>
        <v>0</v>
      </c>
      <c r="P214" s="14" t="n">
        <f aca="false">IF(NOT(U214),0,IF(K214="Sick Leave",W214,IF(K214="Partial Sick Leave",IF(AND(ISNUMBER(H214),ISNUMBER(I214)),MAX(0,(I214-H214)*24),0),0)))</f>
        <v>0</v>
      </c>
      <c r="Q214" s="14" t="n">
        <f aca="false">IF(NOT(U214),0,IF(K214="Vacation",IF(C214="Eve",Settings!$B$11,1),IF(K214="Partial Vacation",O214/Settings!$B$9,0)))</f>
        <v>0</v>
      </c>
      <c r="R214" s="14" t="n">
        <f aca="false">IF(NOT(U214),0,IF(K214="Sick Leave",1,IF(K214="Partial Sick Leave",P214/Settings!$B$9,0)))</f>
        <v>0</v>
      </c>
      <c r="S214" s="35" t="str">
        <f aca="false">IF(AND(OR(E214="Vacation",E214="Sick Leave",E214="Partial Vacation",E214="Partial Sick Leave"),NOT(U214)),"Leave not allowed on this day",IF(AND(E214="Manual Work",OR(NOT(ISNUMBER(F214)),NOT(ISNUMBER(G214)))),"Enter start and end",IF(AND(OR(E214="Partial Vacation",E214="Partial Sick Leave"),OR(NOT(ISNUMBER(H214)),NOT(ISNUMBER(I214)))),"Enter leave from and to",IF(AND(ISNUMBER(F214),ISNUMBER(G214),G214&lt;=F214),"End is before start",IF(AND(ISNUMBER(H214),ISNUMBER(I214),I214&lt;=H214),"Leave end is before start",IF(AND(ISNUMBER(F214),ISNUMBER(G214),ISNUMBER(H214),ISNUMBER(I214),F214&lt;I214,H214&lt;G214),"Work and leave hours overlap",IF(AND(E214&lt;&gt;"",WEEKDAY(A214)=7),"Saturday - administrator only","")))))))</f>
        <v/>
      </c>
      <c r="T214" s="36" t="n">
        <f aca="false">MONTH(A214)</f>
        <v>7</v>
      </c>
      <c r="U214" s="37" t="b">
        <f aca="false">OR(C214="Workday",C214="Eve")</f>
        <v>1</v>
      </c>
      <c r="V214" s="34" t="n">
        <f aca="false">IF(C214="Eve",Settings!$B$8,Settings!$B$7)</f>
        <v>0.6875</v>
      </c>
      <c r="W214" s="14" t="n">
        <f aca="false">IF(U214,(V214-Settings!$B$6)*24,0)</f>
        <v>8.5</v>
      </c>
    </row>
    <row r="215" customFormat="false" ht="15" hidden="false" customHeight="false" outlineLevel="0" collapsed="false">
      <c r="A215" s="29" t="n">
        <v>46231</v>
      </c>
      <c r="B215" s="30" t="str">
        <f aca="false">CHOOSE(WEEKDAY(A215),"Sun","Mon","Tue","Wed","Thu","Fri","Sat")</f>
        <v>Tue</v>
      </c>
      <c r="C215" s="30" t="str">
        <f aca="false">IF(IFERROR(INDEX(Holidays!$D$5:$D$60,MATCH(A215,Holidays!$A$5:$A$60,0)),"")="Holiday","Holiday",IF(WEEKDAY(A215)&gt;=6,"Weekend",IF(IFERROR(INDEX(Holidays!$D$5:$D$60,MATCH(A215,Holidays!$A$5:$A$60,0)),"")="Eve","Eve","Workday")))</f>
        <v>Workday</v>
      </c>
      <c r="D215" s="18" t="str">
        <f aca="false">IFERROR(INDEX(Holidays!$C$5:$C$60,MATCH(A215,Holidays!$A$5:$A$60,0)),"")</f>
        <v/>
      </c>
      <c r="E215" s="31"/>
      <c r="F215" s="32"/>
      <c r="G215" s="32"/>
      <c r="H215" s="32"/>
      <c r="I215" s="32"/>
      <c r="J215" s="31"/>
      <c r="K215" s="33" t="str">
        <f aca="false">IF(E215&lt;&gt;"",E215,IF(U215,"Present",IF(C215="Holiday","Holiday","Weekend")))</f>
        <v>Present</v>
      </c>
      <c r="L215" s="34" t="n">
        <f aca="false">IF(OR(K215="Present",K215="Manual Work",K215="Partial Vacation",K215="Partial Sick Leave"),IF(ISNUMBER(F215),F215,IF(AND(K215="Present",U215),Settings!$B$6,"")),"")</f>
        <v>0.333333333333333</v>
      </c>
      <c r="M215" s="34" t="n">
        <f aca="false">IF(OR(K215="Present",K215="Manual Work",K215="Partial Vacation",K215="Partial Sick Leave"),IF(ISNUMBER(G215),G215,IF(AND(K215="Present",U215),V215,"")),"")</f>
        <v>0.6875</v>
      </c>
      <c r="N215" s="14" t="n">
        <f aca="false">IF(AND(ISNUMBER(L215),ISNUMBER(M215)),MAX(0,(M215-L215)*24),0)</f>
        <v>8.5</v>
      </c>
      <c r="O215" s="14" t="n">
        <f aca="false">IF(NOT(U215),0,IF(K215="Vacation",IF(C215="Eve",Settings!$B$9*Settings!$B$11,W215),IF(K215="Partial Vacation",IF(AND(ISNUMBER(H215),ISNUMBER(I215)),MAX(0,(I215-H215)*24),0),0)))</f>
        <v>0</v>
      </c>
      <c r="P215" s="14" t="n">
        <f aca="false">IF(NOT(U215),0,IF(K215="Sick Leave",W215,IF(K215="Partial Sick Leave",IF(AND(ISNUMBER(H215),ISNUMBER(I215)),MAX(0,(I215-H215)*24),0),0)))</f>
        <v>0</v>
      </c>
      <c r="Q215" s="14" t="n">
        <f aca="false">IF(NOT(U215),0,IF(K215="Vacation",IF(C215="Eve",Settings!$B$11,1),IF(K215="Partial Vacation",O215/Settings!$B$9,0)))</f>
        <v>0</v>
      </c>
      <c r="R215" s="14" t="n">
        <f aca="false">IF(NOT(U215),0,IF(K215="Sick Leave",1,IF(K215="Partial Sick Leave",P215/Settings!$B$9,0)))</f>
        <v>0</v>
      </c>
      <c r="S215" s="35" t="str">
        <f aca="false">IF(AND(OR(E215="Vacation",E215="Sick Leave",E215="Partial Vacation",E215="Partial Sick Leave"),NOT(U215)),"Leave not allowed on this day",IF(AND(E215="Manual Work",OR(NOT(ISNUMBER(F215)),NOT(ISNUMBER(G215)))),"Enter start and end",IF(AND(OR(E215="Partial Vacation",E215="Partial Sick Leave"),OR(NOT(ISNUMBER(H215)),NOT(ISNUMBER(I215)))),"Enter leave from and to",IF(AND(ISNUMBER(F215),ISNUMBER(G215),G215&lt;=F215),"End is before start",IF(AND(ISNUMBER(H215),ISNUMBER(I215),I215&lt;=H215),"Leave end is before start",IF(AND(ISNUMBER(F215),ISNUMBER(G215),ISNUMBER(H215),ISNUMBER(I215),F215&lt;I215,H215&lt;G215),"Work and leave hours overlap",IF(AND(E215&lt;&gt;"",WEEKDAY(A215)=7),"Saturday - administrator only","")))))))</f>
        <v/>
      </c>
      <c r="T215" s="36" t="n">
        <f aca="false">MONTH(A215)</f>
        <v>7</v>
      </c>
      <c r="U215" s="37" t="b">
        <f aca="false">OR(C215="Workday",C215="Eve")</f>
        <v>1</v>
      </c>
      <c r="V215" s="34" t="n">
        <f aca="false">IF(C215="Eve",Settings!$B$8,Settings!$B$7)</f>
        <v>0.6875</v>
      </c>
      <c r="W215" s="14" t="n">
        <f aca="false">IF(U215,(V215-Settings!$B$6)*24,0)</f>
        <v>8.5</v>
      </c>
    </row>
    <row r="216" customFormat="false" ht="15" hidden="false" customHeight="false" outlineLevel="0" collapsed="false">
      <c r="A216" s="29" t="n">
        <v>46232</v>
      </c>
      <c r="B216" s="30" t="str">
        <f aca="false">CHOOSE(WEEKDAY(A216),"Sun","Mon","Tue","Wed","Thu","Fri","Sat")</f>
        <v>Wed</v>
      </c>
      <c r="C216" s="30" t="str">
        <f aca="false">IF(IFERROR(INDEX(Holidays!$D$5:$D$60,MATCH(A216,Holidays!$A$5:$A$60,0)),"")="Holiday","Holiday",IF(WEEKDAY(A216)&gt;=6,"Weekend",IF(IFERROR(INDEX(Holidays!$D$5:$D$60,MATCH(A216,Holidays!$A$5:$A$60,0)),"")="Eve","Eve","Workday")))</f>
        <v>Workday</v>
      </c>
      <c r="D216" s="18" t="str">
        <f aca="false">IFERROR(INDEX(Holidays!$C$5:$C$60,MATCH(A216,Holidays!$A$5:$A$60,0)),"")</f>
        <v/>
      </c>
      <c r="E216" s="31"/>
      <c r="F216" s="32"/>
      <c r="G216" s="32"/>
      <c r="H216" s="32"/>
      <c r="I216" s="32"/>
      <c r="J216" s="31"/>
      <c r="K216" s="33" t="str">
        <f aca="false">IF(E216&lt;&gt;"",E216,IF(U216,"Present",IF(C216="Holiday","Holiday","Weekend")))</f>
        <v>Present</v>
      </c>
      <c r="L216" s="34" t="n">
        <f aca="false">IF(OR(K216="Present",K216="Manual Work",K216="Partial Vacation",K216="Partial Sick Leave"),IF(ISNUMBER(F216),F216,IF(AND(K216="Present",U216),Settings!$B$6,"")),"")</f>
        <v>0.333333333333333</v>
      </c>
      <c r="M216" s="34" t="n">
        <f aca="false">IF(OR(K216="Present",K216="Manual Work",K216="Partial Vacation",K216="Partial Sick Leave"),IF(ISNUMBER(G216),G216,IF(AND(K216="Present",U216),V216,"")),"")</f>
        <v>0.6875</v>
      </c>
      <c r="N216" s="14" t="n">
        <f aca="false">IF(AND(ISNUMBER(L216),ISNUMBER(M216)),MAX(0,(M216-L216)*24),0)</f>
        <v>8.5</v>
      </c>
      <c r="O216" s="14" t="n">
        <f aca="false">IF(NOT(U216),0,IF(K216="Vacation",IF(C216="Eve",Settings!$B$9*Settings!$B$11,W216),IF(K216="Partial Vacation",IF(AND(ISNUMBER(H216),ISNUMBER(I216)),MAX(0,(I216-H216)*24),0),0)))</f>
        <v>0</v>
      </c>
      <c r="P216" s="14" t="n">
        <f aca="false">IF(NOT(U216),0,IF(K216="Sick Leave",W216,IF(K216="Partial Sick Leave",IF(AND(ISNUMBER(H216),ISNUMBER(I216)),MAX(0,(I216-H216)*24),0),0)))</f>
        <v>0</v>
      </c>
      <c r="Q216" s="14" t="n">
        <f aca="false">IF(NOT(U216),0,IF(K216="Vacation",IF(C216="Eve",Settings!$B$11,1),IF(K216="Partial Vacation",O216/Settings!$B$9,0)))</f>
        <v>0</v>
      </c>
      <c r="R216" s="14" t="n">
        <f aca="false">IF(NOT(U216),0,IF(K216="Sick Leave",1,IF(K216="Partial Sick Leave",P216/Settings!$B$9,0)))</f>
        <v>0</v>
      </c>
      <c r="S216" s="35" t="str">
        <f aca="false">IF(AND(OR(E216="Vacation",E216="Sick Leave",E216="Partial Vacation",E216="Partial Sick Leave"),NOT(U216)),"Leave not allowed on this day",IF(AND(E216="Manual Work",OR(NOT(ISNUMBER(F216)),NOT(ISNUMBER(G216)))),"Enter start and end",IF(AND(OR(E216="Partial Vacation",E216="Partial Sick Leave"),OR(NOT(ISNUMBER(H216)),NOT(ISNUMBER(I216)))),"Enter leave from and to",IF(AND(ISNUMBER(F216),ISNUMBER(G216),G216&lt;=F216),"End is before start",IF(AND(ISNUMBER(H216),ISNUMBER(I216),I216&lt;=H216),"Leave end is before start",IF(AND(ISNUMBER(F216),ISNUMBER(G216),ISNUMBER(H216),ISNUMBER(I216),F216&lt;I216,H216&lt;G216),"Work and leave hours overlap",IF(AND(E216&lt;&gt;"",WEEKDAY(A216)=7),"Saturday - administrator only","")))))))</f>
        <v/>
      </c>
      <c r="T216" s="36" t="n">
        <f aca="false">MONTH(A216)</f>
        <v>7</v>
      </c>
      <c r="U216" s="37" t="b">
        <f aca="false">OR(C216="Workday",C216="Eve")</f>
        <v>1</v>
      </c>
      <c r="V216" s="34" t="n">
        <f aca="false">IF(C216="Eve",Settings!$B$8,Settings!$B$7)</f>
        <v>0.6875</v>
      </c>
      <c r="W216" s="14" t="n">
        <f aca="false">IF(U216,(V216-Settings!$B$6)*24,0)</f>
        <v>8.5</v>
      </c>
    </row>
    <row r="217" customFormat="false" ht="15" hidden="false" customHeight="false" outlineLevel="0" collapsed="false">
      <c r="A217" s="29" t="n">
        <v>46233</v>
      </c>
      <c r="B217" s="30" t="str">
        <f aca="false">CHOOSE(WEEKDAY(A217),"Sun","Mon","Tue","Wed","Thu","Fri","Sat")</f>
        <v>Thu</v>
      </c>
      <c r="C217" s="30" t="str">
        <f aca="false">IF(IFERROR(INDEX(Holidays!$D$5:$D$60,MATCH(A217,Holidays!$A$5:$A$60,0)),"")="Holiday","Holiday",IF(WEEKDAY(A217)&gt;=6,"Weekend",IF(IFERROR(INDEX(Holidays!$D$5:$D$60,MATCH(A217,Holidays!$A$5:$A$60,0)),"")="Eve","Eve","Workday")))</f>
        <v>Workday</v>
      </c>
      <c r="D217" s="18" t="str">
        <f aca="false">IFERROR(INDEX(Holidays!$C$5:$C$60,MATCH(A217,Holidays!$A$5:$A$60,0)),"")</f>
        <v/>
      </c>
      <c r="E217" s="31"/>
      <c r="F217" s="32"/>
      <c r="G217" s="32"/>
      <c r="H217" s="32"/>
      <c r="I217" s="32"/>
      <c r="J217" s="31"/>
      <c r="K217" s="33" t="str">
        <f aca="false">IF(E217&lt;&gt;"",E217,IF(U217,"Present",IF(C217="Holiday","Holiday","Weekend")))</f>
        <v>Present</v>
      </c>
      <c r="L217" s="34" t="n">
        <f aca="false">IF(OR(K217="Present",K217="Manual Work",K217="Partial Vacation",K217="Partial Sick Leave"),IF(ISNUMBER(F217),F217,IF(AND(K217="Present",U217),Settings!$B$6,"")),"")</f>
        <v>0.333333333333333</v>
      </c>
      <c r="M217" s="34" t="n">
        <f aca="false">IF(OR(K217="Present",K217="Manual Work",K217="Partial Vacation",K217="Partial Sick Leave"),IF(ISNUMBER(G217),G217,IF(AND(K217="Present",U217),V217,"")),"")</f>
        <v>0.6875</v>
      </c>
      <c r="N217" s="14" t="n">
        <f aca="false">IF(AND(ISNUMBER(L217),ISNUMBER(M217)),MAX(0,(M217-L217)*24),0)</f>
        <v>8.5</v>
      </c>
      <c r="O217" s="14" t="n">
        <f aca="false">IF(NOT(U217),0,IF(K217="Vacation",IF(C217="Eve",Settings!$B$9*Settings!$B$11,W217),IF(K217="Partial Vacation",IF(AND(ISNUMBER(H217),ISNUMBER(I217)),MAX(0,(I217-H217)*24),0),0)))</f>
        <v>0</v>
      </c>
      <c r="P217" s="14" t="n">
        <f aca="false">IF(NOT(U217),0,IF(K217="Sick Leave",W217,IF(K217="Partial Sick Leave",IF(AND(ISNUMBER(H217),ISNUMBER(I217)),MAX(0,(I217-H217)*24),0),0)))</f>
        <v>0</v>
      </c>
      <c r="Q217" s="14" t="n">
        <f aca="false">IF(NOT(U217),0,IF(K217="Vacation",IF(C217="Eve",Settings!$B$11,1),IF(K217="Partial Vacation",O217/Settings!$B$9,0)))</f>
        <v>0</v>
      </c>
      <c r="R217" s="14" t="n">
        <f aca="false">IF(NOT(U217),0,IF(K217="Sick Leave",1,IF(K217="Partial Sick Leave",P217/Settings!$B$9,0)))</f>
        <v>0</v>
      </c>
      <c r="S217" s="35" t="str">
        <f aca="false">IF(AND(OR(E217="Vacation",E217="Sick Leave",E217="Partial Vacation",E217="Partial Sick Leave"),NOT(U217)),"Leave not allowed on this day",IF(AND(E217="Manual Work",OR(NOT(ISNUMBER(F217)),NOT(ISNUMBER(G217)))),"Enter start and end",IF(AND(OR(E217="Partial Vacation",E217="Partial Sick Leave"),OR(NOT(ISNUMBER(H217)),NOT(ISNUMBER(I217)))),"Enter leave from and to",IF(AND(ISNUMBER(F217),ISNUMBER(G217),G217&lt;=F217),"End is before start",IF(AND(ISNUMBER(H217),ISNUMBER(I217),I217&lt;=H217),"Leave end is before start",IF(AND(ISNUMBER(F217),ISNUMBER(G217),ISNUMBER(H217),ISNUMBER(I217),F217&lt;I217,H217&lt;G217),"Work and leave hours overlap",IF(AND(E217&lt;&gt;"",WEEKDAY(A217)=7),"Saturday - administrator only","")))))))</f>
        <v/>
      </c>
      <c r="T217" s="36" t="n">
        <f aca="false">MONTH(A217)</f>
        <v>7</v>
      </c>
      <c r="U217" s="37" t="b">
        <f aca="false">OR(C217="Workday",C217="Eve")</f>
        <v>1</v>
      </c>
      <c r="V217" s="34" t="n">
        <f aca="false">IF(C217="Eve",Settings!$B$8,Settings!$B$7)</f>
        <v>0.6875</v>
      </c>
      <c r="W217" s="14" t="n">
        <f aca="false">IF(U217,(V217-Settings!$B$6)*24,0)</f>
        <v>8.5</v>
      </c>
    </row>
    <row r="218" customFormat="false" ht="15" hidden="false" customHeight="false" outlineLevel="0" collapsed="false">
      <c r="A218" s="29" t="n">
        <v>46234</v>
      </c>
      <c r="B218" s="30" t="str">
        <f aca="false">CHOOSE(WEEKDAY(A218),"Sun","Mon","Tue","Wed","Thu","Fri","Sat")</f>
        <v>Fri</v>
      </c>
      <c r="C218" s="30" t="str">
        <f aca="false">IF(IFERROR(INDEX(Holidays!$D$5:$D$60,MATCH(A218,Holidays!$A$5:$A$60,0)),"")="Holiday","Holiday",IF(WEEKDAY(A218)&gt;=6,"Weekend",IF(IFERROR(INDEX(Holidays!$D$5:$D$60,MATCH(A218,Holidays!$A$5:$A$60,0)),"")="Eve","Eve","Workday")))</f>
        <v>Weekend</v>
      </c>
      <c r="D218" s="18" t="str">
        <f aca="false">IFERROR(INDEX(Holidays!$C$5:$C$60,MATCH(A218,Holidays!$A$5:$A$60,0)),"")</f>
        <v/>
      </c>
      <c r="E218" s="31"/>
      <c r="F218" s="32"/>
      <c r="G218" s="32"/>
      <c r="H218" s="32"/>
      <c r="I218" s="32"/>
      <c r="J218" s="31"/>
      <c r="K218" s="33" t="str">
        <f aca="false">IF(E218&lt;&gt;"",E218,IF(U218,"Present",IF(C218="Holiday","Holiday","Weekend")))</f>
        <v>Weekend</v>
      </c>
      <c r="L218" s="34" t="str">
        <f aca="false">IF(OR(K218="Present",K218="Manual Work",K218="Partial Vacation",K218="Partial Sick Leave"),IF(ISNUMBER(F218),F218,IF(AND(K218="Present",U218),Settings!$B$6,"")),"")</f>
        <v/>
      </c>
      <c r="M218" s="34" t="str">
        <f aca="false">IF(OR(K218="Present",K218="Manual Work",K218="Partial Vacation",K218="Partial Sick Leave"),IF(ISNUMBER(G218),G218,IF(AND(K218="Present",U218),V218,"")),"")</f>
        <v/>
      </c>
      <c r="N218" s="14" t="n">
        <f aca="false">IF(AND(ISNUMBER(L218),ISNUMBER(M218)),MAX(0,(M218-L218)*24),0)</f>
        <v>0</v>
      </c>
      <c r="O218" s="14" t="n">
        <f aca="false">IF(NOT(U218),0,IF(K218="Vacation",IF(C218="Eve",Settings!$B$9*Settings!$B$11,W218),IF(K218="Partial Vacation",IF(AND(ISNUMBER(H218),ISNUMBER(I218)),MAX(0,(I218-H218)*24),0),0)))</f>
        <v>0</v>
      </c>
      <c r="P218" s="14" t="n">
        <f aca="false">IF(NOT(U218),0,IF(K218="Sick Leave",W218,IF(K218="Partial Sick Leave",IF(AND(ISNUMBER(H218),ISNUMBER(I218)),MAX(0,(I218-H218)*24),0),0)))</f>
        <v>0</v>
      </c>
      <c r="Q218" s="14" t="n">
        <f aca="false">IF(NOT(U218),0,IF(K218="Vacation",IF(C218="Eve",Settings!$B$11,1),IF(K218="Partial Vacation",O218/Settings!$B$9,0)))</f>
        <v>0</v>
      </c>
      <c r="R218" s="14" t="n">
        <f aca="false">IF(NOT(U218),0,IF(K218="Sick Leave",1,IF(K218="Partial Sick Leave",P218/Settings!$B$9,0)))</f>
        <v>0</v>
      </c>
      <c r="S218" s="35" t="str">
        <f aca="false">IF(AND(OR(E218="Vacation",E218="Sick Leave",E218="Partial Vacation",E218="Partial Sick Leave"),NOT(U218)),"Leave not allowed on this day",IF(AND(E218="Manual Work",OR(NOT(ISNUMBER(F218)),NOT(ISNUMBER(G218)))),"Enter start and end",IF(AND(OR(E218="Partial Vacation",E218="Partial Sick Leave"),OR(NOT(ISNUMBER(H218)),NOT(ISNUMBER(I218)))),"Enter leave from and to",IF(AND(ISNUMBER(F218),ISNUMBER(G218),G218&lt;=F218),"End is before start",IF(AND(ISNUMBER(H218),ISNUMBER(I218),I218&lt;=H218),"Leave end is before start",IF(AND(ISNUMBER(F218),ISNUMBER(G218),ISNUMBER(H218),ISNUMBER(I218),F218&lt;I218,H218&lt;G218),"Work and leave hours overlap",IF(AND(E218&lt;&gt;"",WEEKDAY(A218)=7),"Saturday - administrator only","")))))))</f>
        <v/>
      </c>
      <c r="T218" s="36" t="n">
        <f aca="false">MONTH(A218)</f>
        <v>7</v>
      </c>
      <c r="U218" s="37" t="b">
        <f aca="false">OR(C218="Workday",C218="Eve")</f>
        <v>0</v>
      </c>
      <c r="V218" s="34" t="n">
        <f aca="false">IF(C218="Eve",Settings!$B$8,Settings!$B$7)</f>
        <v>0.6875</v>
      </c>
      <c r="W218" s="14" t="n">
        <f aca="false">IF(U218,(V218-Settings!$B$6)*24,0)</f>
        <v>0</v>
      </c>
    </row>
    <row r="219" customFormat="false" ht="15" hidden="false" customHeight="false" outlineLevel="0" collapsed="false">
      <c r="A219" s="29" t="n">
        <v>46235</v>
      </c>
      <c r="B219" s="30" t="str">
        <f aca="false">CHOOSE(WEEKDAY(A219),"Sun","Mon","Tue","Wed","Thu","Fri","Sat")</f>
        <v>Sat</v>
      </c>
      <c r="C219" s="30" t="str">
        <f aca="false">IF(IFERROR(INDEX(Holidays!$D$5:$D$60,MATCH(A219,Holidays!$A$5:$A$60,0)),"")="Holiday","Holiday",IF(WEEKDAY(A219)&gt;=6,"Weekend",IF(IFERROR(INDEX(Holidays!$D$5:$D$60,MATCH(A219,Holidays!$A$5:$A$60,0)),"")="Eve","Eve","Workday")))</f>
        <v>Weekend</v>
      </c>
      <c r="D219" s="18" t="str">
        <f aca="false">IFERROR(INDEX(Holidays!$C$5:$C$60,MATCH(A219,Holidays!$A$5:$A$60,0)),"")</f>
        <v/>
      </c>
      <c r="E219" s="31"/>
      <c r="F219" s="32"/>
      <c r="G219" s="32"/>
      <c r="H219" s="32"/>
      <c r="I219" s="32"/>
      <c r="J219" s="31"/>
      <c r="K219" s="33" t="str">
        <f aca="false">IF(E219&lt;&gt;"",E219,IF(U219,"Present",IF(C219="Holiday","Holiday","Weekend")))</f>
        <v>Weekend</v>
      </c>
      <c r="L219" s="34" t="str">
        <f aca="false">IF(OR(K219="Present",K219="Manual Work",K219="Partial Vacation",K219="Partial Sick Leave"),IF(ISNUMBER(F219),F219,IF(AND(K219="Present",U219),Settings!$B$6,"")),"")</f>
        <v/>
      </c>
      <c r="M219" s="34" t="str">
        <f aca="false">IF(OR(K219="Present",K219="Manual Work",K219="Partial Vacation",K219="Partial Sick Leave"),IF(ISNUMBER(G219),G219,IF(AND(K219="Present",U219),V219,"")),"")</f>
        <v/>
      </c>
      <c r="N219" s="14" t="n">
        <f aca="false">IF(AND(ISNUMBER(L219),ISNUMBER(M219)),MAX(0,(M219-L219)*24),0)</f>
        <v>0</v>
      </c>
      <c r="O219" s="14" t="n">
        <f aca="false">IF(NOT(U219),0,IF(K219="Vacation",IF(C219="Eve",Settings!$B$9*Settings!$B$11,W219),IF(K219="Partial Vacation",IF(AND(ISNUMBER(H219),ISNUMBER(I219)),MAX(0,(I219-H219)*24),0),0)))</f>
        <v>0</v>
      </c>
      <c r="P219" s="14" t="n">
        <f aca="false">IF(NOT(U219),0,IF(K219="Sick Leave",W219,IF(K219="Partial Sick Leave",IF(AND(ISNUMBER(H219),ISNUMBER(I219)),MAX(0,(I219-H219)*24),0),0)))</f>
        <v>0</v>
      </c>
      <c r="Q219" s="14" t="n">
        <f aca="false">IF(NOT(U219),0,IF(K219="Vacation",IF(C219="Eve",Settings!$B$11,1),IF(K219="Partial Vacation",O219/Settings!$B$9,0)))</f>
        <v>0</v>
      </c>
      <c r="R219" s="14" t="n">
        <f aca="false">IF(NOT(U219),0,IF(K219="Sick Leave",1,IF(K219="Partial Sick Leave",P219/Settings!$B$9,0)))</f>
        <v>0</v>
      </c>
      <c r="S219" s="35" t="str">
        <f aca="false">IF(AND(OR(E219="Vacation",E219="Sick Leave",E219="Partial Vacation",E219="Partial Sick Leave"),NOT(U219)),"Leave not allowed on this day",IF(AND(E219="Manual Work",OR(NOT(ISNUMBER(F219)),NOT(ISNUMBER(G219)))),"Enter start and end",IF(AND(OR(E219="Partial Vacation",E219="Partial Sick Leave"),OR(NOT(ISNUMBER(H219)),NOT(ISNUMBER(I219)))),"Enter leave from and to",IF(AND(ISNUMBER(F219),ISNUMBER(G219),G219&lt;=F219),"End is before start",IF(AND(ISNUMBER(H219),ISNUMBER(I219),I219&lt;=H219),"Leave end is before start",IF(AND(ISNUMBER(F219),ISNUMBER(G219),ISNUMBER(H219),ISNUMBER(I219),F219&lt;I219,H219&lt;G219),"Work and leave hours overlap",IF(AND(E219&lt;&gt;"",WEEKDAY(A219)=7),"Saturday - administrator only","")))))))</f>
        <v/>
      </c>
      <c r="T219" s="36" t="n">
        <f aca="false">MONTH(A219)</f>
        <v>8</v>
      </c>
      <c r="U219" s="37" t="b">
        <f aca="false">OR(C219="Workday",C219="Eve")</f>
        <v>0</v>
      </c>
      <c r="V219" s="34" t="n">
        <f aca="false">IF(C219="Eve",Settings!$B$8,Settings!$B$7)</f>
        <v>0.6875</v>
      </c>
      <c r="W219" s="14" t="n">
        <f aca="false">IF(U219,(V219-Settings!$B$6)*24,0)</f>
        <v>0</v>
      </c>
    </row>
    <row r="220" customFormat="false" ht="15" hidden="false" customHeight="false" outlineLevel="0" collapsed="false">
      <c r="A220" s="29" t="n">
        <v>46236</v>
      </c>
      <c r="B220" s="30" t="str">
        <f aca="false">CHOOSE(WEEKDAY(A220),"Sun","Mon","Tue","Wed","Thu","Fri","Sat")</f>
        <v>Sun</v>
      </c>
      <c r="C220" s="30" t="str">
        <f aca="false">IF(IFERROR(INDEX(Holidays!$D$5:$D$60,MATCH(A220,Holidays!$A$5:$A$60,0)),"")="Holiday","Holiday",IF(WEEKDAY(A220)&gt;=6,"Weekend",IF(IFERROR(INDEX(Holidays!$D$5:$D$60,MATCH(A220,Holidays!$A$5:$A$60,0)),"")="Eve","Eve","Workday")))</f>
        <v>Workday</v>
      </c>
      <c r="D220" s="18" t="str">
        <f aca="false">IFERROR(INDEX(Holidays!$C$5:$C$60,MATCH(A220,Holidays!$A$5:$A$60,0)),"")</f>
        <v/>
      </c>
      <c r="E220" s="31"/>
      <c r="F220" s="32"/>
      <c r="G220" s="32"/>
      <c r="H220" s="32"/>
      <c r="I220" s="32"/>
      <c r="J220" s="31"/>
      <c r="K220" s="33" t="str">
        <f aca="false">IF(E220&lt;&gt;"",E220,IF(U220,"Present",IF(C220="Holiday","Holiday","Weekend")))</f>
        <v>Present</v>
      </c>
      <c r="L220" s="34" t="n">
        <f aca="false">IF(OR(K220="Present",K220="Manual Work",K220="Partial Vacation",K220="Partial Sick Leave"),IF(ISNUMBER(F220),F220,IF(AND(K220="Present",U220),Settings!$B$6,"")),"")</f>
        <v>0.333333333333333</v>
      </c>
      <c r="M220" s="34" t="n">
        <f aca="false">IF(OR(K220="Present",K220="Manual Work",K220="Partial Vacation",K220="Partial Sick Leave"),IF(ISNUMBER(G220),G220,IF(AND(K220="Present",U220),V220,"")),"")</f>
        <v>0.6875</v>
      </c>
      <c r="N220" s="14" t="n">
        <f aca="false">IF(AND(ISNUMBER(L220),ISNUMBER(M220)),MAX(0,(M220-L220)*24),0)</f>
        <v>8.5</v>
      </c>
      <c r="O220" s="14" t="n">
        <f aca="false">IF(NOT(U220),0,IF(K220="Vacation",IF(C220="Eve",Settings!$B$9*Settings!$B$11,W220),IF(K220="Partial Vacation",IF(AND(ISNUMBER(H220),ISNUMBER(I220)),MAX(0,(I220-H220)*24),0),0)))</f>
        <v>0</v>
      </c>
      <c r="P220" s="14" t="n">
        <f aca="false">IF(NOT(U220),0,IF(K220="Sick Leave",W220,IF(K220="Partial Sick Leave",IF(AND(ISNUMBER(H220),ISNUMBER(I220)),MAX(0,(I220-H220)*24),0),0)))</f>
        <v>0</v>
      </c>
      <c r="Q220" s="14" t="n">
        <f aca="false">IF(NOT(U220),0,IF(K220="Vacation",IF(C220="Eve",Settings!$B$11,1),IF(K220="Partial Vacation",O220/Settings!$B$9,0)))</f>
        <v>0</v>
      </c>
      <c r="R220" s="14" t="n">
        <f aca="false">IF(NOT(U220),0,IF(K220="Sick Leave",1,IF(K220="Partial Sick Leave",P220/Settings!$B$9,0)))</f>
        <v>0</v>
      </c>
      <c r="S220" s="35" t="str">
        <f aca="false">IF(AND(OR(E220="Vacation",E220="Sick Leave",E220="Partial Vacation",E220="Partial Sick Leave"),NOT(U220)),"Leave not allowed on this day",IF(AND(E220="Manual Work",OR(NOT(ISNUMBER(F220)),NOT(ISNUMBER(G220)))),"Enter start and end",IF(AND(OR(E220="Partial Vacation",E220="Partial Sick Leave"),OR(NOT(ISNUMBER(H220)),NOT(ISNUMBER(I220)))),"Enter leave from and to",IF(AND(ISNUMBER(F220),ISNUMBER(G220),G220&lt;=F220),"End is before start",IF(AND(ISNUMBER(H220),ISNUMBER(I220),I220&lt;=H220),"Leave end is before start",IF(AND(ISNUMBER(F220),ISNUMBER(G220),ISNUMBER(H220),ISNUMBER(I220),F220&lt;I220,H220&lt;G220),"Work and leave hours overlap",IF(AND(E220&lt;&gt;"",WEEKDAY(A220)=7),"Saturday - administrator only","")))))))</f>
        <v/>
      </c>
      <c r="T220" s="36" t="n">
        <f aca="false">MONTH(A220)</f>
        <v>8</v>
      </c>
      <c r="U220" s="37" t="b">
        <f aca="false">OR(C220="Workday",C220="Eve")</f>
        <v>1</v>
      </c>
      <c r="V220" s="34" t="n">
        <f aca="false">IF(C220="Eve",Settings!$B$8,Settings!$B$7)</f>
        <v>0.6875</v>
      </c>
      <c r="W220" s="14" t="n">
        <f aca="false">IF(U220,(V220-Settings!$B$6)*24,0)</f>
        <v>8.5</v>
      </c>
    </row>
    <row r="221" customFormat="false" ht="15" hidden="false" customHeight="false" outlineLevel="0" collapsed="false">
      <c r="A221" s="29" t="n">
        <v>46237</v>
      </c>
      <c r="B221" s="30" t="str">
        <f aca="false">CHOOSE(WEEKDAY(A221),"Sun","Mon","Tue","Wed","Thu","Fri","Sat")</f>
        <v>Mon</v>
      </c>
      <c r="C221" s="30" t="str">
        <f aca="false">IF(IFERROR(INDEX(Holidays!$D$5:$D$60,MATCH(A221,Holidays!$A$5:$A$60,0)),"")="Holiday","Holiday",IF(WEEKDAY(A221)&gt;=6,"Weekend",IF(IFERROR(INDEX(Holidays!$D$5:$D$60,MATCH(A221,Holidays!$A$5:$A$60,0)),"")="Eve","Eve","Workday")))</f>
        <v>Workday</v>
      </c>
      <c r="D221" s="18" t="str">
        <f aca="false">IFERROR(INDEX(Holidays!$C$5:$C$60,MATCH(A221,Holidays!$A$5:$A$60,0)),"")</f>
        <v/>
      </c>
      <c r="E221" s="31"/>
      <c r="F221" s="32"/>
      <c r="G221" s="32"/>
      <c r="H221" s="32"/>
      <c r="I221" s="32"/>
      <c r="J221" s="31"/>
      <c r="K221" s="33" t="str">
        <f aca="false">IF(E221&lt;&gt;"",E221,IF(U221,"Present",IF(C221="Holiday","Holiday","Weekend")))</f>
        <v>Present</v>
      </c>
      <c r="L221" s="34" t="n">
        <f aca="false">IF(OR(K221="Present",K221="Manual Work",K221="Partial Vacation",K221="Partial Sick Leave"),IF(ISNUMBER(F221),F221,IF(AND(K221="Present",U221),Settings!$B$6,"")),"")</f>
        <v>0.333333333333333</v>
      </c>
      <c r="M221" s="34" t="n">
        <f aca="false">IF(OR(K221="Present",K221="Manual Work",K221="Partial Vacation",K221="Partial Sick Leave"),IF(ISNUMBER(G221),G221,IF(AND(K221="Present",U221),V221,"")),"")</f>
        <v>0.6875</v>
      </c>
      <c r="N221" s="14" t="n">
        <f aca="false">IF(AND(ISNUMBER(L221),ISNUMBER(M221)),MAX(0,(M221-L221)*24),0)</f>
        <v>8.5</v>
      </c>
      <c r="O221" s="14" t="n">
        <f aca="false">IF(NOT(U221),0,IF(K221="Vacation",IF(C221="Eve",Settings!$B$9*Settings!$B$11,W221),IF(K221="Partial Vacation",IF(AND(ISNUMBER(H221),ISNUMBER(I221)),MAX(0,(I221-H221)*24),0),0)))</f>
        <v>0</v>
      </c>
      <c r="P221" s="14" t="n">
        <f aca="false">IF(NOT(U221),0,IF(K221="Sick Leave",W221,IF(K221="Partial Sick Leave",IF(AND(ISNUMBER(H221),ISNUMBER(I221)),MAX(0,(I221-H221)*24),0),0)))</f>
        <v>0</v>
      </c>
      <c r="Q221" s="14" t="n">
        <f aca="false">IF(NOT(U221),0,IF(K221="Vacation",IF(C221="Eve",Settings!$B$11,1),IF(K221="Partial Vacation",O221/Settings!$B$9,0)))</f>
        <v>0</v>
      </c>
      <c r="R221" s="14" t="n">
        <f aca="false">IF(NOT(U221),0,IF(K221="Sick Leave",1,IF(K221="Partial Sick Leave",P221/Settings!$B$9,0)))</f>
        <v>0</v>
      </c>
      <c r="S221" s="35" t="str">
        <f aca="false">IF(AND(OR(E221="Vacation",E221="Sick Leave",E221="Partial Vacation",E221="Partial Sick Leave"),NOT(U221)),"Leave not allowed on this day",IF(AND(E221="Manual Work",OR(NOT(ISNUMBER(F221)),NOT(ISNUMBER(G221)))),"Enter start and end",IF(AND(OR(E221="Partial Vacation",E221="Partial Sick Leave"),OR(NOT(ISNUMBER(H221)),NOT(ISNUMBER(I221)))),"Enter leave from and to",IF(AND(ISNUMBER(F221),ISNUMBER(G221),G221&lt;=F221),"End is before start",IF(AND(ISNUMBER(H221),ISNUMBER(I221),I221&lt;=H221),"Leave end is before start",IF(AND(ISNUMBER(F221),ISNUMBER(G221),ISNUMBER(H221),ISNUMBER(I221),F221&lt;I221,H221&lt;G221),"Work and leave hours overlap",IF(AND(E221&lt;&gt;"",WEEKDAY(A221)=7),"Saturday - administrator only","")))))))</f>
        <v/>
      </c>
      <c r="T221" s="36" t="n">
        <f aca="false">MONTH(A221)</f>
        <v>8</v>
      </c>
      <c r="U221" s="37" t="b">
        <f aca="false">OR(C221="Workday",C221="Eve")</f>
        <v>1</v>
      </c>
      <c r="V221" s="34" t="n">
        <f aca="false">IF(C221="Eve",Settings!$B$8,Settings!$B$7)</f>
        <v>0.6875</v>
      </c>
      <c r="W221" s="14" t="n">
        <f aca="false">IF(U221,(V221-Settings!$B$6)*24,0)</f>
        <v>8.5</v>
      </c>
    </row>
    <row r="222" customFormat="false" ht="15" hidden="false" customHeight="false" outlineLevel="0" collapsed="false">
      <c r="A222" s="29" t="n">
        <v>46238</v>
      </c>
      <c r="B222" s="30" t="str">
        <f aca="false">CHOOSE(WEEKDAY(A222),"Sun","Mon","Tue","Wed","Thu","Fri","Sat")</f>
        <v>Tue</v>
      </c>
      <c r="C222" s="30" t="str">
        <f aca="false">IF(IFERROR(INDEX(Holidays!$D$5:$D$60,MATCH(A222,Holidays!$A$5:$A$60,0)),"")="Holiday","Holiday",IF(WEEKDAY(A222)&gt;=6,"Weekend",IF(IFERROR(INDEX(Holidays!$D$5:$D$60,MATCH(A222,Holidays!$A$5:$A$60,0)),"")="Eve","Eve","Workday")))</f>
        <v>Workday</v>
      </c>
      <c r="D222" s="18" t="str">
        <f aca="false">IFERROR(INDEX(Holidays!$C$5:$C$60,MATCH(A222,Holidays!$A$5:$A$60,0)),"")</f>
        <v/>
      </c>
      <c r="E222" s="31"/>
      <c r="F222" s="32"/>
      <c r="G222" s="32"/>
      <c r="H222" s="32"/>
      <c r="I222" s="32"/>
      <c r="J222" s="31"/>
      <c r="K222" s="33" t="str">
        <f aca="false">IF(E222&lt;&gt;"",E222,IF(U222,"Present",IF(C222="Holiday","Holiday","Weekend")))</f>
        <v>Present</v>
      </c>
      <c r="L222" s="34" t="n">
        <f aca="false">IF(OR(K222="Present",K222="Manual Work",K222="Partial Vacation",K222="Partial Sick Leave"),IF(ISNUMBER(F222),F222,IF(AND(K222="Present",U222),Settings!$B$6,"")),"")</f>
        <v>0.333333333333333</v>
      </c>
      <c r="M222" s="34" t="n">
        <f aca="false">IF(OR(K222="Present",K222="Manual Work",K222="Partial Vacation",K222="Partial Sick Leave"),IF(ISNUMBER(G222),G222,IF(AND(K222="Present",U222),V222,"")),"")</f>
        <v>0.6875</v>
      </c>
      <c r="N222" s="14" t="n">
        <f aca="false">IF(AND(ISNUMBER(L222),ISNUMBER(M222)),MAX(0,(M222-L222)*24),0)</f>
        <v>8.5</v>
      </c>
      <c r="O222" s="14" t="n">
        <f aca="false">IF(NOT(U222),0,IF(K222="Vacation",IF(C222="Eve",Settings!$B$9*Settings!$B$11,W222),IF(K222="Partial Vacation",IF(AND(ISNUMBER(H222),ISNUMBER(I222)),MAX(0,(I222-H222)*24),0),0)))</f>
        <v>0</v>
      </c>
      <c r="P222" s="14" t="n">
        <f aca="false">IF(NOT(U222),0,IF(K222="Sick Leave",W222,IF(K222="Partial Sick Leave",IF(AND(ISNUMBER(H222),ISNUMBER(I222)),MAX(0,(I222-H222)*24),0),0)))</f>
        <v>0</v>
      </c>
      <c r="Q222" s="14" t="n">
        <f aca="false">IF(NOT(U222),0,IF(K222="Vacation",IF(C222="Eve",Settings!$B$11,1),IF(K222="Partial Vacation",O222/Settings!$B$9,0)))</f>
        <v>0</v>
      </c>
      <c r="R222" s="14" t="n">
        <f aca="false">IF(NOT(U222),0,IF(K222="Sick Leave",1,IF(K222="Partial Sick Leave",P222/Settings!$B$9,0)))</f>
        <v>0</v>
      </c>
      <c r="S222" s="35" t="str">
        <f aca="false">IF(AND(OR(E222="Vacation",E222="Sick Leave",E222="Partial Vacation",E222="Partial Sick Leave"),NOT(U222)),"Leave not allowed on this day",IF(AND(E222="Manual Work",OR(NOT(ISNUMBER(F222)),NOT(ISNUMBER(G222)))),"Enter start and end",IF(AND(OR(E222="Partial Vacation",E222="Partial Sick Leave"),OR(NOT(ISNUMBER(H222)),NOT(ISNUMBER(I222)))),"Enter leave from and to",IF(AND(ISNUMBER(F222),ISNUMBER(G222),G222&lt;=F222),"End is before start",IF(AND(ISNUMBER(H222),ISNUMBER(I222),I222&lt;=H222),"Leave end is before start",IF(AND(ISNUMBER(F222),ISNUMBER(G222),ISNUMBER(H222),ISNUMBER(I222),F222&lt;I222,H222&lt;G222),"Work and leave hours overlap",IF(AND(E222&lt;&gt;"",WEEKDAY(A222)=7),"Saturday - administrator only","")))))))</f>
        <v/>
      </c>
      <c r="T222" s="36" t="n">
        <f aca="false">MONTH(A222)</f>
        <v>8</v>
      </c>
      <c r="U222" s="37" t="b">
        <f aca="false">OR(C222="Workday",C222="Eve")</f>
        <v>1</v>
      </c>
      <c r="V222" s="34" t="n">
        <f aca="false">IF(C222="Eve",Settings!$B$8,Settings!$B$7)</f>
        <v>0.6875</v>
      </c>
      <c r="W222" s="14" t="n">
        <f aca="false">IF(U222,(V222-Settings!$B$6)*24,0)</f>
        <v>8.5</v>
      </c>
    </row>
    <row r="223" customFormat="false" ht="15" hidden="false" customHeight="false" outlineLevel="0" collapsed="false">
      <c r="A223" s="29" t="n">
        <v>46239</v>
      </c>
      <c r="B223" s="30" t="str">
        <f aca="false">CHOOSE(WEEKDAY(A223),"Sun","Mon","Tue","Wed","Thu","Fri","Sat")</f>
        <v>Wed</v>
      </c>
      <c r="C223" s="30" t="str">
        <f aca="false">IF(IFERROR(INDEX(Holidays!$D$5:$D$60,MATCH(A223,Holidays!$A$5:$A$60,0)),"")="Holiday","Holiday",IF(WEEKDAY(A223)&gt;=6,"Weekend",IF(IFERROR(INDEX(Holidays!$D$5:$D$60,MATCH(A223,Holidays!$A$5:$A$60,0)),"")="Eve","Eve","Workday")))</f>
        <v>Workday</v>
      </c>
      <c r="D223" s="18" t="str">
        <f aca="false">IFERROR(INDEX(Holidays!$C$5:$C$60,MATCH(A223,Holidays!$A$5:$A$60,0)),"")</f>
        <v/>
      </c>
      <c r="E223" s="31"/>
      <c r="F223" s="32"/>
      <c r="G223" s="32"/>
      <c r="H223" s="32"/>
      <c r="I223" s="32"/>
      <c r="J223" s="31"/>
      <c r="K223" s="33" t="str">
        <f aca="false">IF(E223&lt;&gt;"",E223,IF(U223,"Present",IF(C223="Holiday","Holiday","Weekend")))</f>
        <v>Present</v>
      </c>
      <c r="L223" s="34" t="n">
        <f aca="false">IF(OR(K223="Present",K223="Manual Work",K223="Partial Vacation",K223="Partial Sick Leave"),IF(ISNUMBER(F223),F223,IF(AND(K223="Present",U223),Settings!$B$6,"")),"")</f>
        <v>0.333333333333333</v>
      </c>
      <c r="M223" s="34" t="n">
        <f aca="false">IF(OR(K223="Present",K223="Manual Work",K223="Partial Vacation",K223="Partial Sick Leave"),IF(ISNUMBER(G223),G223,IF(AND(K223="Present",U223),V223,"")),"")</f>
        <v>0.6875</v>
      </c>
      <c r="N223" s="14" t="n">
        <f aca="false">IF(AND(ISNUMBER(L223),ISNUMBER(M223)),MAX(0,(M223-L223)*24),0)</f>
        <v>8.5</v>
      </c>
      <c r="O223" s="14" t="n">
        <f aca="false">IF(NOT(U223),0,IF(K223="Vacation",IF(C223="Eve",Settings!$B$9*Settings!$B$11,W223),IF(K223="Partial Vacation",IF(AND(ISNUMBER(H223),ISNUMBER(I223)),MAX(0,(I223-H223)*24),0),0)))</f>
        <v>0</v>
      </c>
      <c r="P223" s="14" t="n">
        <f aca="false">IF(NOT(U223),0,IF(K223="Sick Leave",W223,IF(K223="Partial Sick Leave",IF(AND(ISNUMBER(H223),ISNUMBER(I223)),MAX(0,(I223-H223)*24),0),0)))</f>
        <v>0</v>
      </c>
      <c r="Q223" s="14" t="n">
        <f aca="false">IF(NOT(U223),0,IF(K223="Vacation",IF(C223="Eve",Settings!$B$11,1),IF(K223="Partial Vacation",O223/Settings!$B$9,0)))</f>
        <v>0</v>
      </c>
      <c r="R223" s="14" t="n">
        <f aca="false">IF(NOT(U223),0,IF(K223="Sick Leave",1,IF(K223="Partial Sick Leave",P223/Settings!$B$9,0)))</f>
        <v>0</v>
      </c>
      <c r="S223" s="35" t="str">
        <f aca="false">IF(AND(OR(E223="Vacation",E223="Sick Leave",E223="Partial Vacation",E223="Partial Sick Leave"),NOT(U223)),"Leave not allowed on this day",IF(AND(E223="Manual Work",OR(NOT(ISNUMBER(F223)),NOT(ISNUMBER(G223)))),"Enter start and end",IF(AND(OR(E223="Partial Vacation",E223="Partial Sick Leave"),OR(NOT(ISNUMBER(H223)),NOT(ISNUMBER(I223)))),"Enter leave from and to",IF(AND(ISNUMBER(F223),ISNUMBER(G223),G223&lt;=F223),"End is before start",IF(AND(ISNUMBER(H223),ISNUMBER(I223),I223&lt;=H223),"Leave end is before start",IF(AND(ISNUMBER(F223),ISNUMBER(G223),ISNUMBER(H223),ISNUMBER(I223),F223&lt;I223,H223&lt;G223),"Work and leave hours overlap",IF(AND(E223&lt;&gt;"",WEEKDAY(A223)=7),"Saturday - administrator only","")))))))</f>
        <v/>
      </c>
      <c r="T223" s="36" t="n">
        <f aca="false">MONTH(A223)</f>
        <v>8</v>
      </c>
      <c r="U223" s="37" t="b">
        <f aca="false">OR(C223="Workday",C223="Eve")</f>
        <v>1</v>
      </c>
      <c r="V223" s="34" t="n">
        <f aca="false">IF(C223="Eve",Settings!$B$8,Settings!$B$7)</f>
        <v>0.6875</v>
      </c>
      <c r="W223" s="14" t="n">
        <f aca="false">IF(U223,(V223-Settings!$B$6)*24,0)</f>
        <v>8.5</v>
      </c>
    </row>
    <row r="224" customFormat="false" ht="15" hidden="false" customHeight="false" outlineLevel="0" collapsed="false">
      <c r="A224" s="29" t="n">
        <v>46240</v>
      </c>
      <c r="B224" s="30" t="str">
        <f aca="false">CHOOSE(WEEKDAY(A224),"Sun","Mon","Tue","Wed","Thu","Fri","Sat")</f>
        <v>Thu</v>
      </c>
      <c r="C224" s="30" t="str">
        <f aca="false">IF(IFERROR(INDEX(Holidays!$D$5:$D$60,MATCH(A224,Holidays!$A$5:$A$60,0)),"")="Holiday","Holiday",IF(WEEKDAY(A224)&gt;=6,"Weekend",IF(IFERROR(INDEX(Holidays!$D$5:$D$60,MATCH(A224,Holidays!$A$5:$A$60,0)),"")="Eve","Eve","Workday")))</f>
        <v>Workday</v>
      </c>
      <c r="D224" s="18" t="str">
        <f aca="false">IFERROR(INDEX(Holidays!$C$5:$C$60,MATCH(A224,Holidays!$A$5:$A$60,0)),"")</f>
        <v/>
      </c>
      <c r="E224" s="31"/>
      <c r="F224" s="32"/>
      <c r="G224" s="32"/>
      <c r="H224" s="32"/>
      <c r="I224" s="32"/>
      <c r="J224" s="31"/>
      <c r="K224" s="33" t="str">
        <f aca="false">IF(E224&lt;&gt;"",E224,IF(U224,"Present",IF(C224="Holiday","Holiday","Weekend")))</f>
        <v>Present</v>
      </c>
      <c r="L224" s="34" t="n">
        <f aca="false">IF(OR(K224="Present",K224="Manual Work",K224="Partial Vacation",K224="Partial Sick Leave"),IF(ISNUMBER(F224),F224,IF(AND(K224="Present",U224),Settings!$B$6,"")),"")</f>
        <v>0.333333333333333</v>
      </c>
      <c r="M224" s="34" t="n">
        <f aca="false">IF(OR(K224="Present",K224="Manual Work",K224="Partial Vacation",K224="Partial Sick Leave"),IF(ISNUMBER(G224),G224,IF(AND(K224="Present",U224),V224,"")),"")</f>
        <v>0.6875</v>
      </c>
      <c r="N224" s="14" t="n">
        <f aca="false">IF(AND(ISNUMBER(L224),ISNUMBER(M224)),MAX(0,(M224-L224)*24),0)</f>
        <v>8.5</v>
      </c>
      <c r="O224" s="14" t="n">
        <f aca="false">IF(NOT(U224),0,IF(K224="Vacation",IF(C224="Eve",Settings!$B$9*Settings!$B$11,W224),IF(K224="Partial Vacation",IF(AND(ISNUMBER(H224),ISNUMBER(I224)),MAX(0,(I224-H224)*24),0),0)))</f>
        <v>0</v>
      </c>
      <c r="P224" s="14" t="n">
        <f aca="false">IF(NOT(U224),0,IF(K224="Sick Leave",W224,IF(K224="Partial Sick Leave",IF(AND(ISNUMBER(H224),ISNUMBER(I224)),MAX(0,(I224-H224)*24),0),0)))</f>
        <v>0</v>
      </c>
      <c r="Q224" s="14" t="n">
        <f aca="false">IF(NOT(U224),0,IF(K224="Vacation",IF(C224="Eve",Settings!$B$11,1),IF(K224="Partial Vacation",O224/Settings!$B$9,0)))</f>
        <v>0</v>
      </c>
      <c r="R224" s="14" t="n">
        <f aca="false">IF(NOT(U224),0,IF(K224="Sick Leave",1,IF(K224="Partial Sick Leave",P224/Settings!$B$9,0)))</f>
        <v>0</v>
      </c>
      <c r="S224" s="35" t="str">
        <f aca="false">IF(AND(OR(E224="Vacation",E224="Sick Leave",E224="Partial Vacation",E224="Partial Sick Leave"),NOT(U224)),"Leave not allowed on this day",IF(AND(E224="Manual Work",OR(NOT(ISNUMBER(F224)),NOT(ISNUMBER(G224)))),"Enter start and end",IF(AND(OR(E224="Partial Vacation",E224="Partial Sick Leave"),OR(NOT(ISNUMBER(H224)),NOT(ISNUMBER(I224)))),"Enter leave from and to",IF(AND(ISNUMBER(F224),ISNUMBER(G224),G224&lt;=F224),"End is before start",IF(AND(ISNUMBER(H224),ISNUMBER(I224),I224&lt;=H224),"Leave end is before start",IF(AND(ISNUMBER(F224),ISNUMBER(G224),ISNUMBER(H224),ISNUMBER(I224),F224&lt;I224,H224&lt;G224),"Work and leave hours overlap",IF(AND(E224&lt;&gt;"",WEEKDAY(A224)=7),"Saturday - administrator only","")))))))</f>
        <v/>
      </c>
      <c r="T224" s="36" t="n">
        <f aca="false">MONTH(A224)</f>
        <v>8</v>
      </c>
      <c r="U224" s="37" t="b">
        <f aca="false">OR(C224="Workday",C224="Eve")</f>
        <v>1</v>
      </c>
      <c r="V224" s="34" t="n">
        <f aca="false">IF(C224="Eve",Settings!$B$8,Settings!$B$7)</f>
        <v>0.6875</v>
      </c>
      <c r="W224" s="14" t="n">
        <f aca="false">IF(U224,(V224-Settings!$B$6)*24,0)</f>
        <v>8.5</v>
      </c>
    </row>
    <row r="225" customFormat="false" ht="15" hidden="false" customHeight="false" outlineLevel="0" collapsed="false">
      <c r="A225" s="29" t="n">
        <v>46241</v>
      </c>
      <c r="B225" s="30" t="str">
        <f aca="false">CHOOSE(WEEKDAY(A225),"Sun","Mon","Tue","Wed","Thu","Fri","Sat")</f>
        <v>Fri</v>
      </c>
      <c r="C225" s="30" t="str">
        <f aca="false">IF(IFERROR(INDEX(Holidays!$D$5:$D$60,MATCH(A225,Holidays!$A$5:$A$60,0)),"")="Holiday","Holiday",IF(WEEKDAY(A225)&gt;=6,"Weekend",IF(IFERROR(INDEX(Holidays!$D$5:$D$60,MATCH(A225,Holidays!$A$5:$A$60,0)),"")="Eve","Eve","Workday")))</f>
        <v>Weekend</v>
      </c>
      <c r="D225" s="18" t="str">
        <f aca="false">IFERROR(INDEX(Holidays!$C$5:$C$60,MATCH(A225,Holidays!$A$5:$A$60,0)),"")</f>
        <v/>
      </c>
      <c r="E225" s="31"/>
      <c r="F225" s="32"/>
      <c r="G225" s="32"/>
      <c r="H225" s="32"/>
      <c r="I225" s="32"/>
      <c r="J225" s="31"/>
      <c r="K225" s="33" t="str">
        <f aca="false">IF(E225&lt;&gt;"",E225,IF(U225,"Present",IF(C225="Holiday","Holiday","Weekend")))</f>
        <v>Weekend</v>
      </c>
      <c r="L225" s="34" t="str">
        <f aca="false">IF(OR(K225="Present",K225="Manual Work",K225="Partial Vacation",K225="Partial Sick Leave"),IF(ISNUMBER(F225),F225,IF(AND(K225="Present",U225),Settings!$B$6,"")),"")</f>
        <v/>
      </c>
      <c r="M225" s="34" t="str">
        <f aca="false">IF(OR(K225="Present",K225="Manual Work",K225="Partial Vacation",K225="Partial Sick Leave"),IF(ISNUMBER(G225),G225,IF(AND(K225="Present",U225),V225,"")),"")</f>
        <v/>
      </c>
      <c r="N225" s="14" t="n">
        <f aca="false">IF(AND(ISNUMBER(L225),ISNUMBER(M225)),MAX(0,(M225-L225)*24),0)</f>
        <v>0</v>
      </c>
      <c r="O225" s="14" t="n">
        <f aca="false">IF(NOT(U225),0,IF(K225="Vacation",IF(C225="Eve",Settings!$B$9*Settings!$B$11,W225),IF(K225="Partial Vacation",IF(AND(ISNUMBER(H225),ISNUMBER(I225)),MAX(0,(I225-H225)*24),0),0)))</f>
        <v>0</v>
      </c>
      <c r="P225" s="14" t="n">
        <f aca="false">IF(NOT(U225),0,IF(K225="Sick Leave",W225,IF(K225="Partial Sick Leave",IF(AND(ISNUMBER(H225),ISNUMBER(I225)),MAX(0,(I225-H225)*24),0),0)))</f>
        <v>0</v>
      </c>
      <c r="Q225" s="14" t="n">
        <f aca="false">IF(NOT(U225),0,IF(K225="Vacation",IF(C225="Eve",Settings!$B$11,1),IF(K225="Partial Vacation",O225/Settings!$B$9,0)))</f>
        <v>0</v>
      </c>
      <c r="R225" s="14" t="n">
        <f aca="false">IF(NOT(U225),0,IF(K225="Sick Leave",1,IF(K225="Partial Sick Leave",P225/Settings!$B$9,0)))</f>
        <v>0</v>
      </c>
      <c r="S225" s="35" t="str">
        <f aca="false">IF(AND(OR(E225="Vacation",E225="Sick Leave",E225="Partial Vacation",E225="Partial Sick Leave"),NOT(U225)),"Leave not allowed on this day",IF(AND(E225="Manual Work",OR(NOT(ISNUMBER(F225)),NOT(ISNUMBER(G225)))),"Enter start and end",IF(AND(OR(E225="Partial Vacation",E225="Partial Sick Leave"),OR(NOT(ISNUMBER(H225)),NOT(ISNUMBER(I225)))),"Enter leave from and to",IF(AND(ISNUMBER(F225),ISNUMBER(G225),G225&lt;=F225),"End is before start",IF(AND(ISNUMBER(H225),ISNUMBER(I225),I225&lt;=H225),"Leave end is before start",IF(AND(ISNUMBER(F225),ISNUMBER(G225),ISNUMBER(H225),ISNUMBER(I225),F225&lt;I225,H225&lt;G225),"Work and leave hours overlap",IF(AND(E225&lt;&gt;"",WEEKDAY(A225)=7),"Saturday - administrator only","")))))))</f>
        <v/>
      </c>
      <c r="T225" s="36" t="n">
        <f aca="false">MONTH(A225)</f>
        <v>8</v>
      </c>
      <c r="U225" s="37" t="b">
        <f aca="false">OR(C225="Workday",C225="Eve")</f>
        <v>0</v>
      </c>
      <c r="V225" s="34" t="n">
        <f aca="false">IF(C225="Eve",Settings!$B$8,Settings!$B$7)</f>
        <v>0.6875</v>
      </c>
      <c r="W225" s="14" t="n">
        <f aca="false">IF(U225,(V225-Settings!$B$6)*24,0)</f>
        <v>0</v>
      </c>
    </row>
    <row r="226" customFormat="false" ht="15" hidden="false" customHeight="false" outlineLevel="0" collapsed="false">
      <c r="A226" s="29" t="n">
        <v>46242</v>
      </c>
      <c r="B226" s="30" t="str">
        <f aca="false">CHOOSE(WEEKDAY(A226),"Sun","Mon","Tue","Wed","Thu","Fri","Sat")</f>
        <v>Sat</v>
      </c>
      <c r="C226" s="30" t="str">
        <f aca="false">IF(IFERROR(INDEX(Holidays!$D$5:$D$60,MATCH(A226,Holidays!$A$5:$A$60,0)),"")="Holiday","Holiday",IF(WEEKDAY(A226)&gt;=6,"Weekend",IF(IFERROR(INDEX(Holidays!$D$5:$D$60,MATCH(A226,Holidays!$A$5:$A$60,0)),"")="Eve","Eve","Workday")))</f>
        <v>Weekend</v>
      </c>
      <c r="D226" s="18" t="str">
        <f aca="false">IFERROR(INDEX(Holidays!$C$5:$C$60,MATCH(A226,Holidays!$A$5:$A$60,0)),"")</f>
        <v/>
      </c>
      <c r="E226" s="31"/>
      <c r="F226" s="32"/>
      <c r="G226" s="32"/>
      <c r="H226" s="32"/>
      <c r="I226" s="32"/>
      <c r="J226" s="31"/>
      <c r="K226" s="33" t="str">
        <f aca="false">IF(E226&lt;&gt;"",E226,IF(U226,"Present",IF(C226="Holiday","Holiday","Weekend")))</f>
        <v>Weekend</v>
      </c>
      <c r="L226" s="34" t="str">
        <f aca="false">IF(OR(K226="Present",K226="Manual Work",K226="Partial Vacation",K226="Partial Sick Leave"),IF(ISNUMBER(F226),F226,IF(AND(K226="Present",U226),Settings!$B$6,"")),"")</f>
        <v/>
      </c>
      <c r="M226" s="34" t="str">
        <f aca="false">IF(OR(K226="Present",K226="Manual Work",K226="Partial Vacation",K226="Partial Sick Leave"),IF(ISNUMBER(G226),G226,IF(AND(K226="Present",U226),V226,"")),"")</f>
        <v/>
      </c>
      <c r="N226" s="14" t="n">
        <f aca="false">IF(AND(ISNUMBER(L226),ISNUMBER(M226)),MAX(0,(M226-L226)*24),0)</f>
        <v>0</v>
      </c>
      <c r="O226" s="14" t="n">
        <f aca="false">IF(NOT(U226),0,IF(K226="Vacation",IF(C226="Eve",Settings!$B$9*Settings!$B$11,W226),IF(K226="Partial Vacation",IF(AND(ISNUMBER(H226),ISNUMBER(I226)),MAX(0,(I226-H226)*24),0),0)))</f>
        <v>0</v>
      </c>
      <c r="P226" s="14" t="n">
        <f aca="false">IF(NOT(U226),0,IF(K226="Sick Leave",W226,IF(K226="Partial Sick Leave",IF(AND(ISNUMBER(H226),ISNUMBER(I226)),MAX(0,(I226-H226)*24),0),0)))</f>
        <v>0</v>
      </c>
      <c r="Q226" s="14" t="n">
        <f aca="false">IF(NOT(U226),0,IF(K226="Vacation",IF(C226="Eve",Settings!$B$11,1),IF(K226="Partial Vacation",O226/Settings!$B$9,0)))</f>
        <v>0</v>
      </c>
      <c r="R226" s="14" t="n">
        <f aca="false">IF(NOT(U226),0,IF(K226="Sick Leave",1,IF(K226="Partial Sick Leave",P226/Settings!$B$9,0)))</f>
        <v>0</v>
      </c>
      <c r="S226" s="35" t="str">
        <f aca="false">IF(AND(OR(E226="Vacation",E226="Sick Leave",E226="Partial Vacation",E226="Partial Sick Leave"),NOT(U226)),"Leave not allowed on this day",IF(AND(E226="Manual Work",OR(NOT(ISNUMBER(F226)),NOT(ISNUMBER(G226)))),"Enter start and end",IF(AND(OR(E226="Partial Vacation",E226="Partial Sick Leave"),OR(NOT(ISNUMBER(H226)),NOT(ISNUMBER(I226)))),"Enter leave from and to",IF(AND(ISNUMBER(F226),ISNUMBER(G226),G226&lt;=F226),"End is before start",IF(AND(ISNUMBER(H226),ISNUMBER(I226),I226&lt;=H226),"Leave end is before start",IF(AND(ISNUMBER(F226),ISNUMBER(G226),ISNUMBER(H226),ISNUMBER(I226),F226&lt;I226,H226&lt;G226),"Work and leave hours overlap",IF(AND(E226&lt;&gt;"",WEEKDAY(A226)=7),"Saturday - administrator only","")))))))</f>
        <v/>
      </c>
      <c r="T226" s="36" t="n">
        <f aca="false">MONTH(A226)</f>
        <v>8</v>
      </c>
      <c r="U226" s="37" t="b">
        <f aca="false">OR(C226="Workday",C226="Eve")</f>
        <v>0</v>
      </c>
      <c r="V226" s="34" t="n">
        <f aca="false">IF(C226="Eve",Settings!$B$8,Settings!$B$7)</f>
        <v>0.6875</v>
      </c>
      <c r="W226" s="14" t="n">
        <f aca="false">IF(U226,(V226-Settings!$B$6)*24,0)</f>
        <v>0</v>
      </c>
    </row>
    <row r="227" customFormat="false" ht="15" hidden="false" customHeight="false" outlineLevel="0" collapsed="false">
      <c r="A227" s="29" t="n">
        <v>46243</v>
      </c>
      <c r="B227" s="30" t="str">
        <f aca="false">CHOOSE(WEEKDAY(A227),"Sun","Mon","Tue","Wed","Thu","Fri","Sat")</f>
        <v>Sun</v>
      </c>
      <c r="C227" s="30" t="str">
        <f aca="false">IF(IFERROR(INDEX(Holidays!$D$5:$D$60,MATCH(A227,Holidays!$A$5:$A$60,0)),"")="Holiday","Holiday",IF(WEEKDAY(A227)&gt;=6,"Weekend",IF(IFERROR(INDEX(Holidays!$D$5:$D$60,MATCH(A227,Holidays!$A$5:$A$60,0)),"")="Eve","Eve","Workday")))</f>
        <v>Workday</v>
      </c>
      <c r="D227" s="18" t="str">
        <f aca="false">IFERROR(INDEX(Holidays!$C$5:$C$60,MATCH(A227,Holidays!$A$5:$A$60,0)),"")</f>
        <v/>
      </c>
      <c r="E227" s="31"/>
      <c r="F227" s="32"/>
      <c r="G227" s="32"/>
      <c r="H227" s="32"/>
      <c r="I227" s="32"/>
      <c r="J227" s="31"/>
      <c r="K227" s="33" t="str">
        <f aca="false">IF(E227&lt;&gt;"",E227,IF(U227,"Present",IF(C227="Holiday","Holiday","Weekend")))</f>
        <v>Present</v>
      </c>
      <c r="L227" s="34" t="n">
        <f aca="false">IF(OR(K227="Present",K227="Manual Work",K227="Partial Vacation",K227="Partial Sick Leave"),IF(ISNUMBER(F227),F227,IF(AND(K227="Present",U227),Settings!$B$6,"")),"")</f>
        <v>0.333333333333333</v>
      </c>
      <c r="M227" s="34" t="n">
        <f aca="false">IF(OR(K227="Present",K227="Manual Work",K227="Partial Vacation",K227="Partial Sick Leave"),IF(ISNUMBER(G227),G227,IF(AND(K227="Present",U227),V227,"")),"")</f>
        <v>0.6875</v>
      </c>
      <c r="N227" s="14" t="n">
        <f aca="false">IF(AND(ISNUMBER(L227),ISNUMBER(M227)),MAX(0,(M227-L227)*24),0)</f>
        <v>8.5</v>
      </c>
      <c r="O227" s="14" t="n">
        <f aca="false">IF(NOT(U227),0,IF(K227="Vacation",IF(C227="Eve",Settings!$B$9*Settings!$B$11,W227),IF(K227="Partial Vacation",IF(AND(ISNUMBER(H227),ISNUMBER(I227)),MAX(0,(I227-H227)*24),0),0)))</f>
        <v>0</v>
      </c>
      <c r="P227" s="14" t="n">
        <f aca="false">IF(NOT(U227),0,IF(K227="Sick Leave",W227,IF(K227="Partial Sick Leave",IF(AND(ISNUMBER(H227),ISNUMBER(I227)),MAX(0,(I227-H227)*24),0),0)))</f>
        <v>0</v>
      </c>
      <c r="Q227" s="14" t="n">
        <f aca="false">IF(NOT(U227),0,IF(K227="Vacation",IF(C227="Eve",Settings!$B$11,1),IF(K227="Partial Vacation",O227/Settings!$B$9,0)))</f>
        <v>0</v>
      </c>
      <c r="R227" s="14" t="n">
        <f aca="false">IF(NOT(U227),0,IF(K227="Sick Leave",1,IF(K227="Partial Sick Leave",P227/Settings!$B$9,0)))</f>
        <v>0</v>
      </c>
      <c r="S227" s="35" t="str">
        <f aca="false">IF(AND(OR(E227="Vacation",E227="Sick Leave",E227="Partial Vacation",E227="Partial Sick Leave"),NOT(U227)),"Leave not allowed on this day",IF(AND(E227="Manual Work",OR(NOT(ISNUMBER(F227)),NOT(ISNUMBER(G227)))),"Enter start and end",IF(AND(OR(E227="Partial Vacation",E227="Partial Sick Leave"),OR(NOT(ISNUMBER(H227)),NOT(ISNUMBER(I227)))),"Enter leave from and to",IF(AND(ISNUMBER(F227),ISNUMBER(G227),G227&lt;=F227),"End is before start",IF(AND(ISNUMBER(H227),ISNUMBER(I227),I227&lt;=H227),"Leave end is before start",IF(AND(ISNUMBER(F227),ISNUMBER(G227),ISNUMBER(H227),ISNUMBER(I227),F227&lt;I227,H227&lt;G227),"Work and leave hours overlap",IF(AND(E227&lt;&gt;"",WEEKDAY(A227)=7),"Saturday - administrator only","")))))))</f>
        <v/>
      </c>
      <c r="T227" s="36" t="n">
        <f aca="false">MONTH(A227)</f>
        <v>8</v>
      </c>
      <c r="U227" s="37" t="b">
        <f aca="false">OR(C227="Workday",C227="Eve")</f>
        <v>1</v>
      </c>
      <c r="V227" s="34" t="n">
        <f aca="false">IF(C227="Eve",Settings!$B$8,Settings!$B$7)</f>
        <v>0.6875</v>
      </c>
      <c r="W227" s="14" t="n">
        <f aca="false">IF(U227,(V227-Settings!$B$6)*24,0)</f>
        <v>8.5</v>
      </c>
    </row>
    <row r="228" customFormat="false" ht="15" hidden="false" customHeight="false" outlineLevel="0" collapsed="false">
      <c r="A228" s="29" t="n">
        <v>46244</v>
      </c>
      <c r="B228" s="30" t="str">
        <f aca="false">CHOOSE(WEEKDAY(A228),"Sun","Mon","Tue","Wed","Thu","Fri","Sat")</f>
        <v>Mon</v>
      </c>
      <c r="C228" s="30" t="str">
        <f aca="false">IF(IFERROR(INDEX(Holidays!$D$5:$D$60,MATCH(A228,Holidays!$A$5:$A$60,0)),"")="Holiday","Holiday",IF(WEEKDAY(A228)&gt;=6,"Weekend",IF(IFERROR(INDEX(Holidays!$D$5:$D$60,MATCH(A228,Holidays!$A$5:$A$60,0)),"")="Eve","Eve","Workday")))</f>
        <v>Workday</v>
      </c>
      <c r="D228" s="18" t="str">
        <f aca="false">IFERROR(INDEX(Holidays!$C$5:$C$60,MATCH(A228,Holidays!$A$5:$A$60,0)),"")</f>
        <v/>
      </c>
      <c r="E228" s="31"/>
      <c r="F228" s="32"/>
      <c r="G228" s="32"/>
      <c r="H228" s="32"/>
      <c r="I228" s="32"/>
      <c r="J228" s="31"/>
      <c r="K228" s="33" t="str">
        <f aca="false">IF(E228&lt;&gt;"",E228,IF(U228,"Present",IF(C228="Holiday","Holiday","Weekend")))</f>
        <v>Present</v>
      </c>
      <c r="L228" s="34" t="n">
        <f aca="false">IF(OR(K228="Present",K228="Manual Work",K228="Partial Vacation",K228="Partial Sick Leave"),IF(ISNUMBER(F228),F228,IF(AND(K228="Present",U228),Settings!$B$6,"")),"")</f>
        <v>0.333333333333333</v>
      </c>
      <c r="M228" s="34" t="n">
        <f aca="false">IF(OR(K228="Present",K228="Manual Work",K228="Partial Vacation",K228="Partial Sick Leave"),IF(ISNUMBER(G228),G228,IF(AND(K228="Present",U228),V228,"")),"")</f>
        <v>0.6875</v>
      </c>
      <c r="N228" s="14" t="n">
        <f aca="false">IF(AND(ISNUMBER(L228),ISNUMBER(M228)),MAX(0,(M228-L228)*24),0)</f>
        <v>8.5</v>
      </c>
      <c r="O228" s="14" t="n">
        <f aca="false">IF(NOT(U228),0,IF(K228="Vacation",IF(C228="Eve",Settings!$B$9*Settings!$B$11,W228),IF(K228="Partial Vacation",IF(AND(ISNUMBER(H228),ISNUMBER(I228)),MAX(0,(I228-H228)*24),0),0)))</f>
        <v>0</v>
      </c>
      <c r="P228" s="14" t="n">
        <f aca="false">IF(NOT(U228),0,IF(K228="Sick Leave",W228,IF(K228="Partial Sick Leave",IF(AND(ISNUMBER(H228),ISNUMBER(I228)),MAX(0,(I228-H228)*24),0),0)))</f>
        <v>0</v>
      </c>
      <c r="Q228" s="14" t="n">
        <f aca="false">IF(NOT(U228),0,IF(K228="Vacation",IF(C228="Eve",Settings!$B$11,1),IF(K228="Partial Vacation",O228/Settings!$B$9,0)))</f>
        <v>0</v>
      </c>
      <c r="R228" s="14" t="n">
        <f aca="false">IF(NOT(U228),0,IF(K228="Sick Leave",1,IF(K228="Partial Sick Leave",P228/Settings!$B$9,0)))</f>
        <v>0</v>
      </c>
      <c r="S228" s="35" t="str">
        <f aca="false">IF(AND(OR(E228="Vacation",E228="Sick Leave",E228="Partial Vacation",E228="Partial Sick Leave"),NOT(U228)),"Leave not allowed on this day",IF(AND(E228="Manual Work",OR(NOT(ISNUMBER(F228)),NOT(ISNUMBER(G228)))),"Enter start and end",IF(AND(OR(E228="Partial Vacation",E228="Partial Sick Leave"),OR(NOT(ISNUMBER(H228)),NOT(ISNUMBER(I228)))),"Enter leave from and to",IF(AND(ISNUMBER(F228),ISNUMBER(G228),G228&lt;=F228),"End is before start",IF(AND(ISNUMBER(H228),ISNUMBER(I228),I228&lt;=H228),"Leave end is before start",IF(AND(ISNUMBER(F228),ISNUMBER(G228),ISNUMBER(H228),ISNUMBER(I228),F228&lt;I228,H228&lt;G228),"Work and leave hours overlap",IF(AND(E228&lt;&gt;"",WEEKDAY(A228)=7),"Saturday - administrator only","")))))))</f>
        <v/>
      </c>
      <c r="T228" s="36" t="n">
        <f aca="false">MONTH(A228)</f>
        <v>8</v>
      </c>
      <c r="U228" s="37" t="b">
        <f aca="false">OR(C228="Workday",C228="Eve")</f>
        <v>1</v>
      </c>
      <c r="V228" s="34" t="n">
        <f aca="false">IF(C228="Eve",Settings!$B$8,Settings!$B$7)</f>
        <v>0.6875</v>
      </c>
      <c r="W228" s="14" t="n">
        <f aca="false">IF(U228,(V228-Settings!$B$6)*24,0)</f>
        <v>8.5</v>
      </c>
    </row>
    <row r="229" customFormat="false" ht="15" hidden="false" customHeight="false" outlineLevel="0" collapsed="false">
      <c r="A229" s="29" t="n">
        <v>46245</v>
      </c>
      <c r="B229" s="30" t="str">
        <f aca="false">CHOOSE(WEEKDAY(A229),"Sun","Mon","Tue","Wed","Thu","Fri","Sat")</f>
        <v>Tue</v>
      </c>
      <c r="C229" s="30" t="str">
        <f aca="false">IF(IFERROR(INDEX(Holidays!$D$5:$D$60,MATCH(A229,Holidays!$A$5:$A$60,0)),"")="Holiday","Holiday",IF(WEEKDAY(A229)&gt;=6,"Weekend",IF(IFERROR(INDEX(Holidays!$D$5:$D$60,MATCH(A229,Holidays!$A$5:$A$60,0)),"")="Eve","Eve","Workday")))</f>
        <v>Workday</v>
      </c>
      <c r="D229" s="18" t="str">
        <f aca="false">IFERROR(INDEX(Holidays!$C$5:$C$60,MATCH(A229,Holidays!$A$5:$A$60,0)),"")</f>
        <v/>
      </c>
      <c r="E229" s="31"/>
      <c r="F229" s="32"/>
      <c r="G229" s="32"/>
      <c r="H229" s="32"/>
      <c r="I229" s="32"/>
      <c r="J229" s="31"/>
      <c r="K229" s="33" t="str">
        <f aca="false">IF(E229&lt;&gt;"",E229,IF(U229,"Present",IF(C229="Holiday","Holiday","Weekend")))</f>
        <v>Present</v>
      </c>
      <c r="L229" s="34" t="n">
        <f aca="false">IF(OR(K229="Present",K229="Manual Work",K229="Partial Vacation",K229="Partial Sick Leave"),IF(ISNUMBER(F229),F229,IF(AND(K229="Present",U229),Settings!$B$6,"")),"")</f>
        <v>0.333333333333333</v>
      </c>
      <c r="M229" s="34" t="n">
        <f aca="false">IF(OR(K229="Present",K229="Manual Work",K229="Partial Vacation",K229="Partial Sick Leave"),IF(ISNUMBER(G229),G229,IF(AND(K229="Present",U229),V229,"")),"")</f>
        <v>0.6875</v>
      </c>
      <c r="N229" s="14" t="n">
        <f aca="false">IF(AND(ISNUMBER(L229),ISNUMBER(M229)),MAX(0,(M229-L229)*24),0)</f>
        <v>8.5</v>
      </c>
      <c r="O229" s="14" t="n">
        <f aca="false">IF(NOT(U229),0,IF(K229="Vacation",IF(C229="Eve",Settings!$B$9*Settings!$B$11,W229),IF(K229="Partial Vacation",IF(AND(ISNUMBER(H229),ISNUMBER(I229)),MAX(0,(I229-H229)*24),0),0)))</f>
        <v>0</v>
      </c>
      <c r="P229" s="14" t="n">
        <f aca="false">IF(NOT(U229),0,IF(K229="Sick Leave",W229,IF(K229="Partial Sick Leave",IF(AND(ISNUMBER(H229),ISNUMBER(I229)),MAX(0,(I229-H229)*24),0),0)))</f>
        <v>0</v>
      </c>
      <c r="Q229" s="14" t="n">
        <f aca="false">IF(NOT(U229),0,IF(K229="Vacation",IF(C229="Eve",Settings!$B$11,1),IF(K229="Partial Vacation",O229/Settings!$B$9,0)))</f>
        <v>0</v>
      </c>
      <c r="R229" s="14" t="n">
        <f aca="false">IF(NOT(U229),0,IF(K229="Sick Leave",1,IF(K229="Partial Sick Leave",P229/Settings!$B$9,0)))</f>
        <v>0</v>
      </c>
      <c r="S229" s="35" t="str">
        <f aca="false">IF(AND(OR(E229="Vacation",E229="Sick Leave",E229="Partial Vacation",E229="Partial Sick Leave"),NOT(U229)),"Leave not allowed on this day",IF(AND(E229="Manual Work",OR(NOT(ISNUMBER(F229)),NOT(ISNUMBER(G229)))),"Enter start and end",IF(AND(OR(E229="Partial Vacation",E229="Partial Sick Leave"),OR(NOT(ISNUMBER(H229)),NOT(ISNUMBER(I229)))),"Enter leave from and to",IF(AND(ISNUMBER(F229),ISNUMBER(G229),G229&lt;=F229),"End is before start",IF(AND(ISNUMBER(H229),ISNUMBER(I229),I229&lt;=H229),"Leave end is before start",IF(AND(ISNUMBER(F229),ISNUMBER(G229),ISNUMBER(H229),ISNUMBER(I229),F229&lt;I229,H229&lt;G229),"Work and leave hours overlap",IF(AND(E229&lt;&gt;"",WEEKDAY(A229)=7),"Saturday - administrator only","")))))))</f>
        <v/>
      </c>
      <c r="T229" s="36" t="n">
        <f aca="false">MONTH(A229)</f>
        <v>8</v>
      </c>
      <c r="U229" s="37" t="b">
        <f aca="false">OR(C229="Workday",C229="Eve")</f>
        <v>1</v>
      </c>
      <c r="V229" s="34" t="n">
        <f aca="false">IF(C229="Eve",Settings!$B$8,Settings!$B$7)</f>
        <v>0.6875</v>
      </c>
      <c r="W229" s="14" t="n">
        <f aca="false">IF(U229,(V229-Settings!$B$6)*24,0)</f>
        <v>8.5</v>
      </c>
    </row>
    <row r="230" customFormat="false" ht="15" hidden="false" customHeight="false" outlineLevel="0" collapsed="false">
      <c r="A230" s="29" t="n">
        <v>46246</v>
      </c>
      <c r="B230" s="30" t="str">
        <f aca="false">CHOOSE(WEEKDAY(A230),"Sun","Mon","Tue","Wed","Thu","Fri","Sat")</f>
        <v>Wed</v>
      </c>
      <c r="C230" s="30" t="str">
        <f aca="false">IF(IFERROR(INDEX(Holidays!$D$5:$D$60,MATCH(A230,Holidays!$A$5:$A$60,0)),"")="Holiday","Holiday",IF(WEEKDAY(A230)&gt;=6,"Weekend",IF(IFERROR(INDEX(Holidays!$D$5:$D$60,MATCH(A230,Holidays!$A$5:$A$60,0)),"")="Eve","Eve","Workday")))</f>
        <v>Workday</v>
      </c>
      <c r="D230" s="18" t="str">
        <f aca="false">IFERROR(INDEX(Holidays!$C$5:$C$60,MATCH(A230,Holidays!$A$5:$A$60,0)),"")</f>
        <v/>
      </c>
      <c r="E230" s="31"/>
      <c r="F230" s="32"/>
      <c r="G230" s="32"/>
      <c r="H230" s="32"/>
      <c r="I230" s="32"/>
      <c r="J230" s="31"/>
      <c r="K230" s="33" t="str">
        <f aca="false">IF(E230&lt;&gt;"",E230,IF(U230,"Present",IF(C230="Holiday","Holiday","Weekend")))</f>
        <v>Present</v>
      </c>
      <c r="L230" s="34" t="n">
        <f aca="false">IF(OR(K230="Present",K230="Manual Work",K230="Partial Vacation",K230="Partial Sick Leave"),IF(ISNUMBER(F230),F230,IF(AND(K230="Present",U230),Settings!$B$6,"")),"")</f>
        <v>0.333333333333333</v>
      </c>
      <c r="M230" s="34" t="n">
        <f aca="false">IF(OR(K230="Present",K230="Manual Work",K230="Partial Vacation",K230="Partial Sick Leave"),IF(ISNUMBER(G230),G230,IF(AND(K230="Present",U230),V230,"")),"")</f>
        <v>0.6875</v>
      </c>
      <c r="N230" s="14" t="n">
        <f aca="false">IF(AND(ISNUMBER(L230),ISNUMBER(M230)),MAX(0,(M230-L230)*24),0)</f>
        <v>8.5</v>
      </c>
      <c r="O230" s="14" t="n">
        <f aca="false">IF(NOT(U230),0,IF(K230="Vacation",IF(C230="Eve",Settings!$B$9*Settings!$B$11,W230),IF(K230="Partial Vacation",IF(AND(ISNUMBER(H230),ISNUMBER(I230)),MAX(0,(I230-H230)*24),0),0)))</f>
        <v>0</v>
      </c>
      <c r="P230" s="14" t="n">
        <f aca="false">IF(NOT(U230),0,IF(K230="Sick Leave",W230,IF(K230="Partial Sick Leave",IF(AND(ISNUMBER(H230),ISNUMBER(I230)),MAX(0,(I230-H230)*24),0),0)))</f>
        <v>0</v>
      </c>
      <c r="Q230" s="14" t="n">
        <f aca="false">IF(NOT(U230),0,IF(K230="Vacation",IF(C230="Eve",Settings!$B$11,1),IF(K230="Partial Vacation",O230/Settings!$B$9,0)))</f>
        <v>0</v>
      </c>
      <c r="R230" s="14" t="n">
        <f aca="false">IF(NOT(U230),0,IF(K230="Sick Leave",1,IF(K230="Partial Sick Leave",P230/Settings!$B$9,0)))</f>
        <v>0</v>
      </c>
      <c r="S230" s="35" t="str">
        <f aca="false">IF(AND(OR(E230="Vacation",E230="Sick Leave",E230="Partial Vacation",E230="Partial Sick Leave"),NOT(U230)),"Leave not allowed on this day",IF(AND(E230="Manual Work",OR(NOT(ISNUMBER(F230)),NOT(ISNUMBER(G230)))),"Enter start and end",IF(AND(OR(E230="Partial Vacation",E230="Partial Sick Leave"),OR(NOT(ISNUMBER(H230)),NOT(ISNUMBER(I230)))),"Enter leave from and to",IF(AND(ISNUMBER(F230),ISNUMBER(G230),G230&lt;=F230),"End is before start",IF(AND(ISNUMBER(H230),ISNUMBER(I230),I230&lt;=H230),"Leave end is before start",IF(AND(ISNUMBER(F230),ISNUMBER(G230),ISNUMBER(H230),ISNUMBER(I230),F230&lt;I230,H230&lt;G230),"Work and leave hours overlap",IF(AND(E230&lt;&gt;"",WEEKDAY(A230)=7),"Saturday - administrator only","")))))))</f>
        <v/>
      </c>
      <c r="T230" s="36" t="n">
        <f aca="false">MONTH(A230)</f>
        <v>8</v>
      </c>
      <c r="U230" s="37" t="b">
        <f aca="false">OR(C230="Workday",C230="Eve")</f>
        <v>1</v>
      </c>
      <c r="V230" s="34" t="n">
        <f aca="false">IF(C230="Eve",Settings!$B$8,Settings!$B$7)</f>
        <v>0.6875</v>
      </c>
      <c r="W230" s="14" t="n">
        <f aca="false">IF(U230,(V230-Settings!$B$6)*24,0)</f>
        <v>8.5</v>
      </c>
    </row>
    <row r="231" customFormat="false" ht="15" hidden="false" customHeight="false" outlineLevel="0" collapsed="false">
      <c r="A231" s="29" t="n">
        <v>46247</v>
      </c>
      <c r="B231" s="30" t="str">
        <f aca="false">CHOOSE(WEEKDAY(A231),"Sun","Mon","Tue","Wed","Thu","Fri","Sat")</f>
        <v>Thu</v>
      </c>
      <c r="C231" s="30" t="str">
        <f aca="false">IF(IFERROR(INDEX(Holidays!$D$5:$D$60,MATCH(A231,Holidays!$A$5:$A$60,0)),"")="Holiday","Holiday",IF(WEEKDAY(A231)&gt;=6,"Weekend",IF(IFERROR(INDEX(Holidays!$D$5:$D$60,MATCH(A231,Holidays!$A$5:$A$60,0)),"")="Eve","Eve","Workday")))</f>
        <v>Workday</v>
      </c>
      <c r="D231" s="18" t="str">
        <f aca="false">IFERROR(INDEX(Holidays!$C$5:$C$60,MATCH(A231,Holidays!$A$5:$A$60,0)),"")</f>
        <v/>
      </c>
      <c r="E231" s="31"/>
      <c r="F231" s="32"/>
      <c r="G231" s="32"/>
      <c r="H231" s="32"/>
      <c r="I231" s="32"/>
      <c r="J231" s="31"/>
      <c r="K231" s="33" t="str">
        <f aca="false">IF(E231&lt;&gt;"",E231,IF(U231,"Present",IF(C231="Holiday","Holiday","Weekend")))</f>
        <v>Present</v>
      </c>
      <c r="L231" s="34" t="n">
        <f aca="false">IF(OR(K231="Present",K231="Manual Work",K231="Partial Vacation",K231="Partial Sick Leave"),IF(ISNUMBER(F231),F231,IF(AND(K231="Present",U231),Settings!$B$6,"")),"")</f>
        <v>0.333333333333333</v>
      </c>
      <c r="M231" s="34" t="n">
        <f aca="false">IF(OR(K231="Present",K231="Manual Work",K231="Partial Vacation",K231="Partial Sick Leave"),IF(ISNUMBER(G231),G231,IF(AND(K231="Present",U231),V231,"")),"")</f>
        <v>0.6875</v>
      </c>
      <c r="N231" s="14" t="n">
        <f aca="false">IF(AND(ISNUMBER(L231),ISNUMBER(M231)),MAX(0,(M231-L231)*24),0)</f>
        <v>8.5</v>
      </c>
      <c r="O231" s="14" t="n">
        <f aca="false">IF(NOT(U231),0,IF(K231="Vacation",IF(C231="Eve",Settings!$B$9*Settings!$B$11,W231),IF(K231="Partial Vacation",IF(AND(ISNUMBER(H231),ISNUMBER(I231)),MAX(0,(I231-H231)*24),0),0)))</f>
        <v>0</v>
      </c>
      <c r="P231" s="14" t="n">
        <f aca="false">IF(NOT(U231),0,IF(K231="Sick Leave",W231,IF(K231="Partial Sick Leave",IF(AND(ISNUMBER(H231),ISNUMBER(I231)),MAX(0,(I231-H231)*24),0),0)))</f>
        <v>0</v>
      </c>
      <c r="Q231" s="14" t="n">
        <f aca="false">IF(NOT(U231),0,IF(K231="Vacation",IF(C231="Eve",Settings!$B$11,1),IF(K231="Partial Vacation",O231/Settings!$B$9,0)))</f>
        <v>0</v>
      </c>
      <c r="R231" s="14" t="n">
        <f aca="false">IF(NOT(U231),0,IF(K231="Sick Leave",1,IF(K231="Partial Sick Leave",P231/Settings!$B$9,0)))</f>
        <v>0</v>
      </c>
      <c r="S231" s="35" t="str">
        <f aca="false">IF(AND(OR(E231="Vacation",E231="Sick Leave",E231="Partial Vacation",E231="Partial Sick Leave"),NOT(U231)),"Leave not allowed on this day",IF(AND(E231="Manual Work",OR(NOT(ISNUMBER(F231)),NOT(ISNUMBER(G231)))),"Enter start and end",IF(AND(OR(E231="Partial Vacation",E231="Partial Sick Leave"),OR(NOT(ISNUMBER(H231)),NOT(ISNUMBER(I231)))),"Enter leave from and to",IF(AND(ISNUMBER(F231),ISNUMBER(G231),G231&lt;=F231),"End is before start",IF(AND(ISNUMBER(H231),ISNUMBER(I231),I231&lt;=H231),"Leave end is before start",IF(AND(ISNUMBER(F231),ISNUMBER(G231),ISNUMBER(H231),ISNUMBER(I231),F231&lt;I231,H231&lt;G231),"Work and leave hours overlap",IF(AND(E231&lt;&gt;"",WEEKDAY(A231)=7),"Saturday - administrator only","")))))))</f>
        <v/>
      </c>
      <c r="T231" s="36" t="n">
        <f aca="false">MONTH(A231)</f>
        <v>8</v>
      </c>
      <c r="U231" s="37" t="b">
        <f aca="false">OR(C231="Workday",C231="Eve")</f>
        <v>1</v>
      </c>
      <c r="V231" s="34" t="n">
        <f aca="false">IF(C231="Eve",Settings!$B$8,Settings!$B$7)</f>
        <v>0.6875</v>
      </c>
      <c r="W231" s="14" t="n">
        <f aca="false">IF(U231,(V231-Settings!$B$6)*24,0)</f>
        <v>8.5</v>
      </c>
    </row>
    <row r="232" customFormat="false" ht="15" hidden="false" customHeight="false" outlineLevel="0" collapsed="false">
      <c r="A232" s="29" t="n">
        <v>46248</v>
      </c>
      <c r="B232" s="30" t="str">
        <f aca="false">CHOOSE(WEEKDAY(A232),"Sun","Mon","Tue","Wed","Thu","Fri","Sat")</f>
        <v>Fri</v>
      </c>
      <c r="C232" s="30" t="str">
        <f aca="false">IF(IFERROR(INDEX(Holidays!$D$5:$D$60,MATCH(A232,Holidays!$A$5:$A$60,0)),"")="Holiday","Holiday",IF(WEEKDAY(A232)&gt;=6,"Weekend",IF(IFERROR(INDEX(Holidays!$D$5:$D$60,MATCH(A232,Holidays!$A$5:$A$60,0)),"")="Eve","Eve","Workday")))</f>
        <v>Weekend</v>
      </c>
      <c r="D232" s="18" t="str">
        <f aca="false">IFERROR(INDEX(Holidays!$C$5:$C$60,MATCH(A232,Holidays!$A$5:$A$60,0)),"")</f>
        <v/>
      </c>
      <c r="E232" s="31"/>
      <c r="F232" s="32"/>
      <c r="G232" s="32"/>
      <c r="H232" s="32"/>
      <c r="I232" s="32"/>
      <c r="J232" s="31"/>
      <c r="K232" s="33" t="str">
        <f aca="false">IF(E232&lt;&gt;"",E232,IF(U232,"Present",IF(C232="Holiday","Holiday","Weekend")))</f>
        <v>Weekend</v>
      </c>
      <c r="L232" s="34" t="str">
        <f aca="false">IF(OR(K232="Present",K232="Manual Work",K232="Partial Vacation",K232="Partial Sick Leave"),IF(ISNUMBER(F232),F232,IF(AND(K232="Present",U232),Settings!$B$6,"")),"")</f>
        <v/>
      </c>
      <c r="M232" s="34" t="str">
        <f aca="false">IF(OR(K232="Present",K232="Manual Work",K232="Partial Vacation",K232="Partial Sick Leave"),IF(ISNUMBER(G232),G232,IF(AND(K232="Present",U232),V232,"")),"")</f>
        <v/>
      </c>
      <c r="N232" s="14" t="n">
        <f aca="false">IF(AND(ISNUMBER(L232),ISNUMBER(M232)),MAX(0,(M232-L232)*24),0)</f>
        <v>0</v>
      </c>
      <c r="O232" s="14" t="n">
        <f aca="false">IF(NOT(U232),0,IF(K232="Vacation",IF(C232="Eve",Settings!$B$9*Settings!$B$11,W232),IF(K232="Partial Vacation",IF(AND(ISNUMBER(H232),ISNUMBER(I232)),MAX(0,(I232-H232)*24),0),0)))</f>
        <v>0</v>
      </c>
      <c r="P232" s="14" t="n">
        <f aca="false">IF(NOT(U232),0,IF(K232="Sick Leave",W232,IF(K232="Partial Sick Leave",IF(AND(ISNUMBER(H232),ISNUMBER(I232)),MAX(0,(I232-H232)*24),0),0)))</f>
        <v>0</v>
      </c>
      <c r="Q232" s="14" t="n">
        <f aca="false">IF(NOT(U232),0,IF(K232="Vacation",IF(C232="Eve",Settings!$B$11,1),IF(K232="Partial Vacation",O232/Settings!$B$9,0)))</f>
        <v>0</v>
      </c>
      <c r="R232" s="14" t="n">
        <f aca="false">IF(NOT(U232),0,IF(K232="Sick Leave",1,IF(K232="Partial Sick Leave",P232/Settings!$B$9,0)))</f>
        <v>0</v>
      </c>
      <c r="S232" s="35" t="str">
        <f aca="false">IF(AND(OR(E232="Vacation",E232="Sick Leave",E232="Partial Vacation",E232="Partial Sick Leave"),NOT(U232)),"Leave not allowed on this day",IF(AND(E232="Manual Work",OR(NOT(ISNUMBER(F232)),NOT(ISNUMBER(G232)))),"Enter start and end",IF(AND(OR(E232="Partial Vacation",E232="Partial Sick Leave"),OR(NOT(ISNUMBER(H232)),NOT(ISNUMBER(I232)))),"Enter leave from and to",IF(AND(ISNUMBER(F232),ISNUMBER(G232),G232&lt;=F232),"End is before start",IF(AND(ISNUMBER(H232),ISNUMBER(I232),I232&lt;=H232),"Leave end is before start",IF(AND(ISNUMBER(F232),ISNUMBER(G232),ISNUMBER(H232),ISNUMBER(I232),F232&lt;I232,H232&lt;G232),"Work and leave hours overlap",IF(AND(E232&lt;&gt;"",WEEKDAY(A232)=7),"Saturday - administrator only","")))))))</f>
        <v/>
      </c>
      <c r="T232" s="36" t="n">
        <f aca="false">MONTH(A232)</f>
        <v>8</v>
      </c>
      <c r="U232" s="37" t="b">
        <f aca="false">OR(C232="Workday",C232="Eve")</f>
        <v>0</v>
      </c>
      <c r="V232" s="34" t="n">
        <f aca="false">IF(C232="Eve",Settings!$B$8,Settings!$B$7)</f>
        <v>0.6875</v>
      </c>
      <c r="W232" s="14" t="n">
        <f aca="false">IF(U232,(V232-Settings!$B$6)*24,0)</f>
        <v>0</v>
      </c>
    </row>
    <row r="233" customFormat="false" ht="15" hidden="false" customHeight="false" outlineLevel="0" collapsed="false">
      <c r="A233" s="29" t="n">
        <v>46249</v>
      </c>
      <c r="B233" s="30" t="str">
        <f aca="false">CHOOSE(WEEKDAY(A233),"Sun","Mon","Tue","Wed","Thu","Fri","Sat")</f>
        <v>Sat</v>
      </c>
      <c r="C233" s="30" t="str">
        <f aca="false">IF(IFERROR(INDEX(Holidays!$D$5:$D$60,MATCH(A233,Holidays!$A$5:$A$60,0)),"")="Holiday","Holiday",IF(WEEKDAY(A233)&gt;=6,"Weekend",IF(IFERROR(INDEX(Holidays!$D$5:$D$60,MATCH(A233,Holidays!$A$5:$A$60,0)),"")="Eve","Eve","Workday")))</f>
        <v>Weekend</v>
      </c>
      <c r="D233" s="18" t="str">
        <f aca="false">IFERROR(INDEX(Holidays!$C$5:$C$60,MATCH(A233,Holidays!$A$5:$A$60,0)),"")</f>
        <v/>
      </c>
      <c r="E233" s="31"/>
      <c r="F233" s="32"/>
      <c r="G233" s="32"/>
      <c r="H233" s="32"/>
      <c r="I233" s="32"/>
      <c r="J233" s="31"/>
      <c r="K233" s="33" t="str">
        <f aca="false">IF(E233&lt;&gt;"",E233,IF(U233,"Present",IF(C233="Holiday","Holiday","Weekend")))</f>
        <v>Weekend</v>
      </c>
      <c r="L233" s="34" t="str">
        <f aca="false">IF(OR(K233="Present",K233="Manual Work",K233="Partial Vacation",K233="Partial Sick Leave"),IF(ISNUMBER(F233),F233,IF(AND(K233="Present",U233),Settings!$B$6,"")),"")</f>
        <v/>
      </c>
      <c r="M233" s="34" t="str">
        <f aca="false">IF(OR(K233="Present",K233="Manual Work",K233="Partial Vacation",K233="Partial Sick Leave"),IF(ISNUMBER(G233),G233,IF(AND(K233="Present",U233),V233,"")),"")</f>
        <v/>
      </c>
      <c r="N233" s="14" t="n">
        <f aca="false">IF(AND(ISNUMBER(L233),ISNUMBER(M233)),MAX(0,(M233-L233)*24),0)</f>
        <v>0</v>
      </c>
      <c r="O233" s="14" t="n">
        <f aca="false">IF(NOT(U233),0,IF(K233="Vacation",IF(C233="Eve",Settings!$B$9*Settings!$B$11,W233),IF(K233="Partial Vacation",IF(AND(ISNUMBER(H233),ISNUMBER(I233)),MAX(0,(I233-H233)*24),0),0)))</f>
        <v>0</v>
      </c>
      <c r="P233" s="14" t="n">
        <f aca="false">IF(NOT(U233),0,IF(K233="Sick Leave",W233,IF(K233="Partial Sick Leave",IF(AND(ISNUMBER(H233),ISNUMBER(I233)),MAX(0,(I233-H233)*24),0),0)))</f>
        <v>0</v>
      </c>
      <c r="Q233" s="14" t="n">
        <f aca="false">IF(NOT(U233),0,IF(K233="Vacation",IF(C233="Eve",Settings!$B$11,1),IF(K233="Partial Vacation",O233/Settings!$B$9,0)))</f>
        <v>0</v>
      </c>
      <c r="R233" s="14" t="n">
        <f aca="false">IF(NOT(U233),0,IF(K233="Sick Leave",1,IF(K233="Partial Sick Leave",P233/Settings!$B$9,0)))</f>
        <v>0</v>
      </c>
      <c r="S233" s="35" t="str">
        <f aca="false">IF(AND(OR(E233="Vacation",E233="Sick Leave",E233="Partial Vacation",E233="Partial Sick Leave"),NOT(U233)),"Leave not allowed on this day",IF(AND(E233="Manual Work",OR(NOT(ISNUMBER(F233)),NOT(ISNUMBER(G233)))),"Enter start and end",IF(AND(OR(E233="Partial Vacation",E233="Partial Sick Leave"),OR(NOT(ISNUMBER(H233)),NOT(ISNUMBER(I233)))),"Enter leave from and to",IF(AND(ISNUMBER(F233),ISNUMBER(G233),G233&lt;=F233),"End is before start",IF(AND(ISNUMBER(H233),ISNUMBER(I233),I233&lt;=H233),"Leave end is before start",IF(AND(ISNUMBER(F233),ISNUMBER(G233),ISNUMBER(H233),ISNUMBER(I233),F233&lt;I233,H233&lt;G233),"Work and leave hours overlap",IF(AND(E233&lt;&gt;"",WEEKDAY(A233)=7),"Saturday - administrator only","")))))))</f>
        <v/>
      </c>
      <c r="T233" s="36" t="n">
        <f aca="false">MONTH(A233)</f>
        <v>8</v>
      </c>
      <c r="U233" s="37" t="b">
        <f aca="false">OR(C233="Workday",C233="Eve")</f>
        <v>0</v>
      </c>
      <c r="V233" s="34" t="n">
        <f aca="false">IF(C233="Eve",Settings!$B$8,Settings!$B$7)</f>
        <v>0.6875</v>
      </c>
      <c r="W233" s="14" t="n">
        <f aca="false">IF(U233,(V233-Settings!$B$6)*24,0)</f>
        <v>0</v>
      </c>
    </row>
    <row r="234" customFormat="false" ht="15" hidden="false" customHeight="false" outlineLevel="0" collapsed="false">
      <c r="A234" s="29" t="n">
        <v>46250</v>
      </c>
      <c r="B234" s="30" t="str">
        <f aca="false">CHOOSE(WEEKDAY(A234),"Sun","Mon","Tue","Wed","Thu","Fri","Sat")</f>
        <v>Sun</v>
      </c>
      <c r="C234" s="30" t="str">
        <f aca="false">IF(IFERROR(INDEX(Holidays!$D$5:$D$60,MATCH(A234,Holidays!$A$5:$A$60,0)),"")="Holiday","Holiday",IF(WEEKDAY(A234)&gt;=6,"Weekend",IF(IFERROR(INDEX(Holidays!$D$5:$D$60,MATCH(A234,Holidays!$A$5:$A$60,0)),"")="Eve","Eve","Workday")))</f>
        <v>Workday</v>
      </c>
      <c r="D234" s="18" t="str">
        <f aca="false">IFERROR(INDEX(Holidays!$C$5:$C$60,MATCH(A234,Holidays!$A$5:$A$60,0)),"")</f>
        <v/>
      </c>
      <c r="E234" s="31"/>
      <c r="F234" s="32"/>
      <c r="G234" s="32"/>
      <c r="H234" s="32"/>
      <c r="I234" s="32"/>
      <c r="J234" s="31"/>
      <c r="K234" s="33" t="str">
        <f aca="false">IF(E234&lt;&gt;"",E234,IF(U234,"Present",IF(C234="Holiday","Holiday","Weekend")))</f>
        <v>Present</v>
      </c>
      <c r="L234" s="34" t="n">
        <f aca="false">IF(OR(K234="Present",K234="Manual Work",K234="Partial Vacation",K234="Partial Sick Leave"),IF(ISNUMBER(F234),F234,IF(AND(K234="Present",U234),Settings!$B$6,"")),"")</f>
        <v>0.333333333333333</v>
      </c>
      <c r="M234" s="34" t="n">
        <f aca="false">IF(OR(K234="Present",K234="Manual Work",K234="Partial Vacation",K234="Partial Sick Leave"),IF(ISNUMBER(G234),G234,IF(AND(K234="Present",U234),V234,"")),"")</f>
        <v>0.6875</v>
      </c>
      <c r="N234" s="14" t="n">
        <f aca="false">IF(AND(ISNUMBER(L234),ISNUMBER(M234)),MAX(0,(M234-L234)*24),0)</f>
        <v>8.5</v>
      </c>
      <c r="O234" s="14" t="n">
        <f aca="false">IF(NOT(U234),0,IF(K234="Vacation",IF(C234="Eve",Settings!$B$9*Settings!$B$11,W234),IF(K234="Partial Vacation",IF(AND(ISNUMBER(H234),ISNUMBER(I234)),MAX(0,(I234-H234)*24),0),0)))</f>
        <v>0</v>
      </c>
      <c r="P234" s="14" t="n">
        <f aca="false">IF(NOT(U234),0,IF(K234="Sick Leave",W234,IF(K234="Partial Sick Leave",IF(AND(ISNUMBER(H234),ISNUMBER(I234)),MAX(0,(I234-H234)*24),0),0)))</f>
        <v>0</v>
      </c>
      <c r="Q234" s="14" t="n">
        <f aca="false">IF(NOT(U234),0,IF(K234="Vacation",IF(C234="Eve",Settings!$B$11,1),IF(K234="Partial Vacation",O234/Settings!$B$9,0)))</f>
        <v>0</v>
      </c>
      <c r="R234" s="14" t="n">
        <f aca="false">IF(NOT(U234),0,IF(K234="Sick Leave",1,IF(K234="Partial Sick Leave",P234/Settings!$B$9,0)))</f>
        <v>0</v>
      </c>
      <c r="S234" s="35" t="str">
        <f aca="false">IF(AND(OR(E234="Vacation",E234="Sick Leave",E234="Partial Vacation",E234="Partial Sick Leave"),NOT(U234)),"Leave not allowed on this day",IF(AND(E234="Manual Work",OR(NOT(ISNUMBER(F234)),NOT(ISNUMBER(G234)))),"Enter start and end",IF(AND(OR(E234="Partial Vacation",E234="Partial Sick Leave"),OR(NOT(ISNUMBER(H234)),NOT(ISNUMBER(I234)))),"Enter leave from and to",IF(AND(ISNUMBER(F234),ISNUMBER(G234),G234&lt;=F234),"End is before start",IF(AND(ISNUMBER(H234),ISNUMBER(I234),I234&lt;=H234),"Leave end is before start",IF(AND(ISNUMBER(F234),ISNUMBER(G234),ISNUMBER(H234),ISNUMBER(I234),F234&lt;I234,H234&lt;G234),"Work and leave hours overlap",IF(AND(E234&lt;&gt;"",WEEKDAY(A234)=7),"Saturday - administrator only","")))))))</f>
        <v/>
      </c>
      <c r="T234" s="36" t="n">
        <f aca="false">MONTH(A234)</f>
        <v>8</v>
      </c>
      <c r="U234" s="37" t="b">
        <f aca="false">OR(C234="Workday",C234="Eve")</f>
        <v>1</v>
      </c>
      <c r="V234" s="34" t="n">
        <f aca="false">IF(C234="Eve",Settings!$B$8,Settings!$B$7)</f>
        <v>0.6875</v>
      </c>
      <c r="W234" s="14" t="n">
        <f aca="false">IF(U234,(V234-Settings!$B$6)*24,0)</f>
        <v>8.5</v>
      </c>
    </row>
    <row r="235" customFormat="false" ht="15" hidden="false" customHeight="false" outlineLevel="0" collapsed="false">
      <c r="A235" s="29" t="n">
        <v>46251</v>
      </c>
      <c r="B235" s="30" t="str">
        <f aca="false">CHOOSE(WEEKDAY(A235),"Sun","Mon","Tue","Wed","Thu","Fri","Sat")</f>
        <v>Mon</v>
      </c>
      <c r="C235" s="30" t="str">
        <f aca="false">IF(IFERROR(INDEX(Holidays!$D$5:$D$60,MATCH(A235,Holidays!$A$5:$A$60,0)),"")="Holiday","Holiday",IF(WEEKDAY(A235)&gt;=6,"Weekend",IF(IFERROR(INDEX(Holidays!$D$5:$D$60,MATCH(A235,Holidays!$A$5:$A$60,0)),"")="Eve","Eve","Workday")))</f>
        <v>Workday</v>
      </c>
      <c r="D235" s="18" t="str">
        <f aca="false">IFERROR(INDEX(Holidays!$C$5:$C$60,MATCH(A235,Holidays!$A$5:$A$60,0)),"")</f>
        <v/>
      </c>
      <c r="E235" s="31"/>
      <c r="F235" s="32"/>
      <c r="G235" s="32"/>
      <c r="H235" s="32"/>
      <c r="I235" s="32"/>
      <c r="J235" s="31"/>
      <c r="K235" s="33" t="str">
        <f aca="false">IF(E235&lt;&gt;"",E235,IF(U235,"Present",IF(C235="Holiday","Holiday","Weekend")))</f>
        <v>Present</v>
      </c>
      <c r="L235" s="34" t="n">
        <f aca="false">IF(OR(K235="Present",K235="Manual Work",K235="Partial Vacation",K235="Partial Sick Leave"),IF(ISNUMBER(F235),F235,IF(AND(K235="Present",U235),Settings!$B$6,"")),"")</f>
        <v>0.333333333333333</v>
      </c>
      <c r="M235" s="34" t="n">
        <f aca="false">IF(OR(K235="Present",K235="Manual Work",K235="Partial Vacation",K235="Partial Sick Leave"),IF(ISNUMBER(G235),G235,IF(AND(K235="Present",U235),V235,"")),"")</f>
        <v>0.6875</v>
      </c>
      <c r="N235" s="14" t="n">
        <f aca="false">IF(AND(ISNUMBER(L235),ISNUMBER(M235)),MAX(0,(M235-L235)*24),0)</f>
        <v>8.5</v>
      </c>
      <c r="O235" s="14" t="n">
        <f aca="false">IF(NOT(U235),0,IF(K235="Vacation",IF(C235="Eve",Settings!$B$9*Settings!$B$11,W235),IF(K235="Partial Vacation",IF(AND(ISNUMBER(H235),ISNUMBER(I235)),MAX(0,(I235-H235)*24),0),0)))</f>
        <v>0</v>
      </c>
      <c r="P235" s="14" t="n">
        <f aca="false">IF(NOT(U235),0,IF(K235="Sick Leave",W235,IF(K235="Partial Sick Leave",IF(AND(ISNUMBER(H235),ISNUMBER(I235)),MAX(0,(I235-H235)*24),0),0)))</f>
        <v>0</v>
      </c>
      <c r="Q235" s="14" t="n">
        <f aca="false">IF(NOT(U235),0,IF(K235="Vacation",IF(C235="Eve",Settings!$B$11,1),IF(K235="Partial Vacation",O235/Settings!$B$9,0)))</f>
        <v>0</v>
      </c>
      <c r="R235" s="14" t="n">
        <f aca="false">IF(NOT(U235),0,IF(K235="Sick Leave",1,IF(K235="Partial Sick Leave",P235/Settings!$B$9,0)))</f>
        <v>0</v>
      </c>
      <c r="S235" s="35" t="str">
        <f aca="false">IF(AND(OR(E235="Vacation",E235="Sick Leave",E235="Partial Vacation",E235="Partial Sick Leave"),NOT(U235)),"Leave not allowed on this day",IF(AND(E235="Manual Work",OR(NOT(ISNUMBER(F235)),NOT(ISNUMBER(G235)))),"Enter start and end",IF(AND(OR(E235="Partial Vacation",E235="Partial Sick Leave"),OR(NOT(ISNUMBER(H235)),NOT(ISNUMBER(I235)))),"Enter leave from and to",IF(AND(ISNUMBER(F235),ISNUMBER(G235),G235&lt;=F235),"End is before start",IF(AND(ISNUMBER(H235),ISNUMBER(I235),I235&lt;=H235),"Leave end is before start",IF(AND(ISNUMBER(F235),ISNUMBER(G235),ISNUMBER(H235),ISNUMBER(I235),F235&lt;I235,H235&lt;G235),"Work and leave hours overlap",IF(AND(E235&lt;&gt;"",WEEKDAY(A235)=7),"Saturday - administrator only","")))))))</f>
        <v/>
      </c>
      <c r="T235" s="36" t="n">
        <f aca="false">MONTH(A235)</f>
        <v>8</v>
      </c>
      <c r="U235" s="37" t="b">
        <f aca="false">OR(C235="Workday",C235="Eve")</f>
        <v>1</v>
      </c>
      <c r="V235" s="34" t="n">
        <f aca="false">IF(C235="Eve",Settings!$B$8,Settings!$B$7)</f>
        <v>0.6875</v>
      </c>
      <c r="W235" s="14" t="n">
        <f aca="false">IF(U235,(V235-Settings!$B$6)*24,0)</f>
        <v>8.5</v>
      </c>
    </row>
    <row r="236" customFormat="false" ht="15" hidden="false" customHeight="false" outlineLevel="0" collapsed="false">
      <c r="A236" s="29" t="n">
        <v>46252</v>
      </c>
      <c r="B236" s="30" t="str">
        <f aca="false">CHOOSE(WEEKDAY(A236),"Sun","Mon","Tue","Wed","Thu","Fri","Sat")</f>
        <v>Tue</v>
      </c>
      <c r="C236" s="30" t="str">
        <f aca="false">IF(IFERROR(INDEX(Holidays!$D$5:$D$60,MATCH(A236,Holidays!$A$5:$A$60,0)),"")="Holiday","Holiday",IF(WEEKDAY(A236)&gt;=6,"Weekend",IF(IFERROR(INDEX(Holidays!$D$5:$D$60,MATCH(A236,Holidays!$A$5:$A$60,0)),"")="Eve","Eve","Workday")))</f>
        <v>Workday</v>
      </c>
      <c r="D236" s="18" t="str">
        <f aca="false">IFERROR(INDEX(Holidays!$C$5:$C$60,MATCH(A236,Holidays!$A$5:$A$60,0)),"")</f>
        <v/>
      </c>
      <c r="E236" s="31"/>
      <c r="F236" s="32"/>
      <c r="G236" s="32"/>
      <c r="H236" s="32"/>
      <c r="I236" s="32"/>
      <c r="J236" s="31"/>
      <c r="K236" s="33" t="str">
        <f aca="false">IF(E236&lt;&gt;"",E236,IF(U236,"Present",IF(C236="Holiday","Holiday","Weekend")))</f>
        <v>Present</v>
      </c>
      <c r="L236" s="34" t="n">
        <f aca="false">IF(OR(K236="Present",K236="Manual Work",K236="Partial Vacation",K236="Partial Sick Leave"),IF(ISNUMBER(F236),F236,IF(AND(K236="Present",U236),Settings!$B$6,"")),"")</f>
        <v>0.333333333333333</v>
      </c>
      <c r="M236" s="34" t="n">
        <f aca="false">IF(OR(K236="Present",K236="Manual Work",K236="Partial Vacation",K236="Partial Sick Leave"),IF(ISNUMBER(G236),G236,IF(AND(K236="Present",U236),V236,"")),"")</f>
        <v>0.6875</v>
      </c>
      <c r="N236" s="14" t="n">
        <f aca="false">IF(AND(ISNUMBER(L236),ISNUMBER(M236)),MAX(0,(M236-L236)*24),0)</f>
        <v>8.5</v>
      </c>
      <c r="O236" s="14" t="n">
        <f aca="false">IF(NOT(U236),0,IF(K236="Vacation",IF(C236="Eve",Settings!$B$9*Settings!$B$11,W236),IF(K236="Partial Vacation",IF(AND(ISNUMBER(H236),ISNUMBER(I236)),MAX(0,(I236-H236)*24),0),0)))</f>
        <v>0</v>
      </c>
      <c r="P236" s="14" t="n">
        <f aca="false">IF(NOT(U236),0,IF(K236="Sick Leave",W236,IF(K236="Partial Sick Leave",IF(AND(ISNUMBER(H236),ISNUMBER(I236)),MAX(0,(I236-H236)*24),0),0)))</f>
        <v>0</v>
      </c>
      <c r="Q236" s="14" t="n">
        <f aca="false">IF(NOT(U236),0,IF(K236="Vacation",IF(C236="Eve",Settings!$B$11,1),IF(K236="Partial Vacation",O236/Settings!$B$9,0)))</f>
        <v>0</v>
      </c>
      <c r="R236" s="14" t="n">
        <f aca="false">IF(NOT(U236),0,IF(K236="Sick Leave",1,IF(K236="Partial Sick Leave",P236/Settings!$B$9,0)))</f>
        <v>0</v>
      </c>
      <c r="S236" s="35" t="str">
        <f aca="false">IF(AND(OR(E236="Vacation",E236="Sick Leave",E236="Partial Vacation",E236="Partial Sick Leave"),NOT(U236)),"Leave not allowed on this day",IF(AND(E236="Manual Work",OR(NOT(ISNUMBER(F236)),NOT(ISNUMBER(G236)))),"Enter start and end",IF(AND(OR(E236="Partial Vacation",E236="Partial Sick Leave"),OR(NOT(ISNUMBER(H236)),NOT(ISNUMBER(I236)))),"Enter leave from and to",IF(AND(ISNUMBER(F236),ISNUMBER(G236),G236&lt;=F236),"End is before start",IF(AND(ISNUMBER(H236),ISNUMBER(I236),I236&lt;=H236),"Leave end is before start",IF(AND(ISNUMBER(F236),ISNUMBER(G236),ISNUMBER(H236),ISNUMBER(I236),F236&lt;I236,H236&lt;G236),"Work and leave hours overlap",IF(AND(E236&lt;&gt;"",WEEKDAY(A236)=7),"Saturday - administrator only","")))))))</f>
        <v/>
      </c>
      <c r="T236" s="36" t="n">
        <f aca="false">MONTH(A236)</f>
        <v>8</v>
      </c>
      <c r="U236" s="37" t="b">
        <f aca="false">OR(C236="Workday",C236="Eve")</f>
        <v>1</v>
      </c>
      <c r="V236" s="34" t="n">
        <f aca="false">IF(C236="Eve",Settings!$B$8,Settings!$B$7)</f>
        <v>0.6875</v>
      </c>
      <c r="W236" s="14" t="n">
        <f aca="false">IF(U236,(V236-Settings!$B$6)*24,0)</f>
        <v>8.5</v>
      </c>
    </row>
    <row r="237" customFormat="false" ht="15" hidden="false" customHeight="false" outlineLevel="0" collapsed="false">
      <c r="A237" s="29" t="n">
        <v>46253</v>
      </c>
      <c r="B237" s="30" t="str">
        <f aca="false">CHOOSE(WEEKDAY(A237),"Sun","Mon","Tue","Wed","Thu","Fri","Sat")</f>
        <v>Wed</v>
      </c>
      <c r="C237" s="30" t="str">
        <f aca="false">IF(IFERROR(INDEX(Holidays!$D$5:$D$60,MATCH(A237,Holidays!$A$5:$A$60,0)),"")="Holiday","Holiday",IF(WEEKDAY(A237)&gt;=6,"Weekend",IF(IFERROR(INDEX(Holidays!$D$5:$D$60,MATCH(A237,Holidays!$A$5:$A$60,0)),"")="Eve","Eve","Workday")))</f>
        <v>Workday</v>
      </c>
      <c r="D237" s="18" t="str">
        <f aca="false">IFERROR(INDEX(Holidays!$C$5:$C$60,MATCH(A237,Holidays!$A$5:$A$60,0)),"")</f>
        <v/>
      </c>
      <c r="E237" s="31"/>
      <c r="F237" s="32"/>
      <c r="G237" s="32"/>
      <c r="H237" s="32"/>
      <c r="I237" s="32"/>
      <c r="J237" s="31"/>
      <c r="K237" s="33" t="str">
        <f aca="false">IF(E237&lt;&gt;"",E237,IF(U237,"Present",IF(C237="Holiday","Holiday","Weekend")))</f>
        <v>Present</v>
      </c>
      <c r="L237" s="34" t="n">
        <f aca="false">IF(OR(K237="Present",K237="Manual Work",K237="Partial Vacation",K237="Partial Sick Leave"),IF(ISNUMBER(F237),F237,IF(AND(K237="Present",U237),Settings!$B$6,"")),"")</f>
        <v>0.333333333333333</v>
      </c>
      <c r="M237" s="34" t="n">
        <f aca="false">IF(OR(K237="Present",K237="Manual Work",K237="Partial Vacation",K237="Partial Sick Leave"),IF(ISNUMBER(G237),G237,IF(AND(K237="Present",U237),V237,"")),"")</f>
        <v>0.6875</v>
      </c>
      <c r="N237" s="14" t="n">
        <f aca="false">IF(AND(ISNUMBER(L237),ISNUMBER(M237)),MAX(0,(M237-L237)*24),0)</f>
        <v>8.5</v>
      </c>
      <c r="O237" s="14" t="n">
        <f aca="false">IF(NOT(U237),0,IF(K237="Vacation",IF(C237="Eve",Settings!$B$9*Settings!$B$11,W237),IF(K237="Partial Vacation",IF(AND(ISNUMBER(H237),ISNUMBER(I237)),MAX(0,(I237-H237)*24),0),0)))</f>
        <v>0</v>
      </c>
      <c r="P237" s="14" t="n">
        <f aca="false">IF(NOT(U237),0,IF(K237="Sick Leave",W237,IF(K237="Partial Sick Leave",IF(AND(ISNUMBER(H237),ISNUMBER(I237)),MAX(0,(I237-H237)*24),0),0)))</f>
        <v>0</v>
      </c>
      <c r="Q237" s="14" t="n">
        <f aca="false">IF(NOT(U237),0,IF(K237="Vacation",IF(C237="Eve",Settings!$B$11,1),IF(K237="Partial Vacation",O237/Settings!$B$9,0)))</f>
        <v>0</v>
      </c>
      <c r="R237" s="14" t="n">
        <f aca="false">IF(NOT(U237),0,IF(K237="Sick Leave",1,IF(K237="Partial Sick Leave",P237/Settings!$B$9,0)))</f>
        <v>0</v>
      </c>
      <c r="S237" s="35" t="str">
        <f aca="false">IF(AND(OR(E237="Vacation",E237="Sick Leave",E237="Partial Vacation",E237="Partial Sick Leave"),NOT(U237)),"Leave not allowed on this day",IF(AND(E237="Manual Work",OR(NOT(ISNUMBER(F237)),NOT(ISNUMBER(G237)))),"Enter start and end",IF(AND(OR(E237="Partial Vacation",E237="Partial Sick Leave"),OR(NOT(ISNUMBER(H237)),NOT(ISNUMBER(I237)))),"Enter leave from and to",IF(AND(ISNUMBER(F237),ISNUMBER(G237),G237&lt;=F237),"End is before start",IF(AND(ISNUMBER(H237),ISNUMBER(I237),I237&lt;=H237),"Leave end is before start",IF(AND(ISNUMBER(F237),ISNUMBER(G237),ISNUMBER(H237),ISNUMBER(I237),F237&lt;I237,H237&lt;G237),"Work and leave hours overlap",IF(AND(E237&lt;&gt;"",WEEKDAY(A237)=7),"Saturday - administrator only","")))))))</f>
        <v/>
      </c>
      <c r="T237" s="36" t="n">
        <f aca="false">MONTH(A237)</f>
        <v>8</v>
      </c>
      <c r="U237" s="37" t="b">
        <f aca="false">OR(C237="Workday",C237="Eve")</f>
        <v>1</v>
      </c>
      <c r="V237" s="34" t="n">
        <f aca="false">IF(C237="Eve",Settings!$B$8,Settings!$B$7)</f>
        <v>0.6875</v>
      </c>
      <c r="W237" s="14" t="n">
        <f aca="false">IF(U237,(V237-Settings!$B$6)*24,0)</f>
        <v>8.5</v>
      </c>
    </row>
    <row r="238" customFormat="false" ht="15" hidden="false" customHeight="false" outlineLevel="0" collapsed="false">
      <c r="A238" s="29" t="n">
        <v>46254</v>
      </c>
      <c r="B238" s="30" t="str">
        <f aca="false">CHOOSE(WEEKDAY(A238),"Sun","Mon","Tue","Wed","Thu","Fri","Sat")</f>
        <v>Thu</v>
      </c>
      <c r="C238" s="30" t="str">
        <f aca="false">IF(IFERROR(INDEX(Holidays!$D$5:$D$60,MATCH(A238,Holidays!$A$5:$A$60,0)),"")="Holiday","Holiday",IF(WEEKDAY(A238)&gt;=6,"Weekend",IF(IFERROR(INDEX(Holidays!$D$5:$D$60,MATCH(A238,Holidays!$A$5:$A$60,0)),"")="Eve","Eve","Workday")))</f>
        <v>Workday</v>
      </c>
      <c r="D238" s="18" t="str">
        <f aca="false">IFERROR(INDEX(Holidays!$C$5:$C$60,MATCH(A238,Holidays!$A$5:$A$60,0)),"")</f>
        <v/>
      </c>
      <c r="E238" s="31"/>
      <c r="F238" s="32"/>
      <c r="G238" s="32"/>
      <c r="H238" s="32"/>
      <c r="I238" s="32"/>
      <c r="J238" s="31"/>
      <c r="K238" s="33" t="str">
        <f aca="false">IF(E238&lt;&gt;"",E238,IF(U238,"Present",IF(C238="Holiday","Holiday","Weekend")))</f>
        <v>Present</v>
      </c>
      <c r="L238" s="34" t="n">
        <f aca="false">IF(OR(K238="Present",K238="Manual Work",K238="Partial Vacation",K238="Partial Sick Leave"),IF(ISNUMBER(F238),F238,IF(AND(K238="Present",U238),Settings!$B$6,"")),"")</f>
        <v>0.333333333333333</v>
      </c>
      <c r="M238" s="34" t="n">
        <f aca="false">IF(OR(K238="Present",K238="Manual Work",K238="Partial Vacation",K238="Partial Sick Leave"),IF(ISNUMBER(G238),G238,IF(AND(K238="Present",U238),V238,"")),"")</f>
        <v>0.6875</v>
      </c>
      <c r="N238" s="14" t="n">
        <f aca="false">IF(AND(ISNUMBER(L238),ISNUMBER(M238)),MAX(0,(M238-L238)*24),0)</f>
        <v>8.5</v>
      </c>
      <c r="O238" s="14" t="n">
        <f aca="false">IF(NOT(U238),0,IF(K238="Vacation",IF(C238="Eve",Settings!$B$9*Settings!$B$11,W238),IF(K238="Partial Vacation",IF(AND(ISNUMBER(H238),ISNUMBER(I238)),MAX(0,(I238-H238)*24),0),0)))</f>
        <v>0</v>
      </c>
      <c r="P238" s="14" t="n">
        <f aca="false">IF(NOT(U238),0,IF(K238="Sick Leave",W238,IF(K238="Partial Sick Leave",IF(AND(ISNUMBER(H238),ISNUMBER(I238)),MAX(0,(I238-H238)*24),0),0)))</f>
        <v>0</v>
      </c>
      <c r="Q238" s="14" t="n">
        <f aca="false">IF(NOT(U238),0,IF(K238="Vacation",IF(C238="Eve",Settings!$B$11,1),IF(K238="Partial Vacation",O238/Settings!$B$9,0)))</f>
        <v>0</v>
      </c>
      <c r="R238" s="14" t="n">
        <f aca="false">IF(NOT(U238),0,IF(K238="Sick Leave",1,IF(K238="Partial Sick Leave",P238/Settings!$B$9,0)))</f>
        <v>0</v>
      </c>
      <c r="S238" s="35" t="str">
        <f aca="false">IF(AND(OR(E238="Vacation",E238="Sick Leave",E238="Partial Vacation",E238="Partial Sick Leave"),NOT(U238)),"Leave not allowed on this day",IF(AND(E238="Manual Work",OR(NOT(ISNUMBER(F238)),NOT(ISNUMBER(G238)))),"Enter start and end",IF(AND(OR(E238="Partial Vacation",E238="Partial Sick Leave"),OR(NOT(ISNUMBER(H238)),NOT(ISNUMBER(I238)))),"Enter leave from and to",IF(AND(ISNUMBER(F238),ISNUMBER(G238),G238&lt;=F238),"End is before start",IF(AND(ISNUMBER(H238),ISNUMBER(I238),I238&lt;=H238),"Leave end is before start",IF(AND(ISNUMBER(F238),ISNUMBER(G238),ISNUMBER(H238),ISNUMBER(I238),F238&lt;I238,H238&lt;G238),"Work and leave hours overlap",IF(AND(E238&lt;&gt;"",WEEKDAY(A238)=7),"Saturday - administrator only","")))))))</f>
        <v/>
      </c>
      <c r="T238" s="36" t="n">
        <f aca="false">MONTH(A238)</f>
        <v>8</v>
      </c>
      <c r="U238" s="37" t="b">
        <f aca="false">OR(C238="Workday",C238="Eve")</f>
        <v>1</v>
      </c>
      <c r="V238" s="34" t="n">
        <f aca="false">IF(C238="Eve",Settings!$B$8,Settings!$B$7)</f>
        <v>0.6875</v>
      </c>
      <c r="W238" s="14" t="n">
        <f aca="false">IF(U238,(V238-Settings!$B$6)*24,0)</f>
        <v>8.5</v>
      </c>
    </row>
    <row r="239" customFormat="false" ht="15" hidden="false" customHeight="false" outlineLevel="0" collapsed="false">
      <c r="A239" s="29" t="n">
        <v>46255</v>
      </c>
      <c r="B239" s="30" t="str">
        <f aca="false">CHOOSE(WEEKDAY(A239),"Sun","Mon","Tue","Wed","Thu","Fri","Sat")</f>
        <v>Fri</v>
      </c>
      <c r="C239" s="30" t="str">
        <f aca="false">IF(IFERROR(INDEX(Holidays!$D$5:$D$60,MATCH(A239,Holidays!$A$5:$A$60,0)),"")="Holiday","Holiday",IF(WEEKDAY(A239)&gt;=6,"Weekend",IF(IFERROR(INDEX(Holidays!$D$5:$D$60,MATCH(A239,Holidays!$A$5:$A$60,0)),"")="Eve","Eve","Workday")))</f>
        <v>Weekend</v>
      </c>
      <c r="D239" s="18" t="str">
        <f aca="false">IFERROR(INDEX(Holidays!$C$5:$C$60,MATCH(A239,Holidays!$A$5:$A$60,0)),"")</f>
        <v/>
      </c>
      <c r="E239" s="31"/>
      <c r="F239" s="32"/>
      <c r="G239" s="32"/>
      <c r="H239" s="32"/>
      <c r="I239" s="32"/>
      <c r="J239" s="31"/>
      <c r="K239" s="33" t="str">
        <f aca="false">IF(E239&lt;&gt;"",E239,IF(U239,"Present",IF(C239="Holiday","Holiday","Weekend")))</f>
        <v>Weekend</v>
      </c>
      <c r="L239" s="34" t="str">
        <f aca="false">IF(OR(K239="Present",K239="Manual Work",K239="Partial Vacation",K239="Partial Sick Leave"),IF(ISNUMBER(F239),F239,IF(AND(K239="Present",U239),Settings!$B$6,"")),"")</f>
        <v/>
      </c>
      <c r="M239" s="34" t="str">
        <f aca="false">IF(OR(K239="Present",K239="Manual Work",K239="Partial Vacation",K239="Partial Sick Leave"),IF(ISNUMBER(G239),G239,IF(AND(K239="Present",U239),V239,"")),"")</f>
        <v/>
      </c>
      <c r="N239" s="14" t="n">
        <f aca="false">IF(AND(ISNUMBER(L239),ISNUMBER(M239)),MAX(0,(M239-L239)*24),0)</f>
        <v>0</v>
      </c>
      <c r="O239" s="14" t="n">
        <f aca="false">IF(NOT(U239),0,IF(K239="Vacation",IF(C239="Eve",Settings!$B$9*Settings!$B$11,W239),IF(K239="Partial Vacation",IF(AND(ISNUMBER(H239),ISNUMBER(I239)),MAX(0,(I239-H239)*24),0),0)))</f>
        <v>0</v>
      </c>
      <c r="P239" s="14" t="n">
        <f aca="false">IF(NOT(U239),0,IF(K239="Sick Leave",W239,IF(K239="Partial Sick Leave",IF(AND(ISNUMBER(H239),ISNUMBER(I239)),MAX(0,(I239-H239)*24),0),0)))</f>
        <v>0</v>
      </c>
      <c r="Q239" s="14" t="n">
        <f aca="false">IF(NOT(U239),0,IF(K239="Vacation",IF(C239="Eve",Settings!$B$11,1),IF(K239="Partial Vacation",O239/Settings!$B$9,0)))</f>
        <v>0</v>
      </c>
      <c r="R239" s="14" t="n">
        <f aca="false">IF(NOT(U239),0,IF(K239="Sick Leave",1,IF(K239="Partial Sick Leave",P239/Settings!$B$9,0)))</f>
        <v>0</v>
      </c>
      <c r="S239" s="35" t="str">
        <f aca="false">IF(AND(OR(E239="Vacation",E239="Sick Leave",E239="Partial Vacation",E239="Partial Sick Leave"),NOT(U239)),"Leave not allowed on this day",IF(AND(E239="Manual Work",OR(NOT(ISNUMBER(F239)),NOT(ISNUMBER(G239)))),"Enter start and end",IF(AND(OR(E239="Partial Vacation",E239="Partial Sick Leave"),OR(NOT(ISNUMBER(H239)),NOT(ISNUMBER(I239)))),"Enter leave from and to",IF(AND(ISNUMBER(F239),ISNUMBER(G239),G239&lt;=F239),"End is before start",IF(AND(ISNUMBER(H239),ISNUMBER(I239),I239&lt;=H239),"Leave end is before start",IF(AND(ISNUMBER(F239),ISNUMBER(G239),ISNUMBER(H239),ISNUMBER(I239),F239&lt;I239,H239&lt;G239),"Work and leave hours overlap",IF(AND(E239&lt;&gt;"",WEEKDAY(A239)=7),"Saturday - administrator only","")))))))</f>
        <v/>
      </c>
      <c r="T239" s="36" t="n">
        <f aca="false">MONTH(A239)</f>
        <v>8</v>
      </c>
      <c r="U239" s="37" t="b">
        <f aca="false">OR(C239="Workday",C239="Eve")</f>
        <v>0</v>
      </c>
      <c r="V239" s="34" t="n">
        <f aca="false">IF(C239="Eve",Settings!$B$8,Settings!$B$7)</f>
        <v>0.6875</v>
      </c>
      <c r="W239" s="14" t="n">
        <f aca="false">IF(U239,(V239-Settings!$B$6)*24,0)</f>
        <v>0</v>
      </c>
    </row>
    <row r="240" customFormat="false" ht="15" hidden="false" customHeight="false" outlineLevel="0" collapsed="false">
      <c r="A240" s="29" t="n">
        <v>46256</v>
      </c>
      <c r="B240" s="30" t="str">
        <f aca="false">CHOOSE(WEEKDAY(A240),"Sun","Mon","Tue","Wed","Thu","Fri","Sat")</f>
        <v>Sat</v>
      </c>
      <c r="C240" s="30" t="str">
        <f aca="false">IF(IFERROR(INDEX(Holidays!$D$5:$D$60,MATCH(A240,Holidays!$A$5:$A$60,0)),"")="Holiday","Holiday",IF(WEEKDAY(A240)&gt;=6,"Weekend",IF(IFERROR(INDEX(Holidays!$D$5:$D$60,MATCH(A240,Holidays!$A$5:$A$60,0)),"")="Eve","Eve","Workday")))</f>
        <v>Weekend</v>
      </c>
      <c r="D240" s="18" t="str">
        <f aca="false">IFERROR(INDEX(Holidays!$C$5:$C$60,MATCH(A240,Holidays!$A$5:$A$60,0)),"")</f>
        <v/>
      </c>
      <c r="E240" s="31"/>
      <c r="F240" s="32"/>
      <c r="G240" s="32"/>
      <c r="H240" s="32"/>
      <c r="I240" s="32"/>
      <c r="J240" s="31"/>
      <c r="K240" s="33" t="str">
        <f aca="false">IF(E240&lt;&gt;"",E240,IF(U240,"Present",IF(C240="Holiday","Holiday","Weekend")))</f>
        <v>Weekend</v>
      </c>
      <c r="L240" s="34" t="str">
        <f aca="false">IF(OR(K240="Present",K240="Manual Work",K240="Partial Vacation",K240="Partial Sick Leave"),IF(ISNUMBER(F240),F240,IF(AND(K240="Present",U240),Settings!$B$6,"")),"")</f>
        <v/>
      </c>
      <c r="M240" s="34" t="str">
        <f aca="false">IF(OR(K240="Present",K240="Manual Work",K240="Partial Vacation",K240="Partial Sick Leave"),IF(ISNUMBER(G240),G240,IF(AND(K240="Present",U240),V240,"")),"")</f>
        <v/>
      </c>
      <c r="N240" s="14" t="n">
        <f aca="false">IF(AND(ISNUMBER(L240),ISNUMBER(M240)),MAX(0,(M240-L240)*24),0)</f>
        <v>0</v>
      </c>
      <c r="O240" s="14" t="n">
        <f aca="false">IF(NOT(U240),0,IF(K240="Vacation",IF(C240="Eve",Settings!$B$9*Settings!$B$11,W240),IF(K240="Partial Vacation",IF(AND(ISNUMBER(H240),ISNUMBER(I240)),MAX(0,(I240-H240)*24),0),0)))</f>
        <v>0</v>
      </c>
      <c r="P240" s="14" t="n">
        <f aca="false">IF(NOT(U240),0,IF(K240="Sick Leave",W240,IF(K240="Partial Sick Leave",IF(AND(ISNUMBER(H240),ISNUMBER(I240)),MAX(0,(I240-H240)*24),0),0)))</f>
        <v>0</v>
      </c>
      <c r="Q240" s="14" t="n">
        <f aca="false">IF(NOT(U240),0,IF(K240="Vacation",IF(C240="Eve",Settings!$B$11,1),IF(K240="Partial Vacation",O240/Settings!$B$9,0)))</f>
        <v>0</v>
      </c>
      <c r="R240" s="14" t="n">
        <f aca="false">IF(NOT(U240),0,IF(K240="Sick Leave",1,IF(K240="Partial Sick Leave",P240/Settings!$B$9,0)))</f>
        <v>0</v>
      </c>
      <c r="S240" s="35" t="str">
        <f aca="false">IF(AND(OR(E240="Vacation",E240="Sick Leave",E240="Partial Vacation",E240="Partial Sick Leave"),NOT(U240)),"Leave not allowed on this day",IF(AND(E240="Manual Work",OR(NOT(ISNUMBER(F240)),NOT(ISNUMBER(G240)))),"Enter start and end",IF(AND(OR(E240="Partial Vacation",E240="Partial Sick Leave"),OR(NOT(ISNUMBER(H240)),NOT(ISNUMBER(I240)))),"Enter leave from and to",IF(AND(ISNUMBER(F240),ISNUMBER(G240),G240&lt;=F240),"End is before start",IF(AND(ISNUMBER(H240),ISNUMBER(I240),I240&lt;=H240),"Leave end is before start",IF(AND(ISNUMBER(F240),ISNUMBER(G240),ISNUMBER(H240),ISNUMBER(I240),F240&lt;I240,H240&lt;G240),"Work and leave hours overlap",IF(AND(E240&lt;&gt;"",WEEKDAY(A240)=7),"Saturday - administrator only","")))))))</f>
        <v/>
      </c>
      <c r="T240" s="36" t="n">
        <f aca="false">MONTH(A240)</f>
        <v>8</v>
      </c>
      <c r="U240" s="37" t="b">
        <f aca="false">OR(C240="Workday",C240="Eve")</f>
        <v>0</v>
      </c>
      <c r="V240" s="34" t="n">
        <f aca="false">IF(C240="Eve",Settings!$B$8,Settings!$B$7)</f>
        <v>0.6875</v>
      </c>
      <c r="W240" s="14" t="n">
        <f aca="false">IF(U240,(V240-Settings!$B$6)*24,0)</f>
        <v>0</v>
      </c>
    </row>
    <row r="241" customFormat="false" ht="15" hidden="false" customHeight="false" outlineLevel="0" collapsed="false">
      <c r="A241" s="29" t="n">
        <v>46257</v>
      </c>
      <c r="B241" s="30" t="str">
        <f aca="false">CHOOSE(WEEKDAY(A241),"Sun","Mon","Tue","Wed","Thu","Fri","Sat")</f>
        <v>Sun</v>
      </c>
      <c r="C241" s="30" t="str">
        <f aca="false">IF(IFERROR(INDEX(Holidays!$D$5:$D$60,MATCH(A241,Holidays!$A$5:$A$60,0)),"")="Holiday","Holiday",IF(WEEKDAY(A241)&gt;=6,"Weekend",IF(IFERROR(INDEX(Holidays!$D$5:$D$60,MATCH(A241,Holidays!$A$5:$A$60,0)),"")="Eve","Eve","Workday")))</f>
        <v>Workday</v>
      </c>
      <c r="D241" s="18" t="str">
        <f aca="false">IFERROR(INDEX(Holidays!$C$5:$C$60,MATCH(A241,Holidays!$A$5:$A$60,0)),"")</f>
        <v/>
      </c>
      <c r="E241" s="31"/>
      <c r="F241" s="32"/>
      <c r="G241" s="32"/>
      <c r="H241" s="32"/>
      <c r="I241" s="32"/>
      <c r="J241" s="31"/>
      <c r="K241" s="33" t="str">
        <f aca="false">IF(E241&lt;&gt;"",E241,IF(U241,"Present",IF(C241="Holiday","Holiday","Weekend")))</f>
        <v>Present</v>
      </c>
      <c r="L241" s="34" t="n">
        <f aca="false">IF(OR(K241="Present",K241="Manual Work",K241="Partial Vacation",K241="Partial Sick Leave"),IF(ISNUMBER(F241),F241,IF(AND(K241="Present",U241),Settings!$B$6,"")),"")</f>
        <v>0.333333333333333</v>
      </c>
      <c r="M241" s="34" t="n">
        <f aca="false">IF(OR(K241="Present",K241="Manual Work",K241="Partial Vacation",K241="Partial Sick Leave"),IF(ISNUMBER(G241),G241,IF(AND(K241="Present",U241),V241,"")),"")</f>
        <v>0.6875</v>
      </c>
      <c r="N241" s="14" t="n">
        <f aca="false">IF(AND(ISNUMBER(L241),ISNUMBER(M241)),MAX(0,(M241-L241)*24),0)</f>
        <v>8.5</v>
      </c>
      <c r="O241" s="14" t="n">
        <f aca="false">IF(NOT(U241),0,IF(K241="Vacation",IF(C241="Eve",Settings!$B$9*Settings!$B$11,W241),IF(K241="Partial Vacation",IF(AND(ISNUMBER(H241),ISNUMBER(I241)),MAX(0,(I241-H241)*24),0),0)))</f>
        <v>0</v>
      </c>
      <c r="P241" s="14" t="n">
        <f aca="false">IF(NOT(U241),0,IF(K241="Sick Leave",W241,IF(K241="Partial Sick Leave",IF(AND(ISNUMBER(H241),ISNUMBER(I241)),MAX(0,(I241-H241)*24),0),0)))</f>
        <v>0</v>
      </c>
      <c r="Q241" s="14" t="n">
        <f aca="false">IF(NOT(U241),0,IF(K241="Vacation",IF(C241="Eve",Settings!$B$11,1),IF(K241="Partial Vacation",O241/Settings!$B$9,0)))</f>
        <v>0</v>
      </c>
      <c r="R241" s="14" t="n">
        <f aca="false">IF(NOT(U241),0,IF(K241="Sick Leave",1,IF(K241="Partial Sick Leave",P241/Settings!$B$9,0)))</f>
        <v>0</v>
      </c>
      <c r="S241" s="35" t="str">
        <f aca="false">IF(AND(OR(E241="Vacation",E241="Sick Leave",E241="Partial Vacation",E241="Partial Sick Leave"),NOT(U241)),"Leave not allowed on this day",IF(AND(E241="Manual Work",OR(NOT(ISNUMBER(F241)),NOT(ISNUMBER(G241)))),"Enter start and end",IF(AND(OR(E241="Partial Vacation",E241="Partial Sick Leave"),OR(NOT(ISNUMBER(H241)),NOT(ISNUMBER(I241)))),"Enter leave from and to",IF(AND(ISNUMBER(F241),ISNUMBER(G241),G241&lt;=F241),"End is before start",IF(AND(ISNUMBER(H241),ISNUMBER(I241),I241&lt;=H241),"Leave end is before start",IF(AND(ISNUMBER(F241),ISNUMBER(G241),ISNUMBER(H241),ISNUMBER(I241),F241&lt;I241,H241&lt;G241),"Work and leave hours overlap",IF(AND(E241&lt;&gt;"",WEEKDAY(A241)=7),"Saturday - administrator only","")))))))</f>
        <v/>
      </c>
      <c r="T241" s="36" t="n">
        <f aca="false">MONTH(A241)</f>
        <v>8</v>
      </c>
      <c r="U241" s="37" t="b">
        <f aca="false">OR(C241="Workday",C241="Eve")</f>
        <v>1</v>
      </c>
      <c r="V241" s="34" t="n">
        <f aca="false">IF(C241="Eve",Settings!$B$8,Settings!$B$7)</f>
        <v>0.6875</v>
      </c>
      <c r="W241" s="14" t="n">
        <f aca="false">IF(U241,(V241-Settings!$B$6)*24,0)</f>
        <v>8.5</v>
      </c>
    </row>
    <row r="242" customFormat="false" ht="15" hidden="false" customHeight="false" outlineLevel="0" collapsed="false">
      <c r="A242" s="29" t="n">
        <v>46258</v>
      </c>
      <c r="B242" s="30" t="str">
        <f aca="false">CHOOSE(WEEKDAY(A242),"Sun","Mon","Tue","Wed","Thu","Fri","Sat")</f>
        <v>Mon</v>
      </c>
      <c r="C242" s="30" t="str">
        <f aca="false">IF(IFERROR(INDEX(Holidays!$D$5:$D$60,MATCH(A242,Holidays!$A$5:$A$60,0)),"")="Holiday","Holiday",IF(WEEKDAY(A242)&gt;=6,"Weekend",IF(IFERROR(INDEX(Holidays!$D$5:$D$60,MATCH(A242,Holidays!$A$5:$A$60,0)),"")="Eve","Eve","Workday")))</f>
        <v>Workday</v>
      </c>
      <c r="D242" s="18" t="str">
        <f aca="false">IFERROR(INDEX(Holidays!$C$5:$C$60,MATCH(A242,Holidays!$A$5:$A$60,0)),"")</f>
        <v/>
      </c>
      <c r="E242" s="31"/>
      <c r="F242" s="32"/>
      <c r="G242" s="32"/>
      <c r="H242" s="32"/>
      <c r="I242" s="32"/>
      <c r="J242" s="31"/>
      <c r="K242" s="33" t="str">
        <f aca="false">IF(E242&lt;&gt;"",E242,IF(U242,"Present",IF(C242="Holiday","Holiday","Weekend")))</f>
        <v>Present</v>
      </c>
      <c r="L242" s="34" t="n">
        <f aca="false">IF(OR(K242="Present",K242="Manual Work",K242="Partial Vacation",K242="Partial Sick Leave"),IF(ISNUMBER(F242),F242,IF(AND(K242="Present",U242),Settings!$B$6,"")),"")</f>
        <v>0.333333333333333</v>
      </c>
      <c r="M242" s="34" t="n">
        <f aca="false">IF(OR(K242="Present",K242="Manual Work",K242="Partial Vacation",K242="Partial Sick Leave"),IF(ISNUMBER(G242),G242,IF(AND(K242="Present",U242),V242,"")),"")</f>
        <v>0.6875</v>
      </c>
      <c r="N242" s="14" t="n">
        <f aca="false">IF(AND(ISNUMBER(L242),ISNUMBER(M242)),MAX(0,(M242-L242)*24),0)</f>
        <v>8.5</v>
      </c>
      <c r="O242" s="14" t="n">
        <f aca="false">IF(NOT(U242),0,IF(K242="Vacation",IF(C242="Eve",Settings!$B$9*Settings!$B$11,W242),IF(K242="Partial Vacation",IF(AND(ISNUMBER(H242),ISNUMBER(I242)),MAX(0,(I242-H242)*24),0),0)))</f>
        <v>0</v>
      </c>
      <c r="P242" s="14" t="n">
        <f aca="false">IF(NOT(U242),0,IF(K242="Sick Leave",W242,IF(K242="Partial Sick Leave",IF(AND(ISNUMBER(H242),ISNUMBER(I242)),MAX(0,(I242-H242)*24),0),0)))</f>
        <v>0</v>
      </c>
      <c r="Q242" s="14" t="n">
        <f aca="false">IF(NOT(U242),0,IF(K242="Vacation",IF(C242="Eve",Settings!$B$11,1),IF(K242="Partial Vacation",O242/Settings!$B$9,0)))</f>
        <v>0</v>
      </c>
      <c r="R242" s="14" t="n">
        <f aca="false">IF(NOT(U242),0,IF(K242="Sick Leave",1,IF(K242="Partial Sick Leave",P242/Settings!$B$9,0)))</f>
        <v>0</v>
      </c>
      <c r="S242" s="35" t="str">
        <f aca="false">IF(AND(OR(E242="Vacation",E242="Sick Leave",E242="Partial Vacation",E242="Partial Sick Leave"),NOT(U242)),"Leave not allowed on this day",IF(AND(E242="Manual Work",OR(NOT(ISNUMBER(F242)),NOT(ISNUMBER(G242)))),"Enter start and end",IF(AND(OR(E242="Partial Vacation",E242="Partial Sick Leave"),OR(NOT(ISNUMBER(H242)),NOT(ISNUMBER(I242)))),"Enter leave from and to",IF(AND(ISNUMBER(F242),ISNUMBER(G242),G242&lt;=F242),"End is before start",IF(AND(ISNUMBER(H242),ISNUMBER(I242),I242&lt;=H242),"Leave end is before start",IF(AND(ISNUMBER(F242),ISNUMBER(G242),ISNUMBER(H242),ISNUMBER(I242),F242&lt;I242,H242&lt;G242),"Work and leave hours overlap",IF(AND(E242&lt;&gt;"",WEEKDAY(A242)=7),"Saturday - administrator only","")))))))</f>
        <v/>
      </c>
      <c r="T242" s="36" t="n">
        <f aca="false">MONTH(A242)</f>
        <v>8</v>
      </c>
      <c r="U242" s="37" t="b">
        <f aca="false">OR(C242="Workday",C242="Eve")</f>
        <v>1</v>
      </c>
      <c r="V242" s="34" t="n">
        <f aca="false">IF(C242="Eve",Settings!$B$8,Settings!$B$7)</f>
        <v>0.6875</v>
      </c>
      <c r="W242" s="14" t="n">
        <f aca="false">IF(U242,(V242-Settings!$B$6)*24,0)</f>
        <v>8.5</v>
      </c>
    </row>
    <row r="243" customFormat="false" ht="15" hidden="false" customHeight="false" outlineLevel="0" collapsed="false">
      <c r="A243" s="29" t="n">
        <v>46259</v>
      </c>
      <c r="B243" s="30" t="str">
        <f aca="false">CHOOSE(WEEKDAY(A243),"Sun","Mon","Tue","Wed","Thu","Fri","Sat")</f>
        <v>Tue</v>
      </c>
      <c r="C243" s="30" t="str">
        <f aca="false">IF(IFERROR(INDEX(Holidays!$D$5:$D$60,MATCH(A243,Holidays!$A$5:$A$60,0)),"")="Holiday","Holiday",IF(WEEKDAY(A243)&gt;=6,"Weekend",IF(IFERROR(INDEX(Holidays!$D$5:$D$60,MATCH(A243,Holidays!$A$5:$A$60,0)),"")="Eve","Eve","Workday")))</f>
        <v>Workday</v>
      </c>
      <c r="D243" s="18" t="str">
        <f aca="false">IFERROR(INDEX(Holidays!$C$5:$C$60,MATCH(A243,Holidays!$A$5:$A$60,0)),"")</f>
        <v/>
      </c>
      <c r="E243" s="31"/>
      <c r="F243" s="32"/>
      <c r="G243" s="32"/>
      <c r="H243" s="32"/>
      <c r="I243" s="32"/>
      <c r="J243" s="31"/>
      <c r="K243" s="33" t="str">
        <f aca="false">IF(E243&lt;&gt;"",E243,IF(U243,"Present",IF(C243="Holiday","Holiday","Weekend")))</f>
        <v>Present</v>
      </c>
      <c r="L243" s="34" t="n">
        <f aca="false">IF(OR(K243="Present",K243="Manual Work",K243="Partial Vacation",K243="Partial Sick Leave"),IF(ISNUMBER(F243),F243,IF(AND(K243="Present",U243),Settings!$B$6,"")),"")</f>
        <v>0.333333333333333</v>
      </c>
      <c r="M243" s="34" t="n">
        <f aca="false">IF(OR(K243="Present",K243="Manual Work",K243="Partial Vacation",K243="Partial Sick Leave"),IF(ISNUMBER(G243),G243,IF(AND(K243="Present",U243),V243,"")),"")</f>
        <v>0.6875</v>
      </c>
      <c r="N243" s="14" t="n">
        <f aca="false">IF(AND(ISNUMBER(L243),ISNUMBER(M243)),MAX(0,(M243-L243)*24),0)</f>
        <v>8.5</v>
      </c>
      <c r="O243" s="14" t="n">
        <f aca="false">IF(NOT(U243),0,IF(K243="Vacation",IF(C243="Eve",Settings!$B$9*Settings!$B$11,W243),IF(K243="Partial Vacation",IF(AND(ISNUMBER(H243),ISNUMBER(I243)),MAX(0,(I243-H243)*24),0),0)))</f>
        <v>0</v>
      </c>
      <c r="P243" s="14" t="n">
        <f aca="false">IF(NOT(U243),0,IF(K243="Sick Leave",W243,IF(K243="Partial Sick Leave",IF(AND(ISNUMBER(H243),ISNUMBER(I243)),MAX(0,(I243-H243)*24),0),0)))</f>
        <v>0</v>
      </c>
      <c r="Q243" s="14" t="n">
        <f aca="false">IF(NOT(U243),0,IF(K243="Vacation",IF(C243="Eve",Settings!$B$11,1),IF(K243="Partial Vacation",O243/Settings!$B$9,0)))</f>
        <v>0</v>
      </c>
      <c r="R243" s="14" t="n">
        <f aca="false">IF(NOT(U243),0,IF(K243="Sick Leave",1,IF(K243="Partial Sick Leave",P243/Settings!$B$9,0)))</f>
        <v>0</v>
      </c>
      <c r="S243" s="35" t="str">
        <f aca="false">IF(AND(OR(E243="Vacation",E243="Sick Leave",E243="Partial Vacation",E243="Partial Sick Leave"),NOT(U243)),"Leave not allowed on this day",IF(AND(E243="Manual Work",OR(NOT(ISNUMBER(F243)),NOT(ISNUMBER(G243)))),"Enter start and end",IF(AND(OR(E243="Partial Vacation",E243="Partial Sick Leave"),OR(NOT(ISNUMBER(H243)),NOT(ISNUMBER(I243)))),"Enter leave from and to",IF(AND(ISNUMBER(F243),ISNUMBER(G243),G243&lt;=F243),"End is before start",IF(AND(ISNUMBER(H243),ISNUMBER(I243),I243&lt;=H243),"Leave end is before start",IF(AND(ISNUMBER(F243),ISNUMBER(G243),ISNUMBER(H243),ISNUMBER(I243),F243&lt;I243,H243&lt;G243),"Work and leave hours overlap",IF(AND(E243&lt;&gt;"",WEEKDAY(A243)=7),"Saturday - administrator only","")))))))</f>
        <v/>
      </c>
      <c r="T243" s="36" t="n">
        <f aca="false">MONTH(A243)</f>
        <v>8</v>
      </c>
      <c r="U243" s="37" t="b">
        <f aca="false">OR(C243="Workday",C243="Eve")</f>
        <v>1</v>
      </c>
      <c r="V243" s="34" t="n">
        <f aca="false">IF(C243="Eve",Settings!$B$8,Settings!$B$7)</f>
        <v>0.6875</v>
      </c>
      <c r="W243" s="14" t="n">
        <f aca="false">IF(U243,(V243-Settings!$B$6)*24,0)</f>
        <v>8.5</v>
      </c>
    </row>
    <row r="244" customFormat="false" ht="15" hidden="false" customHeight="false" outlineLevel="0" collapsed="false">
      <c r="A244" s="29" t="n">
        <v>46260</v>
      </c>
      <c r="B244" s="30" t="str">
        <f aca="false">CHOOSE(WEEKDAY(A244),"Sun","Mon","Tue","Wed","Thu","Fri","Sat")</f>
        <v>Wed</v>
      </c>
      <c r="C244" s="30" t="str">
        <f aca="false">IF(IFERROR(INDEX(Holidays!$D$5:$D$60,MATCH(A244,Holidays!$A$5:$A$60,0)),"")="Holiday","Holiday",IF(WEEKDAY(A244)&gt;=6,"Weekend",IF(IFERROR(INDEX(Holidays!$D$5:$D$60,MATCH(A244,Holidays!$A$5:$A$60,0)),"")="Eve","Eve","Workday")))</f>
        <v>Workday</v>
      </c>
      <c r="D244" s="18" t="str">
        <f aca="false">IFERROR(INDEX(Holidays!$C$5:$C$60,MATCH(A244,Holidays!$A$5:$A$60,0)),"")</f>
        <v/>
      </c>
      <c r="E244" s="31"/>
      <c r="F244" s="32"/>
      <c r="G244" s="32"/>
      <c r="H244" s="32"/>
      <c r="I244" s="32"/>
      <c r="J244" s="31"/>
      <c r="K244" s="33" t="str">
        <f aca="false">IF(E244&lt;&gt;"",E244,IF(U244,"Present",IF(C244="Holiday","Holiday","Weekend")))</f>
        <v>Present</v>
      </c>
      <c r="L244" s="34" t="n">
        <f aca="false">IF(OR(K244="Present",K244="Manual Work",K244="Partial Vacation",K244="Partial Sick Leave"),IF(ISNUMBER(F244),F244,IF(AND(K244="Present",U244),Settings!$B$6,"")),"")</f>
        <v>0.333333333333333</v>
      </c>
      <c r="M244" s="34" t="n">
        <f aca="false">IF(OR(K244="Present",K244="Manual Work",K244="Partial Vacation",K244="Partial Sick Leave"),IF(ISNUMBER(G244),G244,IF(AND(K244="Present",U244),V244,"")),"")</f>
        <v>0.6875</v>
      </c>
      <c r="N244" s="14" t="n">
        <f aca="false">IF(AND(ISNUMBER(L244),ISNUMBER(M244)),MAX(0,(M244-L244)*24),0)</f>
        <v>8.5</v>
      </c>
      <c r="O244" s="14" t="n">
        <f aca="false">IF(NOT(U244),0,IF(K244="Vacation",IF(C244="Eve",Settings!$B$9*Settings!$B$11,W244),IF(K244="Partial Vacation",IF(AND(ISNUMBER(H244),ISNUMBER(I244)),MAX(0,(I244-H244)*24),0),0)))</f>
        <v>0</v>
      </c>
      <c r="P244" s="14" t="n">
        <f aca="false">IF(NOT(U244),0,IF(K244="Sick Leave",W244,IF(K244="Partial Sick Leave",IF(AND(ISNUMBER(H244),ISNUMBER(I244)),MAX(0,(I244-H244)*24),0),0)))</f>
        <v>0</v>
      </c>
      <c r="Q244" s="14" t="n">
        <f aca="false">IF(NOT(U244),0,IF(K244="Vacation",IF(C244="Eve",Settings!$B$11,1),IF(K244="Partial Vacation",O244/Settings!$B$9,0)))</f>
        <v>0</v>
      </c>
      <c r="R244" s="14" t="n">
        <f aca="false">IF(NOT(U244),0,IF(K244="Sick Leave",1,IF(K244="Partial Sick Leave",P244/Settings!$B$9,0)))</f>
        <v>0</v>
      </c>
      <c r="S244" s="35" t="str">
        <f aca="false">IF(AND(OR(E244="Vacation",E244="Sick Leave",E244="Partial Vacation",E244="Partial Sick Leave"),NOT(U244)),"Leave not allowed on this day",IF(AND(E244="Manual Work",OR(NOT(ISNUMBER(F244)),NOT(ISNUMBER(G244)))),"Enter start and end",IF(AND(OR(E244="Partial Vacation",E244="Partial Sick Leave"),OR(NOT(ISNUMBER(H244)),NOT(ISNUMBER(I244)))),"Enter leave from and to",IF(AND(ISNUMBER(F244),ISNUMBER(G244),G244&lt;=F244),"End is before start",IF(AND(ISNUMBER(H244),ISNUMBER(I244),I244&lt;=H244),"Leave end is before start",IF(AND(ISNUMBER(F244),ISNUMBER(G244),ISNUMBER(H244),ISNUMBER(I244),F244&lt;I244,H244&lt;G244),"Work and leave hours overlap",IF(AND(E244&lt;&gt;"",WEEKDAY(A244)=7),"Saturday - administrator only","")))))))</f>
        <v/>
      </c>
      <c r="T244" s="36" t="n">
        <f aca="false">MONTH(A244)</f>
        <v>8</v>
      </c>
      <c r="U244" s="37" t="b">
        <f aca="false">OR(C244="Workday",C244="Eve")</f>
        <v>1</v>
      </c>
      <c r="V244" s="34" t="n">
        <f aca="false">IF(C244="Eve",Settings!$B$8,Settings!$B$7)</f>
        <v>0.6875</v>
      </c>
      <c r="W244" s="14" t="n">
        <f aca="false">IF(U244,(V244-Settings!$B$6)*24,0)</f>
        <v>8.5</v>
      </c>
    </row>
    <row r="245" customFormat="false" ht="15" hidden="false" customHeight="false" outlineLevel="0" collapsed="false">
      <c r="A245" s="29" t="n">
        <v>46261</v>
      </c>
      <c r="B245" s="30" t="str">
        <f aca="false">CHOOSE(WEEKDAY(A245),"Sun","Mon","Tue","Wed","Thu","Fri","Sat")</f>
        <v>Thu</v>
      </c>
      <c r="C245" s="30" t="str">
        <f aca="false">IF(IFERROR(INDEX(Holidays!$D$5:$D$60,MATCH(A245,Holidays!$A$5:$A$60,0)),"")="Holiday","Holiday",IF(WEEKDAY(A245)&gt;=6,"Weekend",IF(IFERROR(INDEX(Holidays!$D$5:$D$60,MATCH(A245,Holidays!$A$5:$A$60,0)),"")="Eve","Eve","Workday")))</f>
        <v>Workday</v>
      </c>
      <c r="D245" s="18" t="str">
        <f aca="false">IFERROR(INDEX(Holidays!$C$5:$C$60,MATCH(A245,Holidays!$A$5:$A$60,0)),"")</f>
        <v/>
      </c>
      <c r="E245" s="31"/>
      <c r="F245" s="32"/>
      <c r="G245" s="32"/>
      <c r="H245" s="32"/>
      <c r="I245" s="32"/>
      <c r="J245" s="31"/>
      <c r="K245" s="33" t="str">
        <f aca="false">IF(E245&lt;&gt;"",E245,IF(U245,"Present",IF(C245="Holiday","Holiday","Weekend")))</f>
        <v>Present</v>
      </c>
      <c r="L245" s="34" t="n">
        <f aca="false">IF(OR(K245="Present",K245="Manual Work",K245="Partial Vacation",K245="Partial Sick Leave"),IF(ISNUMBER(F245),F245,IF(AND(K245="Present",U245),Settings!$B$6,"")),"")</f>
        <v>0.333333333333333</v>
      </c>
      <c r="M245" s="34" t="n">
        <f aca="false">IF(OR(K245="Present",K245="Manual Work",K245="Partial Vacation",K245="Partial Sick Leave"),IF(ISNUMBER(G245),G245,IF(AND(K245="Present",U245),V245,"")),"")</f>
        <v>0.6875</v>
      </c>
      <c r="N245" s="14" t="n">
        <f aca="false">IF(AND(ISNUMBER(L245),ISNUMBER(M245)),MAX(0,(M245-L245)*24),0)</f>
        <v>8.5</v>
      </c>
      <c r="O245" s="14" t="n">
        <f aca="false">IF(NOT(U245),0,IF(K245="Vacation",IF(C245="Eve",Settings!$B$9*Settings!$B$11,W245),IF(K245="Partial Vacation",IF(AND(ISNUMBER(H245),ISNUMBER(I245)),MAX(0,(I245-H245)*24),0),0)))</f>
        <v>0</v>
      </c>
      <c r="P245" s="14" t="n">
        <f aca="false">IF(NOT(U245),0,IF(K245="Sick Leave",W245,IF(K245="Partial Sick Leave",IF(AND(ISNUMBER(H245),ISNUMBER(I245)),MAX(0,(I245-H245)*24),0),0)))</f>
        <v>0</v>
      </c>
      <c r="Q245" s="14" t="n">
        <f aca="false">IF(NOT(U245),0,IF(K245="Vacation",IF(C245="Eve",Settings!$B$11,1),IF(K245="Partial Vacation",O245/Settings!$B$9,0)))</f>
        <v>0</v>
      </c>
      <c r="R245" s="14" t="n">
        <f aca="false">IF(NOT(U245),0,IF(K245="Sick Leave",1,IF(K245="Partial Sick Leave",P245/Settings!$B$9,0)))</f>
        <v>0</v>
      </c>
      <c r="S245" s="35" t="str">
        <f aca="false">IF(AND(OR(E245="Vacation",E245="Sick Leave",E245="Partial Vacation",E245="Partial Sick Leave"),NOT(U245)),"Leave not allowed on this day",IF(AND(E245="Manual Work",OR(NOT(ISNUMBER(F245)),NOT(ISNUMBER(G245)))),"Enter start and end",IF(AND(OR(E245="Partial Vacation",E245="Partial Sick Leave"),OR(NOT(ISNUMBER(H245)),NOT(ISNUMBER(I245)))),"Enter leave from and to",IF(AND(ISNUMBER(F245),ISNUMBER(G245),G245&lt;=F245),"End is before start",IF(AND(ISNUMBER(H245),ISNUMBER(I245),I245&lt;=H245),"Leave end is before start",IF(AND(ISNUMBER(F245),ISNUMBER(G245),ISNUMBER(H245),ISNUMBER(I245),F245&lt;I245,H245&lt;G245),"Work and leave hours overlap",IF(AND(E245&lt;&gt;"",WEEKDAY(A245)=7),"Saturday - administrator only","")))))))</f>
        <v/>
      </c>
      <c r="T245" s="36" t="n">
        <f aca="false">MONTH(A245)</f>
        <v>8</v>
      </c>
      <c r="U245" s="37" t="b">
        <f aca="false">OR(C245="Workday",C245="Eve")</f>
        <v>1</v>
      </c>
      <c r="V245" s="34" t="n">
        <f aca="false">IF(C245="Eve",Settings!$B$8,Settings!$B$7)</f>
        <v>0.6875</v>
      </c>
      <c r="W245" s="14" t="n">
        <f aca="false">IF(U245,(V245-Settings!$B$6)*24,0)</f>
        <v>8.5</v>
      </c>
    </row>
    <row r="246" customFormat="false" ht="15" hidden="false" customHeight="false" outlineLevel="0" collapsed="false">
      <c r="A246" s="29" t="n">
        <v>46262</v>
      </c>
      <c r="B246" s="30" t="str">
        <f aca="false">CHOOSE(WEEKDAY(A246),"Sun","Mon","Tue","Wed","Thu","Fri","Sat")</f>
        <v>Fri</v>
      </c>
      <c r="C246" s="30" t="str">
        <f aca="false">IF(IFERROR(INDEX(Holidays!$D$5:$D$60,MATCH(A246,Holidays!$A$5:$A$60,0)),"")="Holiday","Holiday",IF(WEEKDAY(A246)&gt;=6,"Weekend",IF(IFERROR(INDEX(Holidays!$D$5:$D$60,MATCH(A246,Holidays!$A$5:$A$60,0)),"")="Eve","Eve","Workday")))</f>
        <v>Weekend</v>
      </c>
      <c r="D246" s="18" t="str">
        <f aca="false">IFERROR(INDEX(Holidays!$C$5:$C$60,MATCH(A246,Holidays!$A$5:$A$60,0)),"")</f>
        <v/>
      </c>
      <c r="E246" s="31"/>
      <c r="F246" s="32"/>
      <c r="G246" s="32"/>
      <c r="H246" s="32"/>
      <c r="I246" s="32"/>
      <c r="J246" s="31"/>
      <c r="K246" s="33" t="str">
        <f aca="false">IF(E246&lt;&gt;"",E246,IF(U246,"Present",IF(C246="Holiday","Holiday","Weekend")))</f>
        <v>Weekend</v>
      </c>
      <c r="L246" s="34" t="str">
        <f aca="false">IF(OR(K246="Present",K246="Manual Work",K246="Partial Vacation",K246="Partial Sick Leave"),IF(ISNUMBER(F246),F246,IF(AND(K246="Present",U246),Settings!$B$6,"")),"")</f>
        <v/>
      </c>
      <c r="M246" s="34" t="str">
        <f aca="false">IF(OR(K246="Present",K246="Manual Work",K246="Partial Vacation",K246="Partial Sick Leave"),IF(ISNUMBER(G246),G246,IF(AND(K246="Present",U246),V246,"")),"")</f>
        <v/>
      </c>
      <c r="N246" s="14" t="n">
        <f aca="false">IF(AND(ISNUMBER(L246),ISNUMBER(M246)),MAX(0,(M246-L246)*24),0)</f>
        <v>0</v>
      </c>
      <c r="O246" s="14" t="n">
        <f aca="false">IF(NOT(U246),0,IF(K246="Vacation",IF(C246="Eve",Settings!$B$9*Settings!$B$11,W246),IF(K246="Partial Vacation",IF(AND(ISNUMBER(H246),ISNUMBER(I246)),MAX(0,(I246-H246)*24),0),0)))</f>
        <v>0</v>
      </c>
      <c r="P246" s="14" t="n">
        <f aca="false">IF(NOT(U246),0,IF(K246="Sick Leave",W246,IF(K246="Partial Sick Leave",IF(AND(ISNUMBER(H246),ISNUMBER(I246)),MAX(0,(I246-H246)*24),0),0)))</f>
        <v>0</v>
      </c>
      <c r="Q246" s="14" t="n">
        <f aca="false">IF(NOT(U246),0,IF(K246="Vacation",IF(C246="Eve",Settings!$B$11,1),IF(K246="Partial Vacation",O246/Settings!$B$9,0)))</f>
        <v>0</v>
      </c>
      <c r="R246" s="14" t="n">
        <f aca="false">IF(NOT(U246),0,IF(K246="Sick Leave",1,IF(K246="Partial Sick Leave",P246/Settings!$B$9,0)))</f>
        <v>0</v>
      </c>
      <c r="S246" s="35" t="str">
        <f aca="false">IF(AND(OR(E246="Vacation",E246="Sick Leave",E246="Partial Vacation",E246="Partial Sick Leave"),NOT(U246)),"Leave not allowed on this day",IF(AND(E246="Manual Work",OR(NOT(ISNUMBER(F246)),NOT(ISNUMBER(G246)))),"Enter start and end",IF(AND(OR(E246="Partial Vacation",E246="Partial Sick Leave"),OR(NOT(ISNUMBER(H246)),NOT(ISNUMBER(I246)))),"Enter leave from and to",IF(AND(ISNUMBER(F246),ISNUMBER(G246),G246&lt;=F246),"End is before start",IF(AND(ISNUMBER(H246),ISNUMBER(I246),I246&lt;=H246),"Leave end is before start",IF(AND(ISNUMBER(F246),ISNUMBER(G246),ISNUMBER(H246),ISNUMBER(I246),F246&lt;I246,H246&lt;G246),"Work and leave hours overlap",IF(AND(E246&lt;&gt;"",WEEKDAY(A246)=7),"Saturday - administrator only","")))))))</f>
        <v/>
      </c>
      <c r="T246" s="36" t="n">
        <f aca="false">MONTH(A246)</f>
        <v>8</v>
      </c>
      <c r="U246" s="37" t="b">
        <f aca="false">OR(C246="Workday",C246="Eve")</f>
        <v>0</v>
      </c>
      <c r="V246" s="34" t="n">
        <f aca="false">IF(C246="Eve",Settings!$B$8,Settings!$B$7)</f>
        <v>0.6875</v>
      </c>
      <c r="W246" s="14" t="n">
        <f aca="false">IF(U246,(V246-Settings!$B$6)*24,0)</f>
        <v>0</v>
      </c>
    </row>
    <row r="247" customFormat="false" ht="15" hidden="false" customHeight="false" outlineLevel="0" collapsed="false">
      <c r="A247" s="29" t="n">
        <v>46263</v>
      </c>
      <c r="B247" s="30" t="str">
        <f aca="false">CHOOSE(WEEKDAY(A247),"Sun","Mon","Tue","Wed","Thu","Fri","Sat")</f>
        <v>Sat</v>
      </c>
      <c r="C247" s="30" t="str">
        <f aca="false">IF(IFERROR(INDEX(Holidays!$D$5:$D$60,MATCH(A247,Holidays!$A$5:$A$60,0)),"")="Holiday","Holiday",IF(WEEKDAY(A247)&gt;=6,"Weekend",IF(IFERROR(INDEX(Holidays!$D$5:$D$60,MATCH(A247,Holidays!$A$5:$A$60,0)),"")="Eve","Eve","Workday")))</f>
        <v>Weekend</v>
      </c>
      <c r="D247" s="18" t="str">
        <f aca="false">IFERROR(INDEX(Holidays!$C$5:$C$60,MATCH(A247,Holidays!$A$5:$A$60,0)),"")</f>
        <v/>
      </c>
      <c r="E247" s="31"/>
      <c r="F247" s="32"/>
      <c r="G247" s="32"/>
      <c r="H247" s="32"/>
      <c r="I247" s="32"/>
      <c r="J247" s="31"/>
      <c r="K247" s="33" t="str">
        <f aca="false">IF(E247&lt;&gt;"",E247,IF(U247,"Present",IF(C247="Holiday","Holiday","Weekend")))</f>
        <v>Weekend</v>
      </c>
      <c r="L247" s="34" t="str">
        <f aca="false">IF(OR(K247="Present",K247="Manual Work",K247="Partial Vacation",K247="Partial Sick Leave"),IF(ISNUMBER(F247),F247,IF(AND(K247="Present",U247),Settings!$B$6,"")),"")</f>
        <v/>
      </c>
      <c r="M247" s="34" t="str">
        <f aca="false">IF(OR(K247="Present",K247="Manual Work",K247="Partial Vacation",K247="Partial Sick Leave"),IF(ISNUMBER(G247),G247,IF(AND(K247="Present",U247),V247,"")),"")</f>
        <v/>
      </c>
      <c r="N247" s="14" t="n">
        <f aca="false">IF(AND(ISNUMBER(L247),ISNUMBER(M247)),MAX(0,(M247-L247)*24),0)</f>
        <v>0</v>
      </c>
      <c r="O247" s="14" t="n">
        <f aca="false">IF(NOT(U247),0,IF(K247="Vacation",IF(C247="Eve",Settings!$B$9*Settings!$B$11,W247),IF(K247="Partial Vacation",IF(AND(ISNUMBER(H247),ISNUMBER(I247)),MAX(0,(I247-H247)*24),0),0)))</f>
        <v>0</v>
      </c>
      <c r="P247" s="14" t="n">
        <f aca="false">IF(NOT(U247),0,IF(K247="Sick Leave",W247,IF(K247="Partial Sick Leave",IF(AND(ISNUMBER(H247),ISNUMBER(I247)),MAX(0,(I247-H247)*24),0),0)))</f>
        <v>0</v>
      </c>
      <c r="Q247" s="14" t="n">
        <f aca="false">IF(NOT(U247),0,IF(K247="Vacation",IF(C247="Eve",Settings!$B$11,1),IF(K247="Partial Vacation",O247/Settings!$B$9,0)))</f>
        <v>0</v>
      </c>
      <c r="R247" s="14" t="n">
        <f aca="false">IF(NOT(U247),0,IF(K247="Sick Leave",1,IF(K247="Partial Sick Leave",P247/Settings!$B$9,0)))</f>
        <v>0</v>
      </c>
      <c r="S247" s="35" t="str">
        <f aca="false">IF(AND(OR(E247="Vacation",E247="Sick Leave",E247="Partial Vacation",E247="Partial Sick Leave"),NOT(U247)),"Leave not allowed on this day",IF(AND(E247="Manual Work",OR(NOT(ISNUMBER(F247)),NOT(ISNUMBER(G247)))),"Enter start and end",IF(AND(OR(E247="Partial Vacation",E247="Partial Sick Leave"),OR(NOT(ISNUMBER(H247)),NOT(ISNUMBER(I247)))),"Enter leave from and to",IF(AND(ISNUMBER(F247),ISNUMBER(G247),G247&lt;=F247),"End is before start",IF(AND(ISNUMBER(H247),ISNUMBER(I247),I247&lt;=H247),"Leave end is before start",IF(AND(ISNUMBER(F247),ISNUMBER(G247),ISNUMBER(H247),ISNUMBER(I247),F247&lt;I247,H247&lt;G247),"Work and leave hours overlap",IF(AND(E247&lt;&gt;"",WEEKDAY(A247)=7),"Saturday - administrator only","")))))))</f>
        <v/>
      </c>
      <c r="T247" s="36" t="n">
        <f aca="false">MONTH(A247)</f>
        <v>8</v>
      </c>
      <c r="U247" s="37" t="b">
        <f aca="false">OR(C247="Workday",C247="Eve")</f>
        <v>0</v>
      </c>
      <c r="V247" s="34" t="n">
        <f aca="false">IF(C247="Eve",Settings!$B$8,Settings!$B$7)</f>
        <v>0.6875</v>
      </c>
      <c r="W247" s="14" t="n">
        <f aca="false">IF(U247,(V247-Settings!$B$6)*24,0)</f>
        <v>0</v>
      </c>
    </row>
    <row r="248" customFormat="false" ht="15" hidden="false" customHeight="false" outlineLevel="0" collapsed="false">
      <c r="A248" s="29" t="n">
        <v>46264</v>
      </c>
      <c r="B248" s="30" t="str">
        <f aca="false">CHOOSE(WEEKDAY(A248),"Sun","Mon","Tue","Wed","Thu","Fri","Sat")</f>
        <v>Sun</v>
      </c>
      <c r="C248" s="30" t="str">
        <f aca="false">IF(IFERROR(INDEX(Holidays!$D$5:$D$60,MATCH(A248,Holidays!$A$5:$A$60,0)),"")="Holiday","Holiday",IF(WEEKDAY(A248)&gt;=6,"Weekend",IF(IFERROR(INDEX(Holidays!$D$5:$D$60,MATCH(A248,Holidays!$A$5:$A$60,0)),"")="Eve","Eve","Workday")))</f>
        <v>Workday</v>
      </c>
      <c r="D248" s="18" t="str">
        <f aca="false">IFERROR(INDEX(Holidays!$C$5:$C$60,MATCH(A248,Holidays!$A$5:$A$60,0)),"")</f>
        <v/>
      </c>
      <c r="E248" s="31"/>
      <c r="F248" s="32"/>
      <c r="G248" s="32"/>
      <c r="H248" s="32"/>
      <c r="I248" s="32"/>
      <c r="J248" s="31"/>
      <c r="K248" s="33" t="str">
        <f aca="false">IF(E248&lt;&gt;"",E248,IF(U248,"Present",IF(C248="Holiday","Holiday","Weekend")))</f>
        <v>Present</v>
      </c>
      <c r="L248" s="34" t="n">
        <f aca="false">IF(OR(K248="Present",K248="Manual Work",K248="Partial Vacation",K248="Partial Sick Leave"),IF(ISNUMBER(F248),F248,IF(AND(K248="Present",U248),Settings!$B$6,"")),"")</f>
        <v>0.333333333333333</v>
      </c>
      <c r="M248" s="34" t="n">
        <f aca="false">IF(OR(K248="Present",K248="Manual Work",K248="Partial Vacation",K248="Partial Sick Leave"),IF(ISNUMBER(G248),G248,IF(AND(K248="Present",U248),V248,"")),"")</f>
        <v>0.6875</v>
      </c>
      <c r="N248" s="14" t="n">
        <f aca="false">IF(AND(ISNUMBER(L248),ISNUMBER(M248)),MAX(0,(M248-L248)*24),0)</f>
        <v>8.5</v>
      </c>
      <c r="O248" s="14" t="n">
        <f aca="false">IF(NOT(U248),0,IF(K248="Vacation",IF(C248="Eve",Settings!$B$9*Settings!$B$11,W248),IF(K248="Partial Vacation",IF(AND(ISNUMBER(H248),ISNUMBER(I248)),MAX(0,(I248-H248)*24),0),0)))</f>
        <v>0</v>
      </c>
      <c r="P248" s="14" t="n">
        <f aca="false">IF(NOT(U248),0,IF(K248="Sick Leave",W248,IF(K248="Partial Sick Leave",IF(AND(ISNUMBER(H248),ISNUMBER(I248)),MAX(0,(I248-H248)*24),0),0)))</f>
        <v>0</v>
      </c>
      <c r="Q248" s="14" t="n">
        <f aca="false">IF(NOT(U248),0,IF(K248="Vacation",IF(C248="Eve",Settings!$B$11,1),IF(K248="Partial Vacation",O248/Settings!$B$9,0)))</f>
        <v>0</v>
      </c>
      <c r="R248" s="14" t="n">
        <f aca="false">IF(NOT(U248),0,IF(K248="Sick Leave",1,IF(K248="Partial Sick Leave",P248/Settings!$B$9,0)))</f>
        <v>0</v>
      </c>
      <c r="S248" s="35" t="str">
        <f aca="false">IF(AND(OR(E248="Vacation",E248="Sick Leave",E248="Partial Vacation",E248="Partial Sick Leave"),NOT(U248)),"Leave not allowed on this day",IF(AND(E248="Manual Work",OR(NOT(ISNUMBER(F248)),NOT(ISNUMBER(G248)))),"Enter start and end",IF(AND(OR(E248="Partial Vacation",E248="Partial Sick Leave"),OR(NOT(ISNUMBER(H248)),NOT(ISNUMBER(I248)))),"Enter leave from and to",IF(AND(ISNUMBER(F248),ISNUMBER(G248),G248&lt;=F248),"End is before start",IF(AND(ISNUMBER(H248),ISNUMBER(I248),I248&lt;=H248),"Leave end is before start",IF(AND(ISNUMBER(F248),ISNUMBER(G248),ISNUMBER(H248),ISNUMBER(I248),F248&lt;I248,H248&lt;G248),"Work and leave hours overlap",IF(AND(E248&lt;&gt;"",WEEKDAY(A248)=7),"Saturday - administrator only","")))))))</f>
        <v/>
      </c>
      <c r="T248" s="36" t="n">
        <f aca="false">MONTH(A248)</f>
        <v>8</v>
      </c>
      <c r="U248" s="37" t="b">
        <f aca="false">OR(C248="Workday",C248="Eve")</f>
        <v>1</v>
      </c>
      <c r="V248" s="34" t="n">
        <f aca="false">IF(C248="Eve",Settings!$B$8,Settings!$B$7)</f>
        <v>0.6875</v>
      </c>
      <c r="W248" s="14" t="n">
        <f aca="false">IF(U248,(V248-Settings!$B$6)*24,0)</f>
        <v>8.5</v>
      </c>
    </row>
    <row r="249" customFormat="false" ht="15" hidden="false" customHeight="false" outlineLevel="0" collapsed="false">
      <c r="A249" s="29" t="n">
        <v>46265</v>
      </c>
      <c r="B249" s="30" t="str">
        <f aca="false">CHOOSE(WEEKDAY(A249),"Sun","Mon","Tue","Wed","Thu","Fri","Sat")</f>
        <v>Mon</v>
      </c>
      <c r="C249" s="30" t="str">
        <f aca="false">IF(IFERROR(INDEX(Holidays!$D$5:$D$60,MATCH(A249,Holidays!$A$5:$A$60,0)),"")="Holiday","Holiday",IF(WEEKDAY(A249)&gt;=6,"Weekend",IF(IFERROR(INDEX(Holidays!$D$5:$D$60,MATCH(A249,Holidays!$A$5:$A$60,0)),"")="Eve","Eve","Workday")))</f>
        <v>Workday</v>
      </c>
      <c r="D249" s="18" t="str">
        <f aca="false">IFERROR(INDEX(Holidays!$C$5:$C$60,MATCH(A249,Holidays!$A$5:$A$60,0)),"")</f>
        <v/>
      </c>
      <c r="E249" s="31"/>
      <c r="F249" s="32"/>
      <c r="G249" s="32"/>
      <c r="H249" s="32"/>
      <c r="I249" s="32"/>
      <c r="J249" s="31"/>
      <c r="K249" s="33" t="str">
        <f aca="false">IF(E249&lt;&gt;"",E249,IF(U249,"Present",IF(C249="Holiday","Holiday","Weekend")))</f>
        <v>Present</v>
      </c>
      <c r="L249" s="34" t="n">
        <f aca="false">IF(OR(K249="Present",K249="Manual Work",K249="Partial Vacation",K249="Partial Sick Leave"),IF(ISNUMBER(F249),F249,IF(AND(K249="Present",U249),Settings!$B$6,"")),"")</f>
        <v>0.333333333333333</v>
      </c>
      <c r="M249" s="34" t="n">
        <f aca="false">IF(OR(K249="Present",K249="Manual Work",K249="Partial Vacation",K249="Partial Sick Leave"),IF(ISNUMBER(G249),G249,IF(AND(K249="Present",U249),V249,"")),"")</f>
        <v>0.6875</v>
      </c>
      <c r="N249" s="14" t="n">
        <f aca="false">IF(AND(ISNUMBER(L249),ISNUMBER(M249)),MAX(0,(M249-L249)*24),0)</f>
        <v>8.5</v>
      </c>
      <c r="O249" s="14" t="n">
        <f aca="false">IF(NOT(U249),0,IF(K249="Vacation",IF(C249="Eve",Settings!$B$9*Settings!$B$11,W249),IF(K249="Partial Vacation",IF(AND(ISNUMBER(H249),ISNUMBER(I249)),MAX(0,(I249-H249)*24),0),0)))</f>
        <v>0</v>
      </c>
      <c r="P249" s="14" t="n">
        <f aca="false">IF(NOT(U249),0,IF(K249="Sick Leave",W249,IF(K249="Partial Sick Leave",IF(AND(ISNUMBER(H249),ISNUMBER(I249)),MAX(0,(I249-H249)*24),0),0)))</f>
        <v>0</v>
      </c>
      <c r="Q249" s="14" t="n">
        <f aca="false">IF(NOT(U249),0,IF(K249="Vacation",IF(C249="Eve",Settings!$B$11,1),IF(K249="Partial Vacation",O249/Settings!$B$9,0)))</f>
        <v>0</v>
      </c>
      <c r="R249" s="14" t="n">
        <f aca="false">IF(NOT(U249),0,IF(K249="Sick Leave",1,IF(K249="Partial Sick Leave",P249/Settings!$B$9,0)))</f>
        <v>0</v>
      </c>
      <c r="S249" s="35" t="str">
        <f aca="false">IF(AND(OR(E249="Vacation",E249="Sick Leave",E249="Partial Vacation",E249="Partial Sick Leave"),NOT(U249)),"Leave not allowed on this day",IF(AND(E249="Manual Work",OR(NOT(ISNUMBER(F249)),NOT(ISNUMBER(G249)))),"Enter start and end",IF(AND(OR(E249="Partial Vacation",E249="Partial Sick Leave"),OR(NOT(ISNUMBER(H249)),NOT(ISNUMBER(I249)))),"Enter leave from and to",IF(AND(ISNUMBER(F249),ISNUMBER(G249),G249&lt;=F249),"End is before start",IF(AND(ISNUMBER(H249),ISNUMBER(I249),I249&lt;=H249),"Leave end is before start",IF(AND(ISNUMBER(F249),ISNUMBER(G249),ISNUMBER(H249),ISNUMBER(I249),F249&lt;I249,H249&lt;G249),"Work and leave hours overlap",IF(AND(E249&lt;&gt;"",WEEKDAY(A249)=7),"Saturday - administrator only","")))))))</f>
        <v/>
      </c>
      <c r="T249" s="36" t="n">
        <f aca="false">MONTH(A249)</f>
        <v>8</v>
      </c>
      <c r="U249" s="37" t="b">
        <f aca="false">OR(C249="Workday",C249="Eve")</f>
        <v>1</v>
      </c>
      <c r="V249" s="34" t="n">
        <f aca="false">IF(C249="Eve",Settings!$B$8,Settings!$B$7)</f>
        <v>0.6875</v>
      </c>
      <c r="W249" s="14" t="n">
        <f aca="false">IF(U249,(V249-Settings!$B$6)*24,0)</f>
        <v>8.5</v>
      </c>
    </row>
    <row r="250" customFormat="false" ht="15" hidden="false" customHeight="false" outlineLevel="0" collapsed="false">
      <c r="A250" s="29" t="n">
        <v>46266</v>
      </c>
      <c r="B250" s="30" t="str">
        <f aca="false">CHOOSE(WEEKDAY(A250),"Sun","Mon","Tue","Wed","Thu","Fri","Sat")</f>
        <v>Tue</v>
      </c>
      <c r="C250" s="30" t="str">
        <f aca="false">IF(IFERROR(INDEX(Holidays!$D$5:$D$60,MATCH(A250,Holidays!$A$5:$A$60,0)),"")="Holiday","Holiday",IF(WEEKDAY(A250)&gt;=6,"Weekend",IF(IFERROR(INDEX(Holidays!$D$5:$D$60,MATCH(A250,Holidays!$A$5:$A$60,0)),"")="Eve","Eve","Workday")))</f>
        <v>Workday</v>
      </c>
      <c r="D250" s="18" t="str">
        <f aca="false">IFERROR(INDEX(Holidays!$C$5:$C$60,MATCH(A250,Holidays!$A$5:$A$60,0)),"")</f>
        <v/>
      </c>
      <c r="E250" s="31"/>
      <c r="F250" s="32"/>
      <c r="G250" s="32"/>
      <c r="H250" s="32"/>
      <c r="I250" s="32"/>
      <c r="J250" s="31"/>
      <c r="K250" s="33" t="str">
        <f aca="false">IF(E250&lt;&gt;"",E250,IF(U250,"Present",IF(C250="Holiday","Holiday","Weekend")))</f>
        <v>Present</v>
      </c>
      <c r="L250" s="34" t="n">
        <f aca="false">IF(OR(K250="Present",K250="Manual Work",K250="Partial Vacation",K250="Partial Sick Leave"),IF(ISNUMBER(F250),F250,IF(AND(K250="Present",U250),Settings!$B$6,"")),"")</f>
        <v>0.333333333333333</v>
      </c>
      <c r="M250" s="34" t="n">
        <f aca="false">IF(OR(K250="Present",K250="Manual Work",K250="Partial Vacation",K250="Partial Sick Leave"),IF(ISNUMBER(G250),G250,IF(AND(K250="Present",U250),V250,"")),"")</f>
        <v>0.6875</v>
      </c>
      <c r="N250" s="14" t="n">
        <f aca="false">IF(AND(ISNUMBER(L250),ISNUMBER(M250)),MAX(0,(M250-L250)*24),0)</f>
        <v>8.5</v>
      </c>
      <c r="O250" s="14" t="n">
        <f aca="false">IF(NOT(U250),0,IF(K250="Vacation",IF(C250="Eve",Settings!$B$9*Settings!$B$11,W250),IF(K250="Partial Vacation",IF(AND(ISNUMBER(H250),ISNUMBER(I250)),MAX(0,(I250-H250)*24),0),0)))</f>
        <v>0</v>
      </c>
      <c r="P250" s="14" t="n">
        <f aca="false">IF(NOT(U250),0,IF(K250="Sick Leave",W250,IF(K250="Partial Sick Leave",IF(AND(ISNUMBER(H250),ISNUMBER(I250)),MAX(0,(I250-H250)*24),0),0)))</f>
        <v>0</v>
      </c>
      <c r="Q250" s="14" t="n">
        <f aca="false">IF(NOT(U250),0,IF(K250="Vacation",IF(C250="Eve",Settings!$B$11,1),IF(K250="Partial Vacation",O250/Settings!$B$9,0)))</f>
        <v>0</v>
      </c>
      <c r="R250" s="14" t="n">
        <f aca="false">IF(NOT(U250),0,IF(K250="Sick Leave",1,IF(K250="Partial Sick Leave",P250/Settings!$B$9,0)))</f>
        <v>0</v>
      </c>
      <c r="S250" s="35" t="str">
        <f aca="false">IF(AND(OR(E250="Vacation",E250="Sick Leave",E250="Partial Vacation",E250="Partial Sick Leave"),NOT(U250)),"Leave not allowed on this day",IF(AND(E250="Manual Work",OR(NOT(ISNUMBER(F250)),NOT(ISNUMBER(G250)))),"Enter start and end",IF(AND(OR(E250="Partial Vacation",E250="Partial Sick Leave"),OR(NOT(ISNUMBER(H250)),NOT(ISNUMBER(I250)))),"Enter leave from and to",IF(AND(ISNUMBER(F250),ISNUMBER(G250),G250&lt;=F250),"End is before start",IF(AND(ISNUMBER(H250),ISNUMBER(I250),I250&lt;=H250),"Leave end is before start",IF(AND(ISNUMBER(F250),ISNUMBER(G250),ISNUMBER(H250),ISNUMBER(I250),F250&lt;I250,H250&lt;G250),"Work and leave hours overlap",IF(AND(E250&lt;&gt;"",WEEKDAY(A250)=7),"Saturday - administrator only","")))))))</f>
        <v/>
      </c>
      <c r="T250" s="36" t="n">
        <f aca="false">MONTH(A250)</f>
        <v>9</v>
      </c>
      <c r="U250" s="37" t="b">
        <f aca="false">OR(C250="Workday",C250="Eve")</f>
        <v>1</v>
      </c>
      <c r="V250" s="34" t="n">
        <f aca="false">IF(C250="Eve",Settings!$B$8,Settings!$B$7)</f>
        <v>0.6875</v>
      </c>
      <c r="W250" s="14" t="n">
        <f aca="false">IF(U250,(V250-Settings!$B$6)*24,0)</f>
        <v>8.5</v>
      </c>
    </row>
    <row r="251" customFormat="false" ht="15" hidden="false" customHeight="false" outlineLevel="0" collapsed="false">
      <c r="A251" s="29" t="n">
        <v>46267</v>
      </c>
      <c r="B251" s="30" t="str">
        <f aca="false">CHOOSE(WEEKDAY(A251),"Sun","Mon","Tue","Wed","Thu","Fri","Sat")</f>
        <v>Wed</v>
      </c>
      <c r="C251" s="30" t="str">
        <f aca="false">IF(IFERROR(INDEX(Holidays!$D$5:$D$60,MATCH(A251,Holidays!$A$5:$A$60,0)),"")="Holiday","Holiday",IF(WEEKDAY(A251)&gt;=6,"Weekend",IF(IFERROR(INDEX(Holidays!$D$5:$D$60,MATCH(A251,Holidays!$A$5:$A$60,0)),"")="Eve","Eve","Workday")))</f>
        <v>Workday</v>
      </c>
      <c r="D251" s="18" t="str">
        <f aca="false">IFERROR(INDEX(Holidays!$C$5:$C$60,MATCH(A251,Holidays!$A$5:$A$60,0)),"")</f>
        <v/>
      </c>
      <c r="E251" s="31"/>
      <c r="F251" s="32"/>
      <c r="G251" s="32"/>
      <c r="H251" s="32"/>
      <c r="I251" s="32"/>
      <c r="J251" s="31"/>
      <c r="K251" s="33" t="str">
        <f aca="false">IF(E251&lt;&gt;"",E251,IF(U251,"Present",IF(C251="Holiday","Holiday","Weekend")))</f>
        <v>Present</v>
      </c>
      <c r="L251" s="34" t="n">
        <f aca="false">IF(OR(K251="Present",K251="Manual Work",K251="Partial Vacation",K251="Partial Sick Leave"),IF(ISNUMBER(F251),F251,IF(AND(K251="Present",U251),Settings!$B$6,"")),"")</f>
        <v>0.333333333333333</v>
      </c>
      <c r="M251" s="34" t="n">
        <f aca="false">IF(OR(K251="Present",K251="Manual Work",K251="Partial Vacation",K251="Partial Sick Leave"),IF(ISNUMBER(G251),G251,IF(AND(K251="Present",U251),V251,"")),"")</f>
        <v>0.6875</v>
      </c>
      <c r="N251" s="14" t="n">
        <f aca="false">IF(AND(ISNUMBER(L251),ISNUMBER(M251)),MAX(0,(M251-L251)*24),0)</f>
        <v>8.5</v>
      </c>
      <c r="O251" s="14" t="n">
        <f aca="false">IF(NOT(U251),0,IF(K251="Vacation",IF(C251="Eve",Settings!$B$9*Settings!$B$11,W251),IF(K251="Partial Vacation",IF(AND(ISNUMBER(H251),ISNUMBER(I251)),MAX(0,(I251-H251)*24),0),0)))</f>
        <v>0</v>
      </c>
      <c r="P251" s="14" t="n">
        <f aca="false">IF(NOT(U251),0,IF(K251="Sick Leave",W251,IF(K251="Partial Sick Leave",IF(AND(ISNUMBER(H251),ISNUMBER(I251)),MAX(0,(I251-H251)*24),0),0)))</f>
        <v>0</v>
      </c>
      <c r="Q251" s="14" t="n">
        <f aca="false">IF(NOT(U251),0,IF(K251="Vacation",IF(C251="Eve",Settings!$B$11,1),IF(K251="Partial Vacation",O251/Settings!$B$9,0)))</f>
        <v>0</v>
      </c>
      <c r="R251" s="14" t="n">
        <f aca="false">IF(NOT(U251),0,IF(K251="Sick Leave",1,IF(K251="Partial Sick Leave",P251/Settings!$B$9,0)))</f>
        <v>0</v>
      </c>
      <c r="S251" s="35" t="str">
        <f aca="false">IF(AND(OR(E251="Vacation",E251="Sick Leave",E251="Partial Vacation",E251="Partial Sick Leave"),NOT(U251)),"Leave not allowed on this day",IF(AND(E251="Manual Work",OR(NOT(ISNUMBER(F251)),NOT(ISNUMBER(G251)))),"Enter start and end",IF(AND(OR(E251="Partial Vacation",E251="Partial Sick Leave"),OR(NOT(ISNUMBER(H251)),NOT(ISNUMBER(I251)))),"Enter leave from and to",IF(AND(ISNUMBER(F251),ISNUMBER(G251),G251&lt;=F251),"End is before start",IF(AND(ISNUMBER(H251),ISNUMBER(I251),I251&lt;=H251),"Leave end is before start",IF(AND(ISNUMBER(F251),ISNUMBER(G251),ISNUMBER(H251),ISNUMBER(I251),F251&lt;I251,H251&lt;G251),"Work and leave hours overlap",IF(AND(E251&lt;&gt;"",WEEKDAY(A251)=7),"Saturday - administrator only","")))))))</f>
        <v/>
      </c>
      <c r="T251" s="36" t="n">
        <f aca="false">MONTH(A251)</f>
        <v>9</v>
      </c>
      <c r="U251" s="37" t="b">
        <f aca="false">OR(C251="Workday",C251="Eve")</f>
        <v>1</v>
      </c>
      <c r="V251" s="34" t="n">
        <f aca="false">IF(C251="Eve",Settings!$B$8,Settings!$B$7)</f>
        <v>0.6875</v>
      </c>
      <c r="W251" s="14" t="n">
        <f aca="false">IF(U251,(V251-Settings!$B$6)*24,0)</f>
        <v>8.5</v>
      </c>
    </row>
    <row r="252" customFormat="false" ht="15" hidden="false" customHeight="false" outlineLevel="0" collapsed="false">
      <c r="A252" s="29" t="n">
        <v>46268</v>
      </c>
      <c r="B252" s="30" t="str">
        <f aca="false">CHOOSE(WEEKDAY(A252),"Sun","Mon","Tue","Wed","Thu","Fri","Sat")</f>
        <v>Thu</v>
      </c>
      <c r="C252" s="30" t="str">
        <f aca="false">IF(IFERROR(INDEX(Holidays!$D$5:$D$60,MATCH(A252,Holidays!$A$5:$A$60,0)),"")="Holiday","Holiday",IF(WEEKDAY(A252)&gt;=6,"Weekend",IF(IFERROR(INDEX(Holidays!$D$5:$D$60,MATCH(A252,Holidays!$A$5:$A$60,0)),"")="Eve","Eve","Workday")))</f>
        <v>Workday</v>
      </c>
      <c r="D252" s="18" t="str">
        <f aca="false">IFERROR(INDEX(Holidays!$C$5:$C$60,MATCH(A252,Holidays!$A$5:$A$60,0)),"")</f>
        <v/>
      </c>
      <c r="E252" s="31"/>
      <c r="F252" s="32"/>
      <c r="G252" s="32"/>
      <c r="H252" s="32"/>
      <c r="I252" s="32"/>
      <c r="J252" s="31"/>
      <c r="K252" s="33" t="str">
        <f aca="false">IF(E252&lt;&gt;"",E252,IF(U252,"Present",IF(C252="Holiday","Holiday","Weekend")))</f>
        <v>Present</v>
      </c>
      <c r="L252" s="34" t="n">
        <f aca="false">IF(OR(K252="Present",K252="Manual Work",K252="Partial Vacation",K252="Partial Sick Leave"),IF(ISNUMBER(F252),F252,IF(AND(K252="Present",U252),Settings!$B$6,"")),"")</f>
        <v>0.333333333333333</v>
      </c>
      <c r="M252" s="34" t="n">
        <f aca="false">IF(OR(K252="Present",K252="Manual Work",K252="Partial Vacation",K252="Partial Sick Leave"),IF(ISNUMBER(G252),G252,IF(AND(K252="Present",U252),V252,"")),"")</f>
        <v>0.6875</v>
      </c>
      <c r="N252" s="14" t="n">
        <f aca="false">IF(AND(ISNUMBER(L252),ISNUMBER(M252)),MAX(0,(M252-L252)*24),0)</f>
        <v>8.5</v>
      </c>
      <c r="O252" s="14" t="n">
        <f aca="false">IF(NOT(U252),0,IF(K252="Vacation",IF(C252="Eve",Settings!$B$9*Settings!$B$11,W252),IF(K252="Partial Vacation",IF(AND(ISNUMBER(H252),ISNUMBER(I252)),MAX(0,(I252-H252)*24),0),0)))</f>
        <v>0</v>
      </c>
      <c r="P252" s="14" t="n">
        <f aca="false">IF(NOT(U252),0,IF(K252="Sick Leave",W252,IF(K252="Partial Sick Leave",IF(AND(ISNUMBER(H252),ISNUMBER(I252)),MAX(0,(I252-H252)*24),0),0)))</f>
        <v>0</v>
      </c>
      <c r="Q252" s="14" t="n">
        <f aca="false">IF(NOT(U252),0,IF(K252="Vacation",IF(C252="Eve",Settings!$B$11,1),IF(K252="Partial Vacation",O252/Settings!$B$9,0)))</f>
        <v>0</v>
      </c>
      <c r="R252" s="14" t="n">
        <f aca="false">IF(NOT(U252),0,IF(K252="Sick Leave",1,IF(K252="Partial Sick Leave",P252/Settings!$B$9,0)))</f>
        <v>0</v>
      </c>
      <c r="S252" s="35" t="str">
        <f aca="false">IF(AND(OR(E252="Vacation",E252="Sick Leave",E252="Partial Vacation",E252="Partial Sick Leave"),NOT(U252)),"Leave not allowed on this day",IF(AND(E252="Manual Work",OR(NOT(ISNUMBER(F252)),NOT(ISNUMBER(G252)))),"Enter start and end",IF(AND(OR(E252="Partial Vacation",E252="Partial Sick Leave"),OR(NOT(ISNUMBER(H252)),NOT(ISNUMBER(I252)))),"Enter leave from and to",IF(AND(ISNUMBER(F252),ISNUMBER(G252),G252&lt;=F252),"End is before start",IF(AND(ISNUMBER(H252),ISNUMBER(I252),I252&lt;=H252),"Leave end is before start",IF(AND(ISNUMBER(F252),ISNUMBER(G252),ISNUMBER(H252),ISNUMBER(I252),F252&lt;I252,H252&lt;G252),"Work and leave hours overlap",IF(AND(E252&lt;&gt;"",WEEKDAY(A252)=7),"Saturday - administrator only","")))))))</f>
        <v/>
      </c>
      <c r="T252" s="36" t="n">
        <f aca="false">MONTH(A252)</f>
        <v>9</v>
      </c>
      <c r="U252" s="37" t="b">
        <f aca="false">OR(C252="Workday",C252="Eve")</f>
        <v>1</v>
      </c>
      <c r="V252" s="34" t="n">
        <f aca="false">IF(C252="Eve",Settings!$B$8,Settings!$B$7)</f>
        <v>0.6875</v>
      </c>
      <c r="W252" s="14" t="n">
        <f aca="false">IF(U252,(V252-Settings!$B$6)*24,0)</f>
        <v>8.5</v>
      </c>
    </row>
    <row r="253" customFormat="false" ht="15" hidden="false" customHeight="false" outlineLevel="0" collapsed="false">
      <c r="A253" s="29" t="n">
        <v>46269</v>
      </c>
      <c r="B253" s="30" t="str">
        <f aca="false">CHOOSE(WEEKDAY(A253),"Sun","Mon","Tue","Wed","Thu","Fri","Sat")</f>
        <v>Fri</v>
      </c>
      <c r="C253" s="30" t="str">
        <f aca="false">IF(IFERROR(INDEX(Holidays!$D$5:$D$60,MATCH(A253,Holidays!$A$5:$A$60,0)),"")="Holiday","Holiday",IF(WEEKDAY(A253)&gt;=6,"Weekend",IF(IFERROR(INDEX(Holidays!$D$5:$D$60,MATCH(A253,Holidays!$A$5:$A$60,0)),"")="Eve","Eve","Workday")))</f>
        <v>Weekend</v>
      </c>
      <c r="D253" s="18" t="str">
        <f aca="false">IFERROR(INDEX(Holidays!$C$5:$C$60,MATCH(A253,Holidays!$A$5:$A$60,0)),"")</f>
        <v/>
      </c>
      <c r="E253" s="31"/>
      <c r="F253" s="32"/>
      <c r="G253" s="32"/>
      <c r="H253" s="32"/>
      <c r="I253" s="32"/>
      <c r="J253" s="31"/>
      <c r="K253" s="33" t="str">
        <f aca="false">IF(E253&lt;&gt;"",E253,IF(U253,"Present",IF(C253="Holiday","Holiday","Weekend")))</f>
        <v>Weekend</v>
      </c>
      <c r="L253" s="34" t="str">
        <f aca="false">IF(OR(K253="Present",K253="Manual Work",K253="Partial Vacation",K253="Partial Sick Leave"),IF(ISNUMBER(F253),F253,IF(AND(K253="Present",U253),Settings!$B$6,"")),"")</f>
        <v/>
      </c>
      <c r="M253" s="34" t="str">
        <f aca="false">IF(OR(K253="Present",K253="Manual Work",K253="Partial Vacation",K253="Partial Sick Leave"),IF(ISNUMBER(G253),G253,IF(AND(K253="Present",U253),V253,"")),"")</f>
        <v/>
      </c>
      <c r="N253" s="14" t="n">
        <f aca="false">IF(AND(ISNUMBER(L253),ISNUMBER(M253)),MAX(0,(M253-L253)*24),0)</f>
        <v>0</v>
      </c>
      <c r="O253" s="14" t="n">
        <f aca="false">IF(NOT(U253),0,IF(K253="Vacation",IF(C253="Eve",Settings!$B$9*Settings!$B$11,W253),IF(K253="Partial Vacation",IF(AND(ISNUMBER(H253),ISNUMBER(I253)),MAX(0,(I253-H253)*24),0),0)))</f>
        <v>0</v>
      </c>
      <c r="P253" s="14" t="n">
        <f aca="false">IF(NOT(U253),0,IF(K253="Sick Leave",W253,IF(K253="Partial Sick Leave",IF(AND(ISNUMBER(H253),ISNUMBER(I253)),MAX(0,(I253-H253)*24),0),0)))</f>
        <v>0</v>
      </c>
      <c r="Q253" s="14" t="n">
        <f aca="false">IF(NOT(U253),0,IF(K253="Vacation",IF(C253="Eve",Settings!$B$11,1),IF(K253="Partial Vacation",O253/Settings!$B$9,0)))</f>
        <v>0</v>
      </c>
      <c r="R253" s="14" t="n">
        <f aca="false">IF(NOT(U253),0,IF(K253="Sick Leave",1,IF(K253="Partial Sick Leave",P253/Settings!$B$9,0)))</f>
        <v>0</v>
      </c>
      <c r="S253" s="35" t="str">
        <f aca="false">IF(AND(OR(E253="Vacation",E253="Sick Leave",E253="Partial Vacation",E253="Partial Sick Leave"),NOT(U253)),"Leave not allowed on this day",IF(AND(E253="Manual Work",OR(NOT(ISNUMBER(F253)),NOT(ISNUMBER(G253)))),"Enter start and end",IF(AND(OR(E253="Partial Vacation",E253="Partial Sick Leave"),OR(NOT(ISNUMBER(H253)),NOT(ISNUMBER(I253)))),"Enter leave from and to",IF(AND(ISNUMBER(F253),ISNUMBER(G253),G253&lt;=F253),"End is before start",IF(AND(ISNUMBER(H253),ISNUMBER(I253),I253&lt;=H253),"Leave end is before start",IF(AND(ISNUMBER(F253),ISNUMBER(G253),ISNUMBER(H253),ISNUMBER(I253),F253&lt;I253,H253&lt;G253),"Work and leave hours overlap",IF(AND(E253&lt;&gt;"",WEEKDAY(A253)=7),"Saturday - administrator only","")))))))</f>
        <v/>
      </c>
      <c r="T253" s="36" t="n">
        <f aca="false">MONTH(A253)</f>
        <v>9</v>
      </c>
      <c r="U253" s="37" t="b">
        <f aca="false">OR(C253="Workday",C253="Eve")</f>
        <v>0</v>
      </c>
      <c r="V253" s="34" t="n">
        <f aca="false">IF(C253="Eve",Settings!$B$8,Settings!$B$7)</f>
        <v>0.6875</v>
      </c>
      <c r="W253" s="14" t="n">
        <f aca="false">IF(U253,(V253-Settings!$B$6)*24,0)</f>
        <v>0</v>
      </c>
    </row>
    <row r="254" customFormat="false" ht="15" hidden="false" customHeight="false" outlineLevel="0" collapsed="false">
      <c r="A254" s="29" t="n">
        <v>46270</v>
      </c>
      <c r="B254" s="30" t="str">
        <f aca="false">CHOOSE(WEEKDAY(A254),"Sun","Mon","Tue","Wed","Thu","Fri","Sat")</f>
        <v>Sat</v>
      </c>
      <c r="C254" s="30" t="str">
        <f aca="false">IF(IFERROR(INDEX(Holidays!$D$5:$D$60,MATCH(A254,Holidays!$A$5:$A$60,0)),"")="Holiday","Holiday",IF(WEEKDAY(A254)&gt;=6,"Weekend",IF(IFERROR(INDEX(Holidays!$D$5:$D$60,MATCH(A254,Holidays!$A$5:$A$60,0)),"")="Eve","Eve","Workday")))</f>
        <v>Weekend</v>
      </c>
      <c r="D254" s="18" t="str">
        <f aca="false">IFERROR(INDEX(Holidays!$C$5:$C$60,MATCH(A254,Holidays!$A$5:$A$60,0)),"")</f>
        <v/>
      </c>
      <c r="E254" s="31"/>
      <c r="F254" s="32"/>
      <c r="G254" s="32"/>
      <c r="H254" s="32"/>
      <c r="I254" s="32"/>
      <c r="J254" s="31"/>
      <c r="K254" s="33" t="str">
        <f aca="false">IF(E254&lt;&gt;"",E254,IF(U254,"Present",IF(C254="Holiday","Holiday","Weekend")))</f>
        <v>Weekend</v>
      </c>
      <c r="L254" s="34" t="str">
        <f aca="false">IF(OR(K254="Present",K254="Manual Work",K254="Partial Vacation",K254="Partial Sick Leave"),IF(ISNUMBER(F254),F254,IF(AND(K254="Present",U254),Settings!$B$6,"")),"")</f>
        <v/>
      </c>
      <c r="M254" s="34" t="str">
        <f aca="false">IF(OR(K254="Present",K254="Manual Work",K254="Partial Vacation",K254="Partial Sick Leave"),IF(ISNUMBER(G254),G254,IF(AND(K254="Present",U254),V254,"")),"")</f>
        <v/>
      </c>
      <c r="N254" s="14" t="n">
        <f aca="false">IF(AND(ISNUMBER(L254),ISNUMBER(M254)),MAX(0,(M254-L254)*24),0)</f>
        <v>0</v>
      </c>
      <c r="O254" s="14" t="n">
        <f aca="false">IF(NOT(U254),0,IF(K254="Vacation",IF(C254="Eve",Settings!$B$9*Settings!$B$11,W254),IF(K254="Partial Vacation",IF(AND(ISNUMBER(H254),ISNUMBER(I254)),MAX(0,(I254-H254)*24),0),0)))</f>
        <v>0</v>
      </c>
      <c r="P254" s="14" t="n">
        <f aca="false">IF(NOT(U254),0,IF(K254="Sick Leave",W254,IF(K254="Partial Sick Leave",IF(AND(ISNUMBER(H254),ISNUMBER(I254)),MAX(0,(I254-H254)*24),0),0)))</f>
        <v>0</v>
      </c>
      <c r="Q254" s="14" t="n">
        <f aca="false">IF(NOT(U254),0,IF(K254="Vacation",IF(C254="Eve",Settings!$B$11,1),IF(K254="Partial Vacation",O254/Settings!$B$9,0)))</f>
        <v>0</v>
      </c>
      <c r="R254" s="14" t="n">
        <f aca="false">IF(NOT(U254),0,IF(K254="Sick Leave",1,IF(K254="Partial Sick Leave",P254/Settings!$B$9,0)))</f>
        <v>0</v>
      </c>
      <c r="S254" s="35" t="str">
        <f aca="false">IF(AND(OR(E254="Vacation",E254="Sick Leave",E254="Partial Vacation",E254="Partial Sick Leave"),NOT(U254)),"Leave not allowed on this day",IF(AND(E254="Manual Work",OR(NOT(ISNUMBER(F254)),NOT(ISNUMBER(G254)))),"Enter start and end",IF(AND(OR(E254="Partial Vacation",E254="Partial Sick Leave"),OR(NOT(ISNUMBER(H254)),NOT(ISNUMBER(I254)))),"Enter leave from and to",IF(AND(ISNUMBER(F254),ISNUMBER(G254),G254&lt;=F254),"End is before start",IF(AND(ISNUMBER(H254),ISNUMBER(I254),I254&lt;=H254),"Leave end is before start",IF(AND(ISNUMBER(F254),ISNUMBER(G254),ISNUMBER(H254),ISNUMBER(I254),F254&lt;I254,H254&lt;G254),"Work and leave hours overlap",IF(AND(E254&lt;&gt;"",WEEKDAY(A254)=7),"Saturday - administrator only","")))))))</f>
        <v/>
      </c>
      <c r="T254" s="36" t="n">
        <f aca="false">MONTH(A254)</f>
        <v>9</v>
      </c>
      <c r="U254" s="37" t="b">
        <f aca="false">OR(C254="Workday",C254="Eve")</f>
        <v>0</v>
      </c>
      <c r="V254" s="34" t="n">
        <f aca="false">IF(C254="Eve",Settings!$B$8,Settings!$B$7)</f>
        <v>0.6875</v>
      </c>
      <c r="W254" s="14" t="n">
        <f aca="false">IF(U254,(V254-Settings!$B$6)*24,0)</f>
        <v>0</v>
      </c>
    </row>
    <row r="255" customFormat="false" ht="15" hidden="false" customHeight="false" outlineLevel="0" collapsed="false">
      <c r="A255" s="29" t="n">
        <v>46271</v>
      </c>
      <c r="B255" s="30" t="str">
        <f aca="false">CHOOSE(WEEKDAY(A255),"Sun","Mon","Tue","Wed","Thu","Fri","Sat")</f>
        <v>Sun</v>
      </c>
      <c r="C255" s="30" t="str">
        <f aca="false">IF(IFERROR(INDEX(Holidays!$D$5:$D$60,MATCH(A255,Holidays!$A$5:$A$60,0)),"")="Holiday","Holiday",IF(WEEKDAY(A255)&gt;=6,"Weekend",IF(IFERROR(INDEX(Holidays!$D$5:$D$60,MATCH(A255,Holidays!$A$5:$A$60,0)),"")="Eve","Eve","Workday")))</f>
        <v>Workday</v>
      </c>
      <c r="D255" s="18" t="str">
        <f aca="false">IFERROR(INDEX(Holidays!$C$5:$C$60,MATCH(A255,Holidays!$A$5:$A$60,0)),"")</f>
        <v/>
      </c>
      <c r="E255" s="31"/>
      <c r="F255" s="32"/>
      <c r="G255" s="32"/>
      <c r="H255" s="32"/>
      <c r="I255" s="32"/>
      <c r="J255" s="31"/>
      <c r="K255" s="33" t="str">
        <f aca="false">IF(E255&lt;&gt;"",E255,IF(U255,"Present",IF(C255="Holiday","Holiday","Weekend")))</f>
        <v>Present</v>
      </c>
      <c r="L255" s="34" t="n">
        <f aca="false">IF(OR(K255="Present",K255="Manual Work",K255="Partial Vacation",K255="Partial Sick Leave"),IF(ISNUMBER(F255),F255,IF(AND(K255="Present",U255),Settings!$B$6,"")),"")</f>
        <v>0.333333333333333</v>
      </c>
      <c r="M255" s="34" t="n">
        <f aca="false">IF(OR(K255="Present",K255="Manual Work",K255="Partial Vacation",K255="Partial Sick Leave"),IF(ISNUMBER(G255),G255,IF(AND(K255="Present",U255),V255,"")),"")</f>
        <v>0.6875</v>
      </c>
      <c r="N255" s="14" t="n">
        <f aca="false">IF(AND(ISNUMBER(L255),ISNUMBER(M255)),MAX(0,(M255-L255)*24),0)</f>
        <v>8.5</v>
      </c>
      <c r="O255" s="14" t="n">
        <f aca="false">IF(NOT(U255),0,IF(K255="Vacation",IF(C255="Eve",Settings!$B$9*Settings!$B$11,W255),IF(K255="Partial Vacation",IF(AND(ISNUMBER(H255),ISNUMBER(I255)),MAX(0,(I255-H255)*24),0),0)))</f>
        <v>0</v>
      </c>
      <c r="P255" s="14" t="n">
        <f aca="false">IF(NOT(U255),0,IF(K255="Sick Leave",W255,IF(K255="Partial Sick Leave",IF(AND(ISNUMBER(H255),ISNUMBER(I255)),MAX(0,(I255-H255)*24),0),0)))</f>
        <v>0</v>
      </c>
      <c r="Q255" s="14" t="n">
        <f aca="false">IF(NOT(U255),0,IF(K255="Vacation",IF(C255="Eve",Settings!$B$11,1),IF(K255="Partial Vacation",O255/Settings!$B$9,0)))</f>
        <v>0</v>
      </c>
      <c r="R255" s="14" t="n">
        <f aca="false">IF(NOT(U255),0,IF(K255="Sick Leave",1,IF(K255="Partial Sick Leave",P255/Settings!$B$9,0)))</f>
        <v>0</v>
      </c>
      <c r="S255" s="35" t="str">
        <f aca="false">IF(AND(OR(E255="Vacation",E255="Sick Leave",E255="Partial Vacation",E255="Partial Sick Leave"),NOT(U255)),"Leave not allowed on this day",IF(AND(E255="Manual Work",OR(NOT(ISNUMBER(F255)),NOT(ISNUMBER(G255)))),"Enter start and end",IF(AND(OR(E255="Partial Vacation",E255="Partial Sick Leave"),OR(NOT(ISNUMBER(H255)),NOT(ISNUMBER(I255)))),"Enter leave from and to",IF(AND(ISNUMBER(F255),ISNUMBER(G255),G255&lt;=F255),"End is before start",IF(AND(ISNUMBER(H255),ISNUMBER(I255),I255&lt;=H255),"Leave end is before start",IF(AND(ISNUMBER(F255),ISNUMBER(G255),ISNUMBER(H255),ISNUMBER(I255),F255&lt;I255,H255&lt;G255),"Work and leave hours overlap",IF(AND(E255&lt;&gt;"",WEEKDAY(A255)=7),"Saturday - administrator only","")))))))</f>
        <v/>
      </c>
      <c r="T255" s="36" t="n">
        <f aca="false">MONTH(A255)</f>
        <v>9</v>
      </c>
      <c r="U255" s="37" t="b">
        <f aca="false">OR(C255="Workday",C255="Eve")</f>
        <v>1</v>
      </c>
      <c r="V255" s="34" t="n">
        <f aca="false">IF(C255="Eve",Settings!$B$8,Settings!$B$7)</f>
        <v>0.6875</v>
      </c>
      <c r="W255" s="14" t="n">
        <f aca="false">IF(U255,(V255-Settings!$B$6)*24,0)</f>
        <v>8.5</v>
      </c>
    </row>
    <row r="256" customFormat="false" ht="15" hidden="false" customHeight="false" outlineLevel="0" collapsed="false">
      <c r="A256" s="29" t="n">
        <v>46272</v>
      </c>
      <c r="B256" s="30" t="str">
        <f aca="false">CHOOSE(WEEKDAY(A256),"Sun","Mon","Tue","Wed","Thu","Fri","Sat")</f>
        <v>Mon</v>
      </c>
      <c r="C256" s="30" t="str">
        <f aca="false">IF(IFERROR(INDEX(Holidays!$D$5:$D$60,MATCH(A256,Holidays!$A$5:$A$60,0)),"")="Holiday","Holiday",IF(WEEKDAY(A256)&gt;=6,"Weekend",IF(IFERROR(INDEX(Holidays!$D$5:$D$60,MATCH(A256,Holidays!$A$5:$A$60,0)),"")="Eve","Eve","Workday")))</f>
        <v>Workday</v>
      </c>
      <c r="D256" s="18" t="str">
        <f aca="false">IFERROR(INDEX(Holidays!$C$5:$C$60,MATCH(A256,Holidays!$A$5:$A$60,0)),"")</f>
        <v/>
      </c>
      <c r="E256" s="31"/>
      <c r="F256" s="32"/>
      <c r="G256" s="32"/>
      <c r="H256" s="32"/>
      <c r="I256" s="32"/>
      <c r="J256" s="31"/>
      <c r="K256" s="33" t="str">
        <f aca="false">IF(E256&lt;&gt;"",E256,IF(U256,"Present",IF(C256="Holiday","Holiday","Weekend")))</f>
        <v>Present</v>
      </c>
      <c r="L256" s="34" t="n">
        <f aca="false">IF(OR(K256="Present",K256="Manual Work",K256="Partial Vacation",K256="Partial Sick Leave"),IF(ISNUMBER(F256),F256,IF(AND(K256="Present",U256),Settings!$B$6,"")),"")</f>
        <v>0.333333333333333</v>
      </c>
      <c r="M256" s="34" t="n">
        <f aca="false">IF(OR(K256="Present",K256="Manual Work",K256="Partial Vacation",K256="Partial Sick Leave"),IF(ISNUMBER(G256),G256,IF(AND(K256="Present",U256),V256,"")),"")</f>
        <v>0.6875</v>
      </c>
      <c r="N256" s="14" t="n">
        <f aca="false">IF(AND(ISNUMBER(L256),ISNUMBER(M256)),MAX(0,(M256-L256)*24),0)</f>
        <v>8.5</v>
      </c>
      <c r="O256" s="14" t="n">
        <f aca="false">IF(NOT(U256),0,IF(K256="Vacation",IF(C256="Eve",Settings!$B$9*Settings!$B$11,W256),IF(K256="Partial Vacation",IF(AND(ISNUMBER(H256),ISNUMBER(I256)),MAX(0,(I256-H256)*24),0),0)))</f>
        <v>0</v>
      </c>
      <c r="P256" s="14" t="n">
        <f aca="false">IF(NOT(U256),0,IF(K256="Sick Leave",W256,IF(K256="Partial Sick Leave",IF(AND(ISNUMBER(H256),ISNUMBER(I256)),MAX(0,(I256-H256)*24),0),0)))</f>
        <v>0</v>
      </c>
      <c r="Q256" s="14" t="n">
        <f aca="false">IF(NOT(U256),0,IF(K256="Vacation",IF(C256="Eve",Settings!$B$11,1),IF(K256="Partial Vacation",O256/Settings!$B$9,0)))</f>
        <v>0</v>
      </c>
      <c r="R256" s="14" t="n">
        <f aca="false">IF(NOT(U256),0,IF(K256="Sick Leave",1,IF(K256="Partial Sick Leave",P256/Settings!$B$9,0)))</f>
        <v>0</v>
      </c>
      <c r="S256" s="35" t="str">
        <f aca="false">IF(AND(OR(E256="Vacation",E256="Sick Leave",E256="Partial Vacation",E256="Partial Sick Leave"),NOT(U256)),"Leave not allowed on this day",IF(AND(E256="Manual Work",OR(NOT(ISNUMBER(F256)),NOT(ISNUMBER(G256)))),"Enter start and end",IF(AND(OR(E256="Partial Vacation",E256="Partial Sick Leave"),OR(NOT(ISNUMBER(H256)),NOT(ISNUMBER(I256)))),"Enter leave from and to",IF(AND(ISNUMBER(F256),ISNUMBER(G256),G256&lt;=F256),"End is before start",IF(AND(ISNUMBER(H256),ISNUMBER(I256),I256&lt;=H256),"Leave end is before start",IF(AND(ISNUMBER(F256),ISNUMBER(G256),ISNUMBER(H256),ISNUMBER(I256),F256&lt;I256,H256&lt;G256),"Work and leave hours overlap",IF(AND(E256&lt;&gt;"",WEEKDAY(A256)=7),"Saturday - administrator only","")))))))</f>
        <v/>
      </c>
      <c r="T256" s="36" t="n">
        <f aca="false">MONTH(A256)</f>
        <v>9</v>
      </c>
      <c r="U256" s="37" t="b">
        <f aca="false">OR(C256="Workday",C256="Eve")</f>
        <v>1</v>
      </c>
      <c r="V256" s="34" t="n">
        <f aca="false">IF(C256="Eve",Settings!$B$8,Settings!$B$7)</f>
        <v>0.6875</v>
      </c>
      <c r="W256" s="14" t="n">
        <f aca="false">IF(U256,(V256-Settings!$B$6)*24,0)</f>
        <v>8.5</v>
      </c>
    </row>
    <row r="257" customFormat="false" ht="15" hidden="false" customHeight="false" outlineLevel="0" collapsed="false">
      <c r="A257" s="29" t="n">
        <v>46273</v>
      </c>
      <c r="B257" s="30" t="str">
        <f aca="false">CHOOSE(WEEKDAY(A257),"Sun","Mon","Tue","Wed","Thu","Fri","Sat")</f>
        <v>Tue</v>
      </c>
      <c r="C257" s="30" t="str">
        <f aca="false">IF(IFERROR(INDEX(Holidays!$D$5:$D$60,MATCH(A257,Holidays!$A$5:$A$60,0)),"")="Holiday","Holiday",IF(WEEKDAY(A257)&gt;=6,"Weekend",IF(IFERROR(INDEX(Holidays!$D$5:$D$60,MATCH(A257,Holidays!$A$5:$A$60,0)),"")="Eve","Eve","Workday")))</f>
        <v>Workday</v>
      </c>
      <c r="D257" s="18" t="str">
        <f aca="false">IFERROR(INDEX(Holidays!$C$5:$C$60,MATCH(A257,Holidays!$A$5:$A$60,0)),"")</f>
        <v/>
      </c>
      <c r="E257" s="31"/>
      <c r="F257" s="32"/>
      <c r="G257" s="32"/>
      <c r="H257" s="32"/>
      <c r="I257" s="32"/>
      <c r="J257" s="31"/>
      <c r="K257" s="33" t="str">
        <f aca="false">IF(E257&lt;&gt;"",E257,IF(U257,"Present",IF(C257="Holiday","Holiday","Weekend")))</f>
        <v>Present</v>
      </c>
      <c r="L257" s="34" t="n">
        <f aca="false">IF(OR(K257="Present",K257="Manual Work",K257="Partial Vacation",K257="Partial Sick Leave"),IF(ISNUMBER(F257),F257,IF(AND(K257="Present",U257),Settings!$B$6,"")),"")</f>
        <v>0.333333333333333</v>
      </c>
      <c r="M257" s="34" t="n">
        <f aca="false">IF(OR(K257="Present",K257="Manual Work",K257="Partial Vacation",K257="Partial Sick Leave"),IF(ISNUMBER(G257),G257,IF(AND(K257="Present",U257),V257,"")),"")</f>
        <v>0.6875</v>
      </c>
      <c r="N257" s="14" t="n">
        <f aca="false">IF(AND(ISNUMBER(L257),ISNUMBER(M257)),MAX(0,(M257-L257)*24),0)</f>
        <v>8.5</v>
      </c>
      <c r="O257" s="14" t="n">
        <f aca="false">IF(NOT(U257),0,IF(K257="Vacation",IF(C257="Eve",Settings!$B$9*Settings!$B$11,W257),IF(K257="Partial Vacation",IF(AND(ISNUMBER(H257),ISNUMBER(I257)),MAX(0,(I257-H257)*24),0),0)))</f>
        <v>0</v>
      </c>
      <c r="P257" s="14" t="n">
        <f aca="false">IF(NOT(U257),0,IF(K257="Sick Leave",W257,IF(K257="Partial Sick Leave",IF(AND(ISNUMBER(H257),ISNUMBER(I257)),MAX(0,(I257-H257)*24),0),0)))</f>
        <v>0</v>
      </c>
      <c r="Q257" s="14" t="n">
        <f aca="false">IF(NOT(U257),0,IF(K257="Vacation",IF(C257="Eve",Settings!$B$11,1),IF(K257="Partial Vacation",O257/Settings!$B$9,0)))</f>
        <v>0</v>
      </c>
      <c r="R257" s="14" t="n">
        <f aca="false">IF(NOT(U257),0,IF(K257="Sick Leave",1,IF(K257="Partial Sick Leave",P257/Settings!$B$9,0)))</f>
        <v>0</v>
      </c>
      <c r="S257" s="35" t="str">
        <f aca="false">IF(AND(OR(E257="Vacation",E257="Sick Leave",E257="Partial Vacation",E257="Partial Sick Leave"),NOT(U257)),"Leave not allowed on this day",IF(AND(E257="Manual Work",OR(NOT(ISNUMBER(F257)),NOT(ISNUMBER(G257)))),"Enter start and end",IF(AND(OR(E257="Partial Vacation",E257="Partial Sick Leave"),OR(NOT(ISNUMBER(H257)),NOT(ISNUMBER(I257)))),"Enter leave from and to",IF(AND(ISNUMBER(F257),ISNUMBER(G257),G257&lt;=F257),"End is before start",IF(AND(ISNUMBER(H257),ISNUMBER(I257),I257&lt;=H257),"Leave end is before start",IF(AND(ISNUMBER(F257),ISNUMBER(G257),ISNUMBER(H257),ISNUMBER(I257),F257&lt;I257,H257&lt;G257),"Work and leave hours overlap",IF(AND(E257&lt;&gt;"",WEEKDAY(A257)=7),"Saturday - administrator only","")))))))</f>
        <v/>
      </c>
      <c r="T257" s="36" t="n">
        <f aca="false">MONTH(A257)</f>
        <v>9</v>
      </c>
      <c r="U257" s="37" t="b">
        <f aca="false">OR(C257="Workday",C257="Eve")</f>
        <v>1</v>
      </c>
      <c r="V257" s="34" t="n">
        <f aca="false">IF(C257="Eve",Settings!$B$8,Settings!$B$7)</f>
        <v>0.6875</v>
      </c>
      <c r="W257" s="14" t="n">
        <f aca="false">IF(U257,(V257-Settings!$B$6)*24,0)</f>
        <v>8.5</v>
      </c>
    </row>
    <row r="258" customFormat="false" ht="15" hidden="false" customHeight="false" outlineLevel="0" collapsed="false">
      <c r="A258" s="29" t="n">
        <v>46274</v>
      </c>
      <c r="B258" s="30" t="str">
        <f aca="false">CHOOSE(WEEKDAY(A258),"Sun","Mon","Tue","Wed","Thu","Fri","Sat")</f>
        <v>Wed</v>
      </c>
      <c r="C258" s="30" t="str">
        <f aca="false">IF(IFERROR(INDEX(Holidays!$D$5:$D$60,MATCH(A258,Holidays!$A$5:$A$60,0)),"")="Holiday","Holiday",IF(WEEKDAY(A258)&gt;=6,"Weekend",IF(IFERROR(INDEX(Holidays!$D$5:$D$60,MATCH(A258,Holidays!$A$5:$A$60,0)),"")="Eve","Eve","Workday")))</f>
        <v>Workday</v>
      </c>
      <c r="D258" s="18" t="str">
        <f aca="false">IFERROR(INDEX(Holidays!$C$5:$C$60,MATCH(A258,Holidays!$A$5:$A$60,0)),"")</f>
        <v/>
      </c>
      <c r="E258" s="31"/>
      <c r="F258" s="32"/>
      <c r="G258" s="32"/>
      <c r="H258" s="32"/>
      <c r="I258" s="32"/>
      <c r="J258" s="31"/>
      <c r="K258" s="33" t="str">
        <f aca="false">IF(E258&lt;&gt;"",E258,IF(U258,"Present",IF(C258="Holiday","Holiday","Weekend")))</f>
        <v>Present</v>
      </c>
      <c r="L258" s="34" t="n">
        <f aca="false">IF(OR(K258="Present",K258="Manual Work",K258="Partial Vacation",K258="Partial Sick Leave"),IF(ISNUMBER(F258),F258,IF(AND(K258="Present",U258),Settings!$B$6,"")),"")</f>
        <v>0.333333333333333</v>
      </c>
      <c r="M258" s="34" t="n">
        <f aca="false">IF(OR(K258="Present",K258="Manual Work",K258="Partial Vacation",K258="Partial Sick Leave"),IF(ISNUMBER(G258),G258,IF(AND(K258="Present",U258),V258,"")),"")</f>
        <v>0.6875</v>
      </c>
      <c r="N258" s="14" t="n">
        <f aca="false">IF(AND(ISNUMBER(L258),ISNUMBER(M258)),MAX(0,(M258-L258)*24),0)</f>
        <v>8.5</v>
      </c>
      <c r="O258" s="14" t="n">
        <f aca="false">IF(NOT(U258),0,IF(K258="Vacation",IF(C258="Eve",Settings!$B$9*Settings!$B$11,W258),IF(K258="Partial Vacation",IF(AND(ISNUMBER(H258),ISNUMBER(I258)),MAX(0,(I258-H258)*24),0),0)))</f>
        <v>0</v>
      </c>
      <c r="P258" s="14" t="n">
        <f aca="false">IF(NOT(U258),0,IF(K258="Sick Leave",W258,IF(K258="Partial Sick Leave",IF(AND(ISNUMBER(H258),ISNUMBER(I258)),MAX(0,(I258-H258)*24),0),0)))</f>
        <v>0</v>
      </c>
      <c r="Q258" s="14" t="n">
        <f aca="false">IF(NOT(U258),0,IF(K258="Vacation",IF(C258="Eve",Settings!$B$11,1),IF(K258="Partial Vacation",O258/Settings!$B$9,0)))</f>
        <v>0</v>
      </c>
      <c r="R258" s="14" t="n">
        <f aca="false">IF(NOT(U258),0,IF(K258="Sick Leave",1,IF(K258="Partial Sick Leave",P258/Settings!$B$9,0)))</f>
        <v>0</v>
      </c>
      <c r="S258" s="35" t="str">
        <f aca="false">IF(AND(OR(E258="Vacation",E258="Sick Leave",E258="Partial Vacation",E258="Partial Sick Leave"),NOT(U258)),"Leave not allowed on this day",IF(AND(E258="Manual Work",OR(NOT(ISNUMBER(F258)),NOT(ISNUMBER(G258)))),"Enter start and end",IF(AND(OR(E258="Partial Vacation",E258="Partial Sick Leave"),OR(NOT(ISNUMBER(H258)),NOT(ISNUMBER(I258)))),"Enter leave from and to",IF(AND(ISNUMBER(F258),ISNUMBER(G258),G258&lt;=F258),"End is before start",IF(AND(ISNUMBER(H258),ISNUMBER(I258),I258&lt;=H258),"Leave end is before start",IF(AND(ISNUMBER(F258),ISNUMBER(G258),ISNUMBER(H258),ISNUMBER(I258),F258&lt;I258,H258&lt;G258),"Work and leave hours overlap",IF(AND(E258&lt;&gt;"",WEEKDAY(A258)=7),"Saturday - administrator only","")))))))</f>
        <v/>
      </c>
      <c r="T258" s="36" t="n">
        <f aca="false">MONTH(A258)</f>
        <v>9</v>
      </c>
      <c r="U258" s="37" t="b">
        <f aca="false">OR(C258="Workday",C258="Eve")</f>
        <v>1</v>
      </c>
      <c r="V258" s="34" t="n">
        <f aca="false">IF(C258="Eve",Settings!$B$8,Settings!$B$7)</f>
        <v>0.6875</v>
      </c>
      <c r="W258" s="14" t="n">
        <f aca="false">IF(U258,(V258-Settings!$B$6)*24,0)</f>
        <v>8.5</v>
      </c>
    </row>
    <row r="259" customFormat="false" ht="15" hidden="false" customHeight="false" outlineLevel="0" collapsed="false">
      <c r="A259" s="29" t="n">
        <v>46275</v>
      </c>
      <c r="B259" s="30" t="str">
        <f aca="false">CHOOSE(WEEKDAY(A259),"Sun","Mon","Tue","Wed","Thu","Fri","Sat")</f>
        <v>Thu</v>
      </c>
      <c r="C259" s="30" t="str">
        <f aca="false">IF(IFERROR(INDEX(Holidays!$D$5:$D$60,MATCH(A259,Holidays!$A$5:$A$60,0)),"")="Holiday","Holiday",IF(WEEKDAY(A259)&gt;=6,"Weekend",IF(IFERROR(INDEX(Holidays!$D$5:$D$60,MATCH(A259,Holidays!$A$5:$A$60,0)),"")="Eve","Eve","Workday")))</f>
        <v>Workday</v>
      </c>
      <c r="D259" s="18" t="str">
        <f aca="false">IFERROR(INDEX(Holidays!$C$5:$C$60,MATCH(A259,Holidays!$A$5:$A$60,0)),"")</f>
        <v/>
      </c>
      <c r="E259" s="31"/>
      <c r="F259" s="32"/>
      <c r="G259" s="32"/>
      <c r="H259" s="32"/>
      <c r="I259" s="32"/>
      <c r="J259" s="31"/>
      <c r="K259" s="33" t="str">
        <f aca="false">IF(E259&lt;&gt;"",E259,IF(U259,"Present",IF(C259="Holiday","Holiday","Weekend")))</f>
        <v>Present</v>
      </c>
      <c r="L259" s="34" t="n">
        <f aca="false">IF(OR(K259="Present",K259="Manual Work",K259="Partial Vacation",K259="Partial Sick Leave"),IF(ISNUMBER(F259),F259,IF(AND(K259="Present",U259),Settings!$B$6,"")),"")</f>
        <v>0.333333333333333</v>
      </c>
      <c r="M259" s="34" t="n">
        <f aca="false">IF(OR(K259="Present",K259="Manual Work",K259="Partial Vacation",K259="Partial Sick Leave"),IF(ISNUMBER(G259),G259,IF(AND(K259="Present",U259),V259,"")),"")</f>
        <v>0.6875</v>
      </c>
      <c r="N259" s="14" t="n">
        <f aca="false">IF(AND(ISNUMBER(L259),ISNUMBER(M259)),MAX(0,(M259-L259)*24),0)</f>
        <v>8.5</v>
      </c>
      <c r="O259" s="14" t="n">
        <f aca="false">IF(NOT(U259),0,IF(K259="Vacation",IF(C259="Eve",Settings!$B$9*Settings!$B$11,W259),IF(K259="Partial Vacation",IF(AND(ISNUMBER(H259),ISNUMBER(I259)),MAX(0,(I259-H259)*24),0),0)))</f>
        <v>0</v>
      </c>
      <c r="P259" s="14" t="n">
        <f aca="false">IF(NOT(U259),0,IF(K259="Sick Leave",W259,IF(K259="Partial Sick Leave",IF(AND(ISNUMBER(H259),ISNUMBER(I259)),MAX(0,(I259-H259)*24),0),0)))</f>
        <v>0</v>
      </c>
      <c r="Q259" s="14" t="n">
        <f aca="false">IF(NOT(U259),0,IF(K259="Vacation",IF(C259="Eve",Settings!$B$11,1),IF(K259="Partial Vacation",O259/Settings!$B$9,0)))</f>
        <v>0</v>
      </c>
      <c r="R259" s="14" t="n">
        <f aca="false">IF(NOT(U259),0,IF(K259="Sick Leave",1,IF(K259="Partial Sick Leave",P259/Settings!$B$9,0)))</f>
        <v>0</v>
      </c>
      <c r="S259" s="35" t="str">
        <f aca="false">IF(AND(OR(E259="Vacation",E259="Sick Leave",E259="Partial Vacation",E259="Partial Sick Leave"),NOT(U259)),"Leave not allowed on this day",IF(AND(E259="Manual Work",OR(NOT(ISNUMBER(F259)),NOT(ISNUMBER(G259)))),"Enter start and end",IF(AND(OR(E259="Partial Vacation",E259="Partial Sick Leave"),OR(NOT(ISNUMBER(H259)),NOT(ISNUMBER(I259)))),"Enter leave from and to",IF(AND(ISNUMBER(F259),ISNUMBER(G259),G259&lt;=F259),"End is before start",IF(AND(ISNUMBER(H259),ISNUMBER(I259),I259&lt;=H259),"Leave end is before start",IF(AND(ISNUMBER(F259),ISNUMBER(G259),ISNUMBER(H259),ISNUMBER(I259),F259&lt;I259,H259&lt;G259),"Work and leave hours overlap",IF(AND(E259&lt;&gt;"",WEEKDAY(A259)=7),"Saturday - administrator only","")))))))</f>
        <v/>
      </c>
      <c r="T259" s="36" t="n">
        <f aca="false">MONTH(A259)</f>
        <v>9</v>
      </c>
      <c r="U259" s="37" t="b">
        <f aca="false">OR(C259="Workday",C259="Eve")</f>
        <v>1</v>
      </c>
      <c r="V259" s="34" t="n">
        <f aca="false">IF(C259="Eve",Settings!$B$8,Settings!$B$7)</f>
        <v>0.6875</v>
      </c>
      <c r="W259" s="14" t="n">
        <f aca="false">IF(U259,(V259-Settings!$B$6)*24,0)</f>
        <v>8.5</v>
      </c>
    </row>
    <row r="260" customFormat="false" ht="15" hidden="false" customHeight="false" outlineLevel="0" collapsed="false">
      <c r="A260" s="29" t="n">
        <v>46276</v>
      </c>
      <c r="B260" s="30" t="str">
        <f aca="false">CHOOSE(WEEKDAY(A260),"Sun","Mon","Tue","Wed","Thu","Fri","Sat")</f>
        <v>Fri</v>
      </c>
      <c r="C260" s="30" t="str">
        <f aca="false">IF(IFERROR(INDEX(Holidays!$D$5:$D$60,MATCH(A260,Holidays!$A$5:$A$60,0)),"")="Holiday","Holiday",IF(WEEKDAY(A260)&gt;=6,"Weekend",IF(IFERROR(INDEX(Holidays!$D$5:$D$60,MATCH(A260,Holidays!$A$5:$A$60,0)),"")="Eve","Eve","Workday")))</f>
        <v>Weekend</v>
      </c>
      <c r="D260" s="18" t="str">
        <f aca="false">IFERROR(INDEX(Holidays!$C$5:$C$60,MATCH(A260,Holidays!$A$5:$A$60,0)),"")</f>
        <v>Erev Rosh Hashana</v>
      </c>
      <c r="E260" s="31"/>
      <c r="F260" s="32"/>
      <c r="G260" s="32"/>
      <c r="H260" s="32"/>
      <c r="I260" s="32"/>
      <c r="J260" s="31"/>
      <c r="K260" s="33" t="str">
        <f aca="false">IF(E260&lt;&gt;"",E260,IF(U260,"Present",IF(C260="Holiday","Holiday","Weekend")))</f>
        <v>Weekend</v>
      </c>
      <c r="L260" s="34" t="str">
        <f aca="false">IF(OR(K260="Present",K260="Manual Work",K260="Partial Vacation",K260="Partial Sick Leave"),IF(ISNUMBER(F260),F260,IF(AND(K260="Present",U260),Settings!$B$6,"")),"")</f>
        <v/>
      </c>
      <c r="M260" s="34" t="str">
        <f aca="false">IF(OR(K260="Present",K260="Manual Work",K260="Partial Vacation",K260="Partial Sick Leave"),IF(ISNUMBER(G260),G260,IF(AND(K260="Present",U260),V260,"")),"")</f>
        <v/>
      </c>
      <c r="N260" s="14" t="n">
        <f aca="false">IF(AND(ISNUMBER(L260),ISNUMBER(M260)),MAX(0,(M260-L260)*24),0)</f>
        <v>0</v>
      </c>
      <c r="O260" s="14" t="n">
        <f aca="false">IF(NOT(U260),0,IF(K260="Vacation",IF(C260="Eve",Settings!$B$9*Settings!$B$11,W260),IF(K260="Partial Vacation",IF(AND(ISNUMBER(H260),ISNUMBER(I260)),MAX(0,(I260-H260)*24),0),0)))</f>
        <v>0</v>
      </c>
      <c r="P260" s="14" t="n">
        <f aca="false">IF(NOT(U260),0,IF(K260="Sick Leave",W260,IF(K260="Partial Sick Leave",IF(AND(ISNUMBER(H260),ISNUMBER(I260)),MAX(0,(I260-H260)*24),0),0)))</f>
        <v>0</v>
      </c>
      <c r="Q260" s="14" t="n">
        <f aca="false">IF(NOT(U260),0,IF(K260="Vacation",IF(C260="Eve",Settings!$B$11,1),IF(K260="Partial Vacation",O260/Settings!$B$9,0)))</f>
        <v>0</v>
      </c>
      <c r="R260" s="14" t="n">
        <f aca="false">IF(NOT(U260),0,IF(K260="Sick Leave",1,IF(K260="Partial Sick Leave",P260/Settings!$B$9,0)))</f>
        <v>0</v>
      </c>
      <c r="S260" s="35" t="str">
        <f aca="false">IF(AND(OR(E260="Vacation",E260="Sick Leave",E260="Partial Vacation",E260="Partial Sick Leave"),NOT(U260)),"Leave not allowed on this day",IF(AND(E260="Manual Work",OR(NOT(ISNUMBER(F260)),NOT(ISNUMBER(G260)))),"Enter start and end",IF(AND(OR(E260="Partial Vacation",E260="Partial Sick Leave"),OR(NOT(ISNUMBER(H260)),NOT(ISNUMBER(I260)))),"Enter leave from and to",IF(AND(ISNUMBER(F260),ISNUMBER(G260),G260&lt;=F260),"End is before start",IF(AND(ISNUMBER(H260),ISNUMBER(I260),I260&lt;=H260),"Leave end is before start",IF(AND(ISNUMBER(F260),ISNUMBER(G260),ISNUMBER(H260),ISNUMBER(I260),F260&lt;I260,H260&lt;G260),"Work and leave hours overlap",IF(AND(E260&lt;&gt;"",WEEKDAY(A260)=7),"Saturday - administrator only","")))))))</f>
        <v/>
      </c>
      <c r="T260" s="36" t="n">
        <f aca="false">MONTH(A260)</f>
        <v>9</v>
      </c>
      <c r="U260" s="37" t="b">
        <f aca="false">OR(C260="Workday",C260="Eve")</f>
        <v>0</v>
      </c>
      <c r="V260" s="34" t="n">
        <f aca="false">IF(C260="Eve",Settings!$B$8,Settings!$B$7)</f>
        <v>0.6875</v>
      </c>
      <c r="W260" s="14" t="n">
        <f aca="false">IF(U260,(V260-Settings!$B$6)*24,0)</f>
        <v>0</v>
      </c>
    </row>
    <row r="261" customFormat="false" ht="15" hidden="false" customHeight="false" outlineLevel="0" collapsed="false">
      <c r="A261" s="29" t="n">
        <v>46277</v>
      </c>
      <c r="B261" s="30" t="str">
        <f aca="false">CHOOSE(WEEKDAY(A261),"Sun","Mon","Tue","Wed","Thu","Fri","Sat")</f>
        <v>Sat</v>
      </c>
      <c r="C261" s="30" t="str">
        <f aca="false">IF(IFERROR(INDEX(Holidays!$D$5:$D$60,MATCH(A261,Holidays!$A$5:$A$60,0)),"")="Holiday","Holiday",IF(WEEKDAY(A261)&gt;=6,"Weekend",IF(IFERROR(INDEX(Holidays!$D$5:$D$60,MATCH(A261,Holidays!$A$5:$A$60,0)),"")="Eve","Eve","Workday")))</f>
        <v>Holiday</v>
      </c>
      <c r="D261" s="18" t="str">
        <f aca="false">IFERROR(INDEX(Holidays!$C$5:$C$60,MATCH(A261,Holidays!$A$5:$A$60,0)),"")</f>
        <v>Rosh Hashana</v>
      </c>
      <c r="E261" s="31"/>
      <c r="F261" s="32"/>
      <c r="G261" s="32"/>
      <c r="H261" s="32"/>
      <c r="I261" s="32"/>
      <c r="J261" s="31"/>
      <c r="K261" s="33" t="str">
        <f aca="false">IF(E261&lt;&gt;"",E261,IF(U261,"Present",IF(C261="Holiday","Holiday","Weekend")))</f>
        <v>Holiday</v>
      </c>
      <c r="L261" s="34" t="str">
        <f aca="false">IF(OR(K261="Present",K261="Manual Work",K261="Partial Vacation",K261="Partial Sick Leave"),IF(ISNUMBER(F261),F261,IF(AND(K261="Present",U261),Settings!$B$6,"")),"")</f>
        <v/>
      </c>
      <c r="M261" s="34" t="str">
        <f aca="false">IF(OR(K261="Present",K261="Manual Work",K261="Partial Vacation",K261="Partial Sick Leave"),IF(ISNUMBER(G261),G261,IF(AND(K261="Present",U261),V261,"")),"")</f>
        <v/>
      </c>
      <c r="N261" s="14" t="n">
        <f aca="false">IF(AND(ISNUMBER(L261),ISNUMBER(M261)),MAX(0,(M261-L261)*24),0)</f>
        <v>0</v>
      </c>
      <c r="O261" s="14" t="n">
        <f aca="false">IF(NOT(U261),0,IF(K261="Vacation",IF(C261="Eve",Settings!$B$9*Settings!$B$11,W261),IF(K261="Partial Vacation",IF(AND(ISNUMBER(H261),ISNUMBER(I261)),MAX(0,(I261-H261)*24),0),0)))</f>
        <v>0</v>
      </c>
      <c r="P261" s="14" t="n">
        <f aca="false">IF(NOT(U261),0,IF(K261="Sick Leave",W261,IF(K261="Partial Sick Leave",IF(AND(ISNUMBER(H261),ISNUMBER(I261)),MAX(0,(I261-H261)*24),0),0)))</f>
        <v>0</v>
      </c>
      <c r="Q261" s="14" t="n">
        <f aca="false">IF(NOT(U261),0,IF(K261="Vacation",IF(C261="Eve",Settings!$B$11,1),IF(K261="Partial Vacation",O261/Settings!$B$9,0)))</f>
        <v>0</v>
      </c>
      <c r="R261" s="14" t="n">
        <f aca="false">IF(NOT(U261),0,IF(K261="Sick Leave",1,IF(K261="Partial Sick Leave",P261/Settings!$B$9,0)))</f>
        <v>0</v>
      </c>
      <c r="S261" s="35" t="str">
        <f aca="false">IF(AND(OR(E261="Vacation",E261="Sick Leave",E261="Partial Vacation",E261="Partial Sick Leave"),NOT(U261)),"Leave not allowed on this day",IF(AND(E261="Manual Work",OR(NOT(ISNUMBER(F261)),NOT(ISNUMBER(G261)))),"Enter start and end",IF(AND(OR(E261="Partial Vacation",E261="Partial Sick Leave"),OR(NOT(ISNUMBER(H261)),NOT(ISNUMBER(I261)))),"Enter leave from and to",IF(AND(ISNUMBER(F261),ISNUMBER(G261),G261&lt;=F261),"End is before start",IF(AND(ISNUMBER(H261),ISNUMBER(I261),I261&lt;=H261),"Leave end is before start",IF(AND(ISNUMBER(F261),ISNUMBER(G261),ISNUMBER(H261),ISNUMBER(I261),F261&lt;I261,H261&lt;G261),"Work and leave hours overlap",IF(AND(E261&lt;&gt;"",WEEKDAY(A261)=7),"Saturday - administrator only","")))))))</f>
        <v/>
      </c>
      <c r="T261" s="36" t="n">
        <f aca="false">MONTH(A261)</f>
        <v>9</v>
      </c>
      <c r="U261" s="37" t="b">
        <f aca="false">OR(C261="Workday",C261="Eve")</f>
        <v>0</v>
      </c>
      <c r="V261" s="34" t="n">
        <f aca="false">IF(C261="Eve",Settings!$B$8,Settings!$B$7)</f>
        <v>0.6875</v>
      </c>
      <c r="W261" s="14" t="n">
        <f aca="false">IF(U261,(V261-Settings!$B$6)*24,0)</f>
        <v>0</v>
      </c>
    </row>
    <row r="262" customFormat="false" ht="15" hidden="false" customHeight="false" outlineLevel="0" collapsed="false">
      <c r="A262" s="29" t="n">
        <v>46278</v>
      </c>
      <c r="B262" s="30" t="str">
        <f aca="false">CHOOSE(WEEKDAY(A262),"Sun","Mon","Tue","Wed","Thu","Fri","Sat")</f>
        <v>Sun</v>
      </c>
      <c r="C262" s="30" t="str">
        <f aca="false">IF(IFERROR(INDEX(Holidays!$D$5:$D$60,MATCH(A262,Holidays!$A$5:$A$60,0)),"")="Holiday","Holiday",IF(WEEKDAY(A262)&gt;=6,"Weekend",IF(IFERROR(INDEX(Holidays!$D$5:$D$60,MATCH(A262,Holidays!$A$5:$A$60,0)),"")="Eve","Eve","Workday")))</f>
        <v>Holiday</v>
      </c>
      <c r="D262" s="18" t="str">
        <f aca="false">IFERROR(INDEX(Holidays!$C$5:$C$60,MATCH(A262,Holidays!$A$5:$A$60,0)),"")</f>
        <v>Rosh Hashana (second day)</v>
      </c>
      <c r="E262" s="31"/>
      <c r="F262" s="32"/>
      <c r="G262" s="32"/>
      <c r="H262" s="32"/>
      <c r="I262" s="32"/>
      <c r="J262" s="31"/>
      <c r="K262" s="33" t="str">
        <f aca="false">IF(E262&lt;&gt;"",E262,IF(U262,"Present",IF(C262="Holiday","Holiday","Weekend")))</f>
        <v>Holiday</v>
      </c>
      <c r="L262" s="34" t="str">
        <f aca="false">IF(OR(K262="Present",K262="Manual Work",K262="Partial Vacation",K262="Partial Sick Leave"),IF(ISNUMBER(F262),F262,IF(AND(K262="Present",U262),Settings!$B$6,"")),"")</f>
        <v/>
      </c>
      <c r="M262" s="34" t="str">
        <f aca="false">IF(OR(K262="Present",K262="Manual Work",K262="Partial Vacation",K262="Partial Sick Leave"),IF(ISNUMBER(G262),G262,IF(AND(K262="Present",U262),V262,"")),"")</f>
        <v/>
      </c>
      <c r="N262" s="14" t="n">
        <f aca="false">IF(AND(ISNUMBER(L262),ISNUMBER(M262)),MAX(0,(M262-L262)*24),0)</f>
        <v>0</v>
      </c>
      <c r="O262" s="14" t="n">
        <f aca="false">IF(NOT(U262),0,IF(K262="Vacation",IF(C262="Eve",Settings!$B$9*Settings!$B$11,W262),IF(K262="Partial Vacation",IF(AND(ISNUMBER(H262),ISNUMBER(I262)),MAX(0,(I262-H262)*24),0),0)))</f>
        <v>0</v>
      </c>
      <c r="P262" s="14" t="n">
        <f aca="false">IF(NOT(U262),0,IF(K262="Sick Leave",W262,IF(K262="Partial Sick Leave",IF(AND(ISNUMBER(H262),ISNUMBER(I262)),MAX(0,(I262-H262)*24),0),0)))</f>
        <v>0</v>
      </c>
      <c r="Q262" s="14" t="n">
        <f aca="false">IF(NOT(U262),0,IF(K262="Vacation",IF(C262="Eve",Settings!$B$11,1),IF(K262="Partial Vacation",O262/Settings!$B$9,0)))</f>
        <v>0</v>
      </c>
      <c r="R262" s="14" t="n">
        <f aca="false">IF(NOT(U262),0,IF(K262="Sick Leave",1,IF(K262="Partial Sick Leave",P262/Settings!$B$9,0)))</f>
        <v>0</v>
      </c>
      <c r="S262" s="35" t="str">
        <f aca="false">IF(AND(OR(E262="Vacation",E262="Sick Leave",E262="Partial Vacation",E262="Partial Sick Leave"),NOT(U262)),"Leave not allowed on this day",IF(AND(E262="Manual Work",OR(NOT(ISNUMBER(F262)),NOT(ISNUMBER(G262)))),"Enter start and end",IF(AND(OR(E262="Partial Vacation",E262="Partial Sick Leave"),OR(NOT(ISNUMBER(H262)),NOT(ISNUMBER(I262)))),"Enter leave from and to",IF(AND(ISNUMBER(F262),ISNUMBER(G262),G262&lt;=F262),"End is before start",IF(AND(ISNUMBER(H262),ISNUMBER(I262),I262&lt;=H262),"Leave end is before start",IF(AND(ISNUMBER(F262),ISNUMBER(G262),ISNUMBER(H262),ISNUMBER(I262),F262&lt;I262,H262&lt;G262),"Work and leave hours overlap",IF(AND(E262&lt;&gt;"",WEEKDAY(A262)=7),"Saturday - administrator only","")))))))</f>
        <v/>
      </c>
      <c r="T262" s="36" t="n">
        <f aca="false">MONTH(A262)</f>
        <v>9</v>
      </c>
      <c r="U262" s="37" t="b">
        <f aca="false">OR(C262="Workday",C262="Eve")</f>
        <v>0</v>
      </c>
      <c r="V262" s="34" t="n">
        <f aca="false">IF(C262="Eve",Settings!$B$8,Settings!$B$7)</f>
        <v>0.6875</v>
      </c>
      <c r="W262" s="14" t="n">
        <f aca="false">IF(U262,(V262-Settings!$B$6)*24,0)</f>
        <v>0</v>
      </c>
    </row>
    <row r="263" customFormat="false" ht="15" hidden="false" customHeight="false" outlineLevel="0" collapsed="false">
      <c r="A263" s="29" t="n">
        <v>46279</v>
      </c>
      <c r="B263" s="30" t="str">
        <f aca="false">CHOOSE(WEEKDAY(A263),"Sun","Mon","Tue","Wed","Thu","Fri","Sat")</f>
        <v>Mon</v>
      </c>
      <c r="C263" s="30" t="str">
        <f aca="false">IF(IFERROR(INDEX(Holidays!$D$5:$D$60,MATCH(A263,Holidays!$A$5:$A$60,0)),"")="Holiday","Holiday",IF(WEEKDAY(A263)&gt;=6,"Weekend",IF(IFERROR(INDEX(Holidays!$D$5:$D$60,MATCH(A263,Holidays!$A$5:$A$60,0)),"")="Eve","Eve","Workday")))</f>
        <v>Workday</v>
      </c>
      <c r="D263" s="18" t="str">
        <f aca="false">IFERROR(INDEX(Holidays!$C$5:$C$60,MATCH(A263,Holidays!$A$5:$A$60,0)),"")</f>
        <v/>
      </c>
      <c r="E263" s="31"/>
      <c r="F263" s="32"/>
      <c r="G263" s="32"/>
      <c r="H263" s="32"/>
      <c r="I263" s="32"/>
      <c r="J263" s="31"/>
      <c r="K263" s="33" t="str">
        <f aca="false">IF(E263&lt;&gt;"",E263,IF(U263,"Present",IF(C263="Holiday","Holiday","Weekend")))</f>
        <v>Present</v>
      </c>
      <c r="L263" s="34" t="n">
        <f aca="false">IF(OR(K263="Present",K263="Manual Work",K263="Partial Vacation",K263="Partial Sick Leave"),IF(ISNUMBER(F263),F263,IF(AND(K263="Present",U263),Settings!$B$6,"")),"")</f>
        <v>0.333333333333333</v>
      </c>
      <c r="M263" s="34" t="n">
        <f aca="false">IF(OR(K263="Present",K263="Manual Work",K263="Partial Vacation",K263="Partial Sick Leave"),IF(ISNUMBER(G263),G263,IF(AND(K263="Present",U263),V263,"")),"")</f>
        <v>0.6875</v>
      </c>
      <c r="N263" s="14" t="n">
        <f aca="false">IF(AND(ISNUMBER(L263),ISNUMBER(M263)),MAX(0,(M263-L263)*24),0)</f>
        <v>8.5</v>
      </c>
      <c r="O263" s="14" t="n">
        <f aca="false">IF(NOT(U263),0,IF(K263="Vacation",IF(C263="Eve",Settings!$B$9*Settings!$B$11,W263),IF(K263="Partial Vacation",IF(AND(ISNUMBER(H263),ISNUMBER(I263)),MAX(0,(I263-H263)*24),0),0)))</f>
        <v>0</v>
      </c>
      <c r="P263" s="14" t="n">
        <f aca="false">IF(NOT(U263),0,IF(K263="Sick Leave",W263,IF(K263="Partial Sick Leave",IF(AND(ISNUMBER(H263),ISNUMBER(I263)),MAX(0,(I263-H263)*24),0),0)))</f>
        <v>0</v>
      </c>
      <c r="Q263" s="14" t="n">
        <f aca="false">IF(NOT(U263),0,IF(K263="Vacation",IF(C263="Eve",Settings!$B$11,1),IF(K263="Partial Vacation",O263/Settings!$B$9,0)))</f>
        <v>0</v>
      </c>
      <c r="R263" s="14" t="n">
        <f aca="false">IF(NOT(U263),0,IF(K263="Sick Leave",1,IF(K263="Partial Sick Leave",P263/Settings!$B$9,0)))</f>
        <v>0</v>
      </c>
      <c r="S263" s="35" t="str">
        <f aca="false">IF(AND(OR(E263="Vacation",E263="Sick Leave",E263="Partial Vacation",E263="Partial Sick Leave"),NOT(U263)),"Leave not allowed on this day",IF(AND(E263="Manual Work",OR(NOT(ISNUMBER(F263)),NOT(ISNUMBER(G263)))),"Enter start and end",IF(AND(OR(E263="Partial Vacation",E263="Partial Sick Leave"),OR(NOT(ISNUMBER(H263)),NOT(ISNUMBER(I263)))),"Enter leave from and to",IF(AND(ISNUMBER(F263),ISNUMBER(G263),G263&lt;=F263),"End is before start",IF(AND(ISNUMBER(H263),ISNUMBER(I263),I263&lt;=H263),"Leave end is before start",IF(AND(ISNUMBER(F263),ISNUMBER(G263),ISNUMBER(H263),ISNUMBER(I263),F263&lt;I263,H263&lt;G263),"Work and leave hours overlap",IF(AND(E263&lt;&gt;"",WEEKDAY(A263)=7),"Saturday - administrator only","")))))))</f>
        <v/>
      </c>
      <c r="T263" s="36" t="n">
        <f aca="false">MONTH(A263)</f>
        <v>9</v>
      </c>
      <c r="U263" s="37" t="b">
        <f aca="false">OR(C263="Workday",C263="Eve")</f>
        <v>1</v>
      </c>
      <c r="V263" s="34" t="n">
        <f aca="false">IF(C263="Eve",Settings!$B$8,Settings!$B$7)</f>
        <v>0.6875</v>
      </c>
      <c r="W263" s="14" t="n">
        <f aca="false">IF(U263,(V263-Settings!$B$6)*24,0)</f>
        <v>8.5</v>
      </c>
    </row>
    <row r="264" customFormat="false" ht="15" hidden="false" customHeight="false" outlineLevel="0" collapsed="false">
      <c r="A264" s="29" t="n">
        <v>46280</v>
      </c>
      <c r="B264" s="30" t="str">
        <f aca="false">CHOOSE(WEEKDAY(A264),"Sun","Mon","Tue","Wed","Thu","Fri","Sat")</f>
        <v>Tue</v>
      </c>
      <c r="C264" s="30" t="str">
        <f aca="false">IF(IFERROR(INDEX(Holidays!$D$5:$D$60,MATCH(A264,Holidays!$A$5:$A$60,0)),"")="Holiday","Holiday",IF(WEEKDAY(A264)&gt;=6,"Weekend",IF(IFERROR(INDEX(Holidays!$D$5:$D$60,MATCH(A264,Holidays!$A$5:$A$60,0)),"")="Eve","Eve","Workday")))</f>
        <v>Workday</v>
      </c>
      <c r="D264" s="18" t="str">
        <f aca="false">IFERROR(INDEX(Holidays!$C$5:$C$60,MATCH(A264,Holidays!$A$5:$A$60,0)),"")</f>
        <v/>
      </c>
      <c r="E264" s="31"/>
      <c r="F264" s="32"/>
      <c r="G264" s="32"/>
      <c r="H264" s="32"/>
      <c r="I264" s="32"/>
      <c r="J264" s="31"/>
      <c r="K264" s="33" t="str">
        <f aca="false">IF(E264&lt;&gt;"",E264,IF(U264,"Present",IF(C264="Holiday","Holiday","Weekend")))</f>
        <v>Present</v>
      </c>
      <c r="L264" s="34" t="n">
        <f aca="false">IF(OR(K264="Present",K264="Manual Work",K264="Partial Vacation",K264="Partial Sick Leave"),IF(ISNUMBER(F264),F264,IF(AND(K264="Present",U264),Settings!$B$6,"")),"")</f>
        <v>0.333333333333333</v>
      </c>
      <c r="M264" s="34" t="n">
        <f aca="false">IF(OR(K264="Present",K264="Manual Work",K264="Partial Vacation",K264="Partial Sick Leave"),IF(ISNUMBER(G264),G264,IF(AND(K264="Present",U264),V264,"")),"")</f>
        <v>0.6875</v>
      </c>
      <c r="N264" s="14" t="n">
        <f aca="false">IF(AND(ISNUMBER(L264),ISNUMBER(M264)),MAX(0,(M264-L264)*24),0)</f>
        <v>8.5</v>
      </c>
      <c r="O264" s="14" t="n">
        <f aca="false">IF(NOT(U264),0,IF(K264="Vacation",IF(C264="Eve",Settings!$B$9*Settings!$B$11,W264),IF(K264="Partial Vacation",IF(AND(ISNUMBER(H264),ISNUMBER(I264)),MAX(0,(I264-H264)*24),0),0)))</f>
        <v>0</v>
      </c>
      <c r="P264" s="14" t="n">
        <f aca="false">IF(NOT(U264),0,IF(K264="Sick Leave",W264,IF(K264="Partial Sick Leave",IF(AND(ISNUMBER(H264),ISNUMBER(I264)),MAX(0,(I264-H264)*24),0),0)))</f>
        <v>0</v>
      </c>
      <c r="Q264" s="14" t="n">
        <f aca="false">IF(NOT(U264),0,IF(K264="Vacation",IF(C264="Eve",Settings!$B$11,1),IF(K264="Partial Vacation",O264/Settings!$B$9,0)))</f>
        <v>0</v>
      </c>
      <c r="R264" s="14" t="n">
        <f aca="false">IF(NOT(U264),0,IF(K264="Sick Leave",1,IF(K264="Partial Sick Leave",P264/Settings!$B$9,0)))</f>
        <v>0</v>
      </c>
      <c r="S264" s="35" t="str">
        <f aca="false">IF(AND(OR(E264="Vacation",E264="Sick Leave",E264="Partial Vacation",E264="Partial Sick Leave"),NOT(U264)),"Leave not allowed on this day",IF(AND(E264="Manual Work",OR(NOT(ISNUMBER(F264)),NOT(ISNUMBER(G264)))),"Enter start and end",IF(AND(OR(E264="Partial Vacation",E264="Partial Sick Leave"),OR(NOT(ISNUMBER(H264)),NOT(ISNUMBER(I264)))),"Enter leave from and to",IF(AND(ISNUMBER(F264),ISNUMBER(G264),G264&lt;=F264),"End is before start",IF(AND(ISNUMBER(H264),ISNUMBER(I264),I264&lt;=H264),"Leave end is before start",IF(AND(ISNUMBER(F264),ISNUMBER(G264),ISNUMBER(H264),ISNUMBER(I264),F264&lt;I264,H264&lt;G264),"Work and leave hours overlap",IF(AND(E264&lt;&gt;"",WEEKDAY(A264)=7),"Saturday - administrator only","")))))))</f>
        <v/>
      </c>
      <c r="T264" s="36" t="n">
        <f aca="false">MONTH(A264)</f>
        <v>9</v>
      </c>
      <c r="U264" s="37" t="b">
        <f aca="false">OR(C264="Workday",C264="Eve")</f>
        <v>1</v>
      </c>
      <c r="V264" s="34" t="n">
        <f aca="false">IF(C264="Eve",Settings!$B$8,Settings!$B$7)</f>
        <v>0.6875</v>
      </c>
      <c r="W264" s="14" t="n">
        <f aca="false">IF(U264,(V264-Settings!$B$6)*24,0)</f>
        <v>8.5</v>
      </c>
    </row>
    <row r="265" customFormat="false" ht="15" hidden="false" customHeight="false" outlineLevel="0" collapsed="false">
      <c r="A265" s="29" t="n">
        <v>46281</v>
      </c>
      <c r="B265" s="30" t="str">
        <f aca="false">CHOOSE(WEEKDAY(A265),"Sun","Mon","Tue","Wed","Thu","Fri","Sat")</f>
        <v>Wed</v>
      </c>
      <c r="C265" s="30" t="str">
        <f aca="false">IF(IFERROR(INDEX(Holidays!$D$5:$D$60,MATCH(A265,Holidays!$A$5:$A$60,0)),"")="Holiday","Holiday",IF(WEEKDAY(A265)&gt;=6,"Weekend",IF(IFERROR(INDEX(Holidays!$D$5:$D$60,MATCH(A265,Holidays!$A$5:$A$60,0)),"")="Eve","Eve","Workday")))</f>
        <v>Workday</v>
      </c>
      <c r="D265" s="18" t="str">
        <f aca="false">IFERROR(INDEX(Holidays!$C$5:$C$60,MATCH(A265,Holidays!$A$5:$A$60,0)),"")</f>
        <v/>
      </c>
      <c r="E265" s="31"/>
      <c r="F265" s="32"/>
      <c r="G265" s="32"/>
      <c r="H265" s="32"/>
      <c r="I265" s="32"/>
      <c r="J265" s="31"/>
      <c r="K265" s="33" t="str">
        <f aca="false">IF(E265&lt;&gt;"",E265,IF(U265,"Present",IF(C265="Holiday","Holiday","Weekend")))</f>
        <v>Present</v>
      </c>
      <c r="L265" s="34" t="n">
        <f aca="false">IF(OR(K265="Present",K265="Manual Work",K265="Partial Vacation",K265="Partial Sick Leave"),IF(ISNUMBER(F265),F265,IF(AND(K265="Present",U265),Settings!$B$6,"")),"")</f>
        <v>0.333333333333333</v>
      </c>
      <c r="M265" s="34" t="n">
        <f aca="false">IF(OR(K265="Present",K265="Manual Work",K265="Partial Vacation",K265="Partial Sick Leave"),IF(ISNUMBER(G265),G265,IF(AND(K265="Present",U265),V265,"")),"")</f>
        <v>0.6875</v>
      </c>
      <c r="N265" s="14" t="n">
        <f aca="false">IF(AND(ISNUMBER(L265),ISNUMBER(M265)),MAX(0,(M265-L265)*24),0)</f>
        <v>8.5</v>
      </c>
      <c r="O265" s="14" t="n">
        <f aca="false">IF(NOT(U265),0,IF(K265="Vacation",IF(C265="Eve",Settings!$B$9*Settings!$B$11,W265),IF(K265="Partial Vacation",IF(AND(ISNUMBER(H265),ISNUMBER(I265)),MAX(0,(I265-H265)*24),0),0)))</f>
        <v>0</v>
      </c>
      <c r="P265" s="14" t="n">
        <f aca="false">IF(NOT(U265),0,IF(K265="Sick Leave",W265,IF(K265="Partial Sick Leave",IF(AND(ISNUMBER(H265),ISNUMBER(I265)),MAX(0,(I265-H265)*24),0),0)))</f>
        <v>0</v>
      </c>
      <c r="Q265" s="14" t="n">
        <f aca="false">IF(NOT(U265),0,IF(K265="Vacation",IF(C265="Eve",Settings!$B$11,1),IF(K265="Partial Vacation",O265/Settings!$B$9,0)))</f>
        <v>0</v>
      </c>
      <c r="R265" s="14" t="n">
        <f aca="false">IF(NOT(U265),0,IF(K265="Sick Leave",1,IF(K265="Partial Sick Leave",P265/Settings!$B$9,0)))</f>
        <v>0</v>
      </c>
      <c r="S265" s="35" t="str">
        <f aca="false">IF(AND(OR(E265="Vacation",E265="Sick Leave",E265="Partial Vacation",E265="Partial Sick Leave"),NOT(U265)),"Leave not allowed on this day",IF(AND(E265="Manual Work",OR(NOT(ISNUMBER(F265)),NOT(ISNUMBER(G265)))),"Enter start and end",IF(AND(OR(E265="Partial Vacation",E265="Partial Sick Leave"),OR(NOT(ISNUMBER(H265)),NOT(ISNUMBER(I265)))),"Enter leave from and to",IF(AND(ISNUMBER(F265),ISNUMBER(G265),G265&lt;=F265),"End is before start",IF(AND(ISNUMBER(H265),ISNUMBER(I265),I265&lt;=H265),"Leave end is before start",IF(AND(ISNUMBER(F265),ISNUMBER(G265),ISNUMBER(H265),ISNUMBER(I265),F265&lt;I265,H265&lt;G265),"Work and leave hours overlap",IF(AND(E265&lt;&gt;"",WEEKDAY(A265)=7),"Saturday - administrator only","")))))))</f>
        <v/>
      </c>
      <c r="T265" s="36" t="n">
        <f aca="false">MONTH(A265)</f>
        <v>9</v>
      </c>
      <c r="U265" s="37" t="b">
        <f aca="false">OR(C265="Workday",C265="Eve")</f>
        <v>1</v>
      </c>
      <c r="V265" s="34" t="n">
        <f aca="false">IF(C265="Eve",Settings!$B$8,Settings!$B$7)</f>
        <v>0.6875</v>
      </c>
      <c r="W265" s="14" t="n">
        <f aca="false">IF(U265,(V265-Settings!$B$6)*24,0)</f>
        <v>8.5</v>
      </c>
    </row>
    <row r="266" customFormat="false" ht="15" hidden="false" customHeight="false" outlineLevel="0" collapsed="false">
      <c r="A266" s="29" t="n">
        <v>46282</v>
      </c>
      <c r="B266" s="30" t="str">
        <f aca="false">CHOOSE(WEEKDAY(A266),"Sun","Mon","Tue","Wed","Thu","Fri","Sat")</f>
        <v>Thu</v>
      </c>
      <c r="C266" s="30" t="str">
        <f aca="false">IF(IFERROR(INDEX(Holidays!$D$5:$D$60,MATCH(A266,Holidays!$A$5:$A$60,0)),"")="Holiday","Holiday",IF(WEEKDAY(A266)&gt;=6,"Weekend",IF(IFERROR(INDEX(Holidays!$D$5:$D$60,MATCH(A266,Holidays!$A$5:$A$60,0)),"")="Eve","Eve","Workday")))</f>
        <v>Workday</v>
      </c>
      <c r="D266" s="18" t="str">
        <f aca="false">IFERROR(INDEX(Holidays!$C$5:$C$60,MATCH(A266,Holidays!$A$5:$A$60,0)),"")</f>
        <v/>
      </c>
      <c r="E266" s="31"/>
      <c r="F266" s="32"/>
      <c r="G266" s="32"/>
      <c r="H266" s="32"/>
      <c r="I266" s="32"/>
      <c r="J266" s="31"/>
      <c r="K266" s="33" t="str">
        <f aca="false">IF(E266&lt;&gt;"",E266,IF(U266,"Present",IF(C266="Holiday","Holiday","Weekend")))</f>
        <v>Present</v>
      </c>
      <c r="L266" s="34" t="n">
        <f aca="false">IF(OR(K266="Present",K266="Manual Work",K266="Partial Vacation",K266="Partial Sick Leave"),IF(ISNUMBER(F266),F266,IF(AND(K266="Present",U266),Settings!$B$6,"")),"")</f>
        <v>0.333333333333333</v>
      </c>
      <c r="M266" s="34" t="n">
        <f aca="false">IF(OR(K266="Present",K266="Manual Work",K266="Partial Vacation",K266="Partial Sick Leave"),IF(ISNUMBER(G266),G266,IF(AND(K266="Present",U266),V266,"")),"")</f>
        <v>0.6875</v>
      </c>
      <c r="N266" s="14" t="n">
        <f aca="false">IF(AND(ISNUMBER(L266),ISNUMBER(M266)),MAX(0,(M266-L266)*24),0)</f>
        <v>8.5</v>
      </c>
      <c r="O266" s="14" t="n">
        <f aca="false">IF(NOT(U266),0,IF(K266="Vacation",IF(C266="Eve",Settings!$B$9*Settings!$B$11,W266),IF(K266="Partial Vacation",IF(AND(ISNUMBER(H266),ISNUMBER(I266)),MAX(0,(I266-H266)*24),0),0)))</f>
        <v>0</v>
      </c>
      <c r="P266" s="14" t="n">
        <f aca="false">IF(NOT(U266),0,IF(K266="Sick Leave",W266,IF(K266="Partial Sick Leave",IF(AND(ISNUMBER(H266),ISNUMBER(I266)),MAX(0,(I266-H266)*24),0),0)))</f>
        <v>0</v>
      </c>
      <c r="Q266" s="14" t="n">
        <f aca="false">IF(NOT(U266),0,IF(K266="Vacation",IF(C266="Eve",Settings!$B$11,1),IF(K266="Partial Vacation",O266/Settings!$B$9,0)))</f>
        <v>0</v>
      </c>
      <c r="R266" s="14" t="n">
        <f aca="false">IF(NOT(U266),0,IF(K266="Sick Leave",1,IF(K266="Partial Sick Leave",P266/Settings!$B$9,0)))</f>
        <v>0</v>
      </c>
      <c r="S266" s="35" t="str">
        <f aca="false">IF(AND(OR(E266="Vacation",E266="Sick Leave",E266="Partial Vacation",E266="Partial Sick Leave"),NOT(U266)),"Leave not allowed on this day",IF(AND(E266="Manual Work",OR(NOT(ISNUMBER(F266)),NOT(ISNUMBER(G266)))),"Enter start and end",IF(AND(OR(E266="Partial Vacation",E266="Partial Sick Leave"),OR(NOT(ISNUMBER(H266)),NOT(ISNUMBER(I266)))),"Enter leave from and to",IF(AND(ISNUMBER(F266),ISNUMBER(G266),G266&lt;=F266),"End is before start",IF(AND(ISNUMBER(H266),ISNUMBER(I266),I266&lt;=H266),"Leave end is before start",IF(AND(ISNUMBER(F266),ISNUMBER(G266),ISNUMBER(H266),ISNUMBER(I266),F266&lt;I266,H266&lt;G266),"Work and leave hours overlap",IF(AND(E266&lt;&gt;"",WEEKDAY(A266)=7),"Saturday - administrator only","")))))))</f>
        <v/>
      </c>
      <c r="T266" s="36" t="n">
        <f aca="false">MONTH(A266)</f>
        <v>9</v>
      </c>
      <c r="U266" s="37" t="b">
        <f aca="false">OR(C266="Workday",C266="Eve")</f>
        <v>1</v>
      </c>
      <c r="V266" s="34" t="n">
        <f aca="false">IF(C266="Eve",Settings!$B$8,Settings!$B$7)</f>
        <v>0.6875</v>
      </c>
      <c r="W266" s="14" t="n">
        <f aca="false">IF(U266,(V266-Settings!$B$6)*24,0)</f>
        <v>8.5</v>
      </c>
    </row>
    <row r="267" customFormat="false" ht="15" hidden="false" customHeight="false" outlineLevel="0" collapsed="false">
      <c r="A267" s="29" t="n">
        <v>46283</v>
      </c>
      <c r="B267" s="30" t="str">
        <f aca="false">CHOOSE(WEEKDAY(A267),"Sun","Mon","Tue","Wed","Thu","Fri","Sat")</f>
        <v>Fri</v>
      </c>
      <c r="C267" s="30" t="str">
        <f aca="false">IF(IFERROR(INDEX(Holidays!$D$5:$D$60,MATCH(A267,Holidays!$A$5:$A$60,0)),"")="Holiday","Holiday",IF(WEEKDAY(A267)&gt;=6,"Weekend",IF(IFERROR(INDEX(Holidays!$D$5:$D$60,MATCH(A267,Holidays!$A$5:$A$60,0)),"")="Eve","Eve","Workday")))</f>
        <v>Weekend</v>
      </c>
      <c r="D267" s="18" t="str">
        <f aca="false">IFERROR(INDEX(Holidays!$C$5:$C$60,MATCH(A267,Holidays!$A$5:$A$60,0)),"")</f>
        <v/>
      </c>
      <c r="E267" s="31"/>
      <c r="F267" s="32"/>
      <c r="G267" s="32"/>
      <c r="H267" s="32"/>
      <c r="I267" s="32"/>
      <c r="J267" s="31"/>
      <c r="K267" s="33" t="str">
        <f aca="false">IF(E267&lt;&gt;"",E267,IF(U267,"Present",IF(C267="Holiday","Holiday","Weekend")))</f>
        <v>Weekend</v>
      </c>
      <c r="L267" s="34" t="str">
        <f aca="false">IF(OR(K267="Present",K267="Manual Work",K267="Partial Vacation",K267="Partial Sick Leave"),IF(ISNUMBER(F267),F267,IF(AND(K267="Present",U267),Settings!$B$6,"")),"")</f>
        <v/>
      </c>
      <c r="M267" s="34" t="str">
        <f aca="false">IF(OR(K267="Present",K267="Manual Work",K267="Partial Vacation",K267="Partial Sick Leave"),IF(ISNUMBER(G267),G267,IF(AND(K267="Present",U267),V267,"")),"")</f>
        <v/>
      </c>
      <c r="N267" s="14" t="n">
        <f aca="false">IF(AND(ISNUMBER(L267),ISNUMBER(M267)),MAX(0,(M267-L267)*24),0)</f>
        <v>0</v>
      </c>
      <c r="O267" s="14" t="n">
        <f aca="false">IF(NOT(U267),0,IF(K267="Vacation",IF(C267="Eve",Settings!$B$9*Settings!$B$11,W267),IF(K267="Partial Vacation",IF(AND(ISNUMBER(H267),ISNUMBER(I267)),MAX(0,(I267-H267)*24),0),0)))</f>
        <v>0</v>
      </c>
      <c r="P267" s="14" t="n">
        <f aca="false">IF(NOT(U267),0,IF(K267="Sick Leave",W267,IF(K267="Partial Sick Leave",IF(AND(ISNUMBER(H267),ISNUMBER(I267)),MAX(0,(I267-H267)*24),0),0)))</f>
        <v>0</v>
      </c>
      <c r="Q267" s="14" t="n">
        <f aca="false">IF(NOT(U267),0,IF(K267="Vacation",IF(C267="Eve",Settings!$B$11,1),IF(K267="Partial Vacation",O267/Settings!$B$9,0)))</f>
        <v>0</v>
      </c>
      <c r="R267" s="14" t="n">
        <f aca="false">IF(NOT(U267),0,IF(K267="Sick Leave",1,IF(K267="Partial Sick Leave",P267/Settings!$B$9,0)))</f>
        <v>0</v>
      </c>
      <c r="S267" s="35" t="str">
        <f aca="false">IF(AND(OR(E267="Vacation",E267="Sick Leave",E267="Partial Vacation",E267="Partial Sick Leave"),NOT(U267)),"Leave not allowed on this day",IF(AND(E267="Manual Work",OR(NOT(ISNUMBER(F267)),NOT(ISNUMBER(G267)))),"Enter start and end",IF(AND(OR(E267="Partial Vacation",E267="Partial Sick Leave"),OR(NOT(ISNUMBER(H267)),NOT(ISNUMBER(I267)))),"Enter leave from and to",IF(AND(ISNUMBER(F267),ISNUMBER(G267),G267&lt;=F267),"End is before start",IF(AND(ISNUMBER(H267),ISNUMBER(I267),I267&lt;=H267),"Leave end is before start",IF(AND(ISNUMBER(F267),ISNUMBER(G267),ISNUMBER(H267),ISNUMBER(I267),F267&lt;I267,H267&lt;G267),"Work and leave hours overlap",IF(AND(E267&lt;&gt;"",WEEKDAY(A267)=7),"Saturday - administrator only","")))))))</f>
        <v/>
      </c>
      <c r="T267" s="36" t="n">
        <f aca="false">MONTH(A267)</f>
        <v>9</v>
      </c>
      <c r="U267" s="37" t="b">
        <f aca="false">OR(C267="Workday",C267="Eve")</f>
        <v>0</v>
      </c>
      <c r="V267" s="34" t="n">
        <f aca="false">IF(C267="Eve",Settings!$B$8,Settings!$B$7)</f>
        <v>0.6875</v>
      </c>
      <c r="W267" s="14" t="n">
        <f aca="false">IF(U267,(V267-Settings!$B$6)*24,0)</f>
        <v>0</v>
      </c>
    </row>
    <row r="268" customFormat="false" ht="15" hidden="false" customHeight="false" outlineLevel="0" collapsed="false">
      <c r="A268" s="29" t="n">
        <v>46284</v>
      </c>
      <c r="B268" s="30" t="str">
        <f aca="false">CHOOSE(WEEKDAY(A268),"Sun","Mon","Tue","Wed","Thu","Fri","Sat")</f>
        <v>Sat</v>
      </c>
      <c r="C268" s="30" t="str">
        <f aca="false">IF(IFERROR(INDEX(Holidays!$D$5:$D$60,MATCH(A268,Holidays!$A$5:$A$60,0)),"")="Holiday","Holiday",IF(WEEKDAY(A268)&gt;=6,"Weekend",IF(IFERROR(INDEX(Holidays!$D$5:$D$60,MATCH(A268,Holidays!$A$5:$A$60,0)),"")="Eve","Eve","Workday")))</f>
        <v>Weekend</v>
      </c>
      <c r="D268" s="18" t="str">
        <f aca="false">IFERROR(INDEX(Holidays!$C$5:$C$60,MATCH(A268,Holidays!$A$5:$A$60,0)),"")</f>
        <v/>
      </c>
      <c r="E268" s="31"/>
      <c r="F268" s="32"/>
      <c r="G268" s="32"/>
      <c r="H268" s="32"/>
      <c r="I268" s="32"/>
      <c r="J268" s="31"/>
      <c r="K268" s="33" t="str">
        <f aca="false">IF(E268&lt;&gt;"",E268,IF(U268,"Present",IF(C268="Holiday","Holiday","Weekend")))</f>
        <v>Weekend</v>
      </c>
      <c r="L268" s="34" t="str">
        <f aca="false">IF(OR(K268="Present",K268="Manual Work",K268="Partial Vacation",K268="Partial Sick Leave"),IF(ISNUMBER(F268),F268,IF(AND(K268="Present",U268),Settings!$B$6,"")),"")</f>
        <v/>
      </c>
      <c r="M268" s="34" t="str">
        <f aca="false">IF(OR(K268="Present",K268="Manual Work",K268="Partial Vacation",K268="Partial Sick Leave"),IF(ISNUMBER(G268),G268,IF(AND(K268="Present",U268),V268,"")),"")</f>
        <v/>
      </c>
      <c r="N268" s="14" t="n">
        <f aca="false">IF(AND(ISNUMBER(L268),ISNUMBER(M268)),MAX(0,(M268-L268)*24),0)</f>
        <v>0</v>
      </c>
      <c r="O268" s="14" t="n">
        <f aca="false">IF(NOT(U268),0,IF(K268="Vacation",IF(C268="Eve",Settings!$B$9*Settings!$B$11,W268),IF(K268="Partial Vacation",IF(AND(ISNUMBER(H268),ISNUMBER(I268)),MAX(0,(I268-H268)*24),0),0)))</f>
        <v>0</v>
      </c>
      <c r="P268" s="14" t="n">
        <f aca="false">IF(NOT(U268),0,IF(K268="Sick Leave",W268,IF(K268="Partial Sick Leave",IF(AND(ISNUMBER(H268),ISNUMBER(I268)),MAX(0,(I268-H268)*24),0),0)))</f>
        <v>0</v>
      </c>
      <c r="Q268" s="14" t="n">
        <f aca="false">IF(NOT(U268),0,IF(K268="Vacation",IF(C268="Eve",Settings!$B$11,1),IF(K268="Partial Vacation",O268/Settings!$B$9,0)))</f>
        <v>0</v>
      </c>
      <c r="R268" s="14" t="n">
        <f aca="false">IF(NOT(U268),0,IF(K268="Sick Leave",1,IF(K268="Partial Sick Leave",P268/Settings!$B$9,0)))</f>
        <v>0</v>
      </c>
      <c r="S268" s="35" t="str">
        <f aca="false">IF(AND(OR(E268="Vacation",E268="Sick Leave",E268="Partial Vacation",E268="Partial Sick Leave"),NOT(U268)),"Leave not allowed on this day",IF(AND(E268="Manual Work",OR(NOT(ISNUMBER(F268)),NOT(ISNUMBER(G268)))),"Enter start and end",IF(AND(OR(E268="Partial Vacation",E268="Partial Sick Leave"),OR(NOT(ISNUMBER(H268)),NOT(ISNUMBER(I268)))),"Enter leave from and to",IF(AND(ISNUMBER(F268),ISNUMBER(G268),G268&lt;=F268),"End is before start",IF(AND(ISNUMBER(H268),ISNUMBER(I268),I268&lt;=H268),"Leave end is before start",IF(AND(ISNUMBER(F268),ISNUMBER(G268),ISNUMBER(H268),ISNUMBER(I268),F268&lt;I268,H268&lt;G268),"Work and leave hours overlap",IF(AND(E268&lt;&gt;"",WEEKDAY(A268)=7),"Saturday - administrator only","")))))))</f>
        <v/>
      </c>
      <c r="T268" s="36" t="n">
        <f aca="false">MONTH(A268)</f>
        <v>9</v>
      </c>
      <c r="U268" s="37" t="b">
        <f aca="false">OR(C268="Workday",C268="Eve")</f>
        <v>0</v>
      </c>
      <c r="V268" s="34" t="n">
        <f aca="false">IF(C268="Eve",Settings!$B$8,Settings!$B$7)</f>
        <v>0.6875</v>
      </c>
      <c r="W268" s="14" t="n">
        <f aca="false">IF(U268,(V268-Settings!$B$6)*24,0)</f>
        <v>0</v>
      </c>
    </row>
    <row r="269" customFormat="false" ht="15" hidden="false" customHeight="false" outlineLevel="0" collapsed="false">
      <c r="A269" s="29" t="n">
        <v>46285</v>
      </c>
      <c r="B269" s="30" t="str">
        <f aca="false">CHOOSE(WEEKDAY(A269),"Sun","Mon","Tue","Wed","Thu","Fri","Sat")</f>
        <v>Sun</v>
      </c>
      <c r="C269" s="30" t="str">
        <f aca="false">IF(IFERROR(INDEX(Holidays!$D$5:$D$60,MATCH(A269,Holidays!$A$5:$A$60,0)),"")="Holiday","Holiday",IF(WEEKDAY(A269)&gt;=6,"Weekend",IF(IFERROR(INDEX(Holidays!$D$5:$D$60,MATCH(A269,Holidays!$A$5:$A$60,0)),"")="Eve","Eve","Workday")))</f>
        <v>Eve</v>
      </c>
      <c r="D269" s="18" t="str">
        <f aca="false">IFERROR(INDEX(Holidays!$C$5:$C$60,MATCH(A269,Holidays!$A$5:$A$60,0)),"")</f>
        <v>Erev Yom Kippur</v>
      </c>
      <c r="E269" s="31"/>
      <c r="F269" s="32"/>
      <c r="G269" s="32"/>
      <c r="H269" s="32"/>
      <c r="I269" s="32"/>
      <c r="J269" s="31"/>
      <c r="K269" s="33" t="str">
        <f aca="false">IF(E269&lt;&gt;"",E269,IF(U269,"Present",IF(C269="Holiday","Holiday","Weekend")))</f>
        <v>Present</v>
      </c>
      <c r="L269" s="34" t="n">
        <f aca="false">IF(OR(K269="Present",K269="Manual Work",K269="Partial Vacation",K269="Partial Sick Leave"),IF(ISNUMBER(F269),F269,IF(AND(K269="Present",U269),Settings!$B$6,"")),"")</f>
        <v>0.333333333333333</v>
      </c>
      <c r="M269" s="34" t="n">
        <f aca="false">IF(OR(K269="Present",K269="Manual Work",K269="Partial Vacation",K269="Partial Sick Leave"),IF(ISNUMBER(G269),G269,IF(AND(K269="Present",U269),V269,"")),"")</f>
        <v>0.583333333333333</v>
      </c>
      <c r="N269" s="14" t="n">
        <f aca="false">IF(AND(ISNUMBER(L269),ISNUMBER(M269)),MAX(0,(M269-L269)*24),0)</f>
        <v>6</v>
      </c>
      <c r="O269" s="14" t="n">
        <f aca="false">IF(NOT(U269),0,IF(K269="Vacation",IF(C269="Eve",Settings!$B$9*Settings!$B$11,W269),IF(K269="Partial Vacation",IF(AND(ISNUMBER(H269),ISNUMBER(I269)),MAX(0,(I269-H269)*24),0),0)))</f>
        <v>0</v>
      </c>
      <c r="P269" s="14" t="n">
        <f aca="false">IF(NOT(U269),0,IF(K269="Sick Leave",W269,IF(K269="Partial Sick Leave",IF(AND(ISNUMBER(H269),ISNUMBER(I269)),MAX(0,(I269-H269)*24),0),0)))</f>
        <v>0</v>
      </c>
      <c r="Q269" s="14" t="n">
        <f aca="false">IF(NOT(U269),0,IF(K269="Vacation",IF(C269="Eve",Settings!$B$11,1),IF(K269="Partial Vacation",O269/Settings!$B$9,0)))</f>
        <v>0</v>
      </c>
      <c r="R269" s="14" t="n">
        <f aca="false">IF(NOT(U269),0,IF(K269="Sick Leave",1,IF(K269="Partial Sick Leave",P269/Settings!$B$9,0)))</f>
        <v>0</v>
      </c>
      <c r="S269" s="35" t="str">
        <f aca="false">IF(AND(OR(E269="Vacation",E269="Sick Leave",E269="Partial Vacation",E269="Partial Sick Leave"),NOT(U269)),"Leave not allowed on this day",IF(AND(E269="Manual Work",OR(NOT(ISNUMBER(F269)),NOT(ISNUMBER(G269)))),"Enter start and end",IF(AND(OR(E269="Partial Vacation",E269="Partial Sick Leave"),OR(NOT(ISNUMBER(H269)),NOT(ISNUMBER(I269)))),"Enter leave from and to",IF(AND(ISNUMBER(F269),ISNUMBER(G269),G269&lt;=F269),"End is before start",IF(AND(ISNUMBER(H269),ISNUMBER(I269),I269&lt;=H269),"Leave end is before start",IF(AND(ISNUMBER(F269),ISNUMBER(G269),ISNUMBER(H269),ISNUMBER(I269),F269&lt;I269,H269&lt;G269),"Work and leave hours overlap",IF(AND(E269&lt;&gt;"",WEEKDAY(A269)=7),"Saturday - administrator only","")))))))</f>
        <v/>
      </c>
      <c r="T269" s="36" t="n">
        <f aca="false">MONTH(A269)</f>
        <v>9</v>
      </c>
      <c r="U269" s="37" t="b">
        <f aca="false">OR(C269="Workday",C269="Eve")</f>
        <v>1</v>
      </c>
      <c r="V269" s="34" t="n">
        <f aca="false">IF(C269="Eve",Settings!$B$8,Settings!$B$7)</f>
        <v>0.583333333333333</v>
      </c>
      <c r="W269" s="14" t="n">
        <f aca="false">IF(U269,(V269-Settings!$B$6)*24,0)</f>
        <v>6</v>
      </c>
    </row>
    <row r="270" customFormat="false" ht="15" hidden="false" customHeight="false" outlineLevel="0" collapsed="false">
      <c r="A270" s="29" t="n">
        <v>46286</v>
      </c>
      <c r="B270" s="30" t="str">
        <f aca="false">CHOOSE(WEEKDAY(A270),"Sun","Mon","Tue","Wed","Thu","Fri","Sat")</f>
        <v>Mon</v>
      </c>
      <c r="C270" s="30" t="str">
        <f aca="false">IF(IFERROR(INDEX(Holidays!$D$5:$D$60,MATCH(A270,Holidays!$A$5:$A$60,0)),"")="Holiday","Holiday",IF(WEEKDAY(A270)&gt;=6,"Weekend",IF(IFERROR(INDEX(Holidays!$D$5:$D$60,MATCH(A270,Holidays!$A$5:$A$60,0)),"")="Eve","Eve","Workday")))</f>
        <v>Holiday</v>
      </c>
      <c r="D270" s="18" t="str">
        <f aca="false">IFERROR(INDEX(Holidays!$C$5:$C$60,MATCH(A270,Holidays!$A$5:$A$60,0)),"")</f>
        <v>Yom Kippur</v>
      </c>
      <c r="E270" s="31"/>
      <c r="F270" s="32"/>
      <c r="G270" s="32"/>
      <c r="H270" s="32"/>
      <c r="I270" s="32"/>
      <c r="J270" s="31"/>
      <c r="K270" s="33" t="str">
        <f aca="false">IF(E270&lt;&gt;"",E270,IF(U270,"Present",IF(C270="Holiday","Holiday","Weekend")))</f>
        <v>Holiday</v>
      </c>
      <c r="L270" s="34" t="str">
        <f aca="false">IF(OR(K270="Present",K270="Manual Work",K270="Partial Vacation",K270="Partial Sick Leave"),IF(ISNUMBER(F270),F270,IF(AND(K270="Present",U270),Settings!$B$6,"")),"")</f>
        <v/>
      </c>
      <c r="M270" s="34" t="str">
        <f aca="false">IF(OR(K270="Present",K270="Manual Work",K270="Partial Vacation",K270="Partial Sick Leave"),IF(ISNUMBER(G270),G270,IF(AND(K270="Present",U270),V270,"")),"")</f>
        <v/>
      </c>
      <c r="N270" s="14" t="n">
        <f aca="false">IF(AND(ISNUMBER(L270),ISNUMBER(M270)),MAX(0,(M270-L270)*24),0)</f>
        <v>0</v>
      </c>
      <c r="O270" s="14" t="n">
        <f aca="false">IF(NOT(U270),0,IF(K270="Vacation",IF(C270="Eve",Settings!$B$9*Settings!$B$11,W270),IF(K270="Partial Vacation",IF(AND(ISNUMBER(H270),ISNUMBER(I270)),MAX(0,(I270-H270)*24),0),0)))</f>
        <v>0</v>
      </c>
      <c r="P270" s="14" t="n">
        <f aca="false">IF(NOT(U270),0,IF(K270="Sick Leave",W270,IF(K270="Partial Sick Leave",IF(AND(ISNUMBER(H270),ISNUMBER(I270)),MAX(0,(I270-H270)*24),0),0)))</f>
        <v>0</v>
      </c>
      <c r="Q270" s="14" t="n">
        <f aca="false">IF(NOT(U270),0,IF(K270="Vacation",IF(C270="Eve",Settings!$B$11,1),IF(K270="Partial Vacation",O270/Settings!$B$9,0)))</f>
        <v>0</v>
      </c>
      <c r="R270" s="14" t="n">
        <f aca="false">IF(NOT(U270),0,IF(K270="Sick Leave",1,IF(K270="Partial Sick Leave",P270/Settings!$B$9,0)))</f>
        <v>0</v>
      </c>
      <c r="S270" s="35" t="str">
        <f aca="false">IF(AND(OR(E270="Vacation",E270="Sick Leave",E270="Partial Vacation",E270="Partial Sick Leave"),NOT(U270)),"Leave not allowed on this day",IF(AND(E270="Manual Work",OR(NOT(ISNUMBER(F270)),NOT(ISNUMBER(G270)))),"Enter start and end",IF(AND(OR(E270="Partial Vacation",E270="Partial Sick Leave"),OR(NOT(ISNUMBER(H270)),NOT(ISNUMBER(I270)))),"Enter leave from and to",IF(AND(ISNUMBER(F270),ISNUMBER(G270),G270&lt;=F270),"End is before start",IF(AND(ISNUMBER(H270),ISNUMBER(I270),I270&lt;=H270),"Leave end is before start",IF(AND(ISNUMBER(F270),ISNUMBER(G270),ISNUMBER(H270),ISNUMBER(I270),F270&lt;I270,H270&lt;G270),"Work and leave hours overlap",IF(AND(E270&lt;&gt;"",WEEKDAY(A270)=7),"Saturday - administrator only","")))))))</f>
        <v/>
      </c>
      <c r="T270" s="36" t="n">
        <f aca="false">MONTH(A270)</f>
        <v>9</v>
      </c>
      <c r="U270" s="37" t="b">
        <f aca="false">OR(C270="Workday",C270="Eve")</f>
        <v>0</v>
      </c>
      <c r="V270" s="34" t="n">
        <f aca="false">IF(C270="Eve",Settings!$B$8,Settings!$B$7)</f>
        <v>0.6875</v>
      </c>
      <c r="W270" s="14" t="n">
        <f aca="false">IF(U270,(V270-Settings!$B$6)*24,0)</f>
        <v>0</v>
      </c>
    </row>
    <row r="271" customFormat="false" ht="15" hidden="false" customHeight="false" outlineLevel="0" collapsed="false">
      <c r="A271" s="29" t="n">
        <v>46287</v>
      </c>
      <c r="B271" s="30" t="str">
        <f aca="false">CHOOSE(WEEKDAY(A271),"Sun","Mon","Tue","Wed","Thu","Fri","Sat")</f>
        <v>Tue</v>
      </c>
      <c r="C271" s="30" t="str">
        <f aca="false">IF(IFERROR(INDEX(Holidays!$D$5:$D$60,MATCH(A271,Holidays!$A$5:$A$60,0)),"")="Holiday","Holiday",IF(WEEKDAY(A271)&gt;=6,"Weekend",IF(IFERROR(INDEX(Holidays!$D$5:$D$60,MATCH(A271,Holidays!$A$5:$A$60,0)),"")="Eve","Eve","Workday")))</f>
        <v>Workday</v>
      </c>
      <c r="D271" s="18" t="str">
        <f aca="false">IFERROR(INDEX(Holidays!$C$5:$C$60,MATCH(A271,Holidays!$A$5:$A$60,0)),"")</f>
        <v/>
      </c>
      <c r="E271" s="31"/>
      <c r="F271" s="32"/>
      <c r="G271" s="32"/>
      <c r="H271" s="32"/>
      <c r="I271" s="32"/>
      <c r="J271" s="31"/>
      <c r="K271" s="33" t="str">
        <f aca="false">IF(E271&lt;&gt;"",E271,IF(U271,"Present",IF(C271="Holiday","Holiday","Weekend")))</f>
        <v>Present</v>
      </c>
      <c r="L271" s="34" t="n">
        <f aca="false">IF(OR(K271="Present",K271="Manual Work",K271="Partial Vacation",K271="Partial Sick Leave"),IF(ISNUMBER(F271),F271,IF(AND(K271="Present",U271),Settings!$B$6,"")),"")</f>
        <v>0.333333333333333</v>
      </c>
      <c r="M271" s="34" t="n">
        <f aca="false">IF(OR(K271="Present",K271="Manual Work",K271="Partial Vacation",K271="Partial Sick Leave"),IF(ISNUMBER(G271),G271,IF(AND(K271="Present",U271),V271,"")),"")</f>
        <v>0.6875</v>
      </c>
      <c r="N271" s="14" t="n">
        <f aca="false">IF(AND(ISNUMBER(L271),ISNUMBER(M271)),MAX(0,(M271-L271)*24),0)</f>
        <v>8.5</v>
      </c>
      <c r="O271" s="14" t="n">
        <f aca="false">IF(NOT(U271),0,IF(K271="Vacation",IF(C271="Eve",Settings!$B$9*Settings!$B$11,W271),IF(K271="Partial Vacation",IF(AND(ISNUMBER(H271),ISNUMBER(I271)),MAX(0,(I271-H271)*24),0),0)))</f>
        <v>0</v>
      </c>
      <c r="P271" s="14" t="n">
        <f aca="false">IF(NOT(U271),0,IF(K271="Sick Leave",W271,IF(K271="Partial Sick Leave",IF(AND(ISNUMBER(H271),ISNUMBER(I271)),MAX(0,(I271-H271)*24),0),0)))</f>
        <v>0</v>
      </c>
      <c r="Q271" s="14" t="n">
        <f aca="false">IF(NOT(U271),0,IF(K271="Vacation",IF(C271="Eve",Settings!$B$11,1),IF(K271="Partial Vacation",O271/Settings!$B$9,0)))</f>
        <v>0</v>
      </c>
      <c r="R271" s="14" t="n">
        <f aca="false">IF(NOT(U271),0,IF(K271="Sick Leave",1,IF(K271="Partial Sick Leave",P271/Settings!$B$9,0)))</f>
        <v>0</v>
      </c>
      <c r="S271" s="35" t="str">
        <f aca="false">IF(AND(OR(E271="Vacation",E271="Sick Leave",E271="Partial Vacation",E271="Partial Sick Leave"),NOT(U271)),"Leave not allowed on this day",IF(AND(E271="Manual Work",OR(NOT(ISNUMBER(F271)),NOT(ISNUMBER(G271)))),"Enter start and end",IF(AND(OR(E271="Partial Vacation",E271="Partial Sick Leave"),OR(NOT(ISNUMBER(H271)),NOT(ISNUMBER(I271)))),"Enter leave from and to",IF(AND(ISNUMBER(F271),ISNUMBER(G271),G271&lt;=F271),"End is before start",IF(AND(ISNUMBER(H271),ISNUMBER(I271),I271&lt;=H271),"Leave end is before start",IF(AND(ISNUMBER(F271),ISNUMBER(G271),ISNUMBER(H271),ISNUMBER(I271),F271&lt;I271,H271&lt;G271),"Work and leave hours overlap",IF(AND(E271&lt;&gt;"",WEEKDAY(A271)=7),"Saturday - administrator only","")))))))</f>
        <v/>
      </c>
      <c r="T271" s="36" t="n">
        <f aca="false">MONTH(A271)</f>
        <v>9</v>
      </c>
      <c r="U271" s="37" t="b">
        <f aca="false">OR(C271="Workday",C271="Eve")</f>
        <v>1</v>
      </c>
      <c r="V271" s="34" t="n">
        <f aca="false">IF(C271="Eve",Settings!$B$8,Settings!$B$7)</f>
        <v>0.6875</v>
      </c>
      <c r="W271" s="14" t="n">
        <f aca="false">IF(U271,(V271-Settings!$B$6)*24,0)</f>
        <v>8.5</v>
      </c>
    </row>
    <row r="272" customFormat="false" ht="15" hidden="false" customHeight="false" outlineLevel="0" collapsed="false">
      <c r="A272" s="29" t="n">
        <v>46288</v>
      </c>
      <c r="B272" s="30" t="str">
        <f aca="false">CHOOSE(WEEKDAY(A272),"Sun","Mon","Tue","Wed","Thu","Fri","Sat")</f>
        <v>Wed</v>
      </c>
      <c r="C272" s="30" t="str">
        <f aca="false">IF(IFERROR(INDEX(Holidays!$D$5:$D$60,MATCH(A272,Holidays!$A$5:$A$60,0)),"")="Holiday","Holiday",IF(WEEKDAY(A272)&gt;=6,"Weekend",IF(IFERROR(INDEX(Holidays!$D$5:$D$60,MATCH(A272,Holidays!$A$5:$A$60,0)),"")="Eve","Eve","Workday")))</f>
        <v>Workday</v>
      </c>
      <c r="D272" s="18" t="str">
        <f aca="false">IFERROR(INDEX(Holidays!$C$5:$C$60,MATCH(A272,Holidays!$A$5:$A$60,0)),"")</f>
        <v/>
      </c>
      <c r="E272" s="31"/>
      <c r="F272" s="32"/>
      <c r="G272" s="32"/>
      <c r="H272" s="32"/>
      <c r="I272" s="32"/>
      <c r="J272" s="31"/>
      <c r="K272" s="33" t="str">
        <f aca="false">IF(E272&lt;&gt;"",E272,IF(U272,"Present",IF(C272="Holiday","Holiday","Weekend")))</f>
        <v>Present</v>
      </c>
      <c r="L272" s="34" t="n">
        <f aca="false">IF(OR(K272="Present",K272="Manual Work",K272="Partial Vacation",K272="Partial Sick Leave"),IF(ISNUMBER(F272),F272,IF(AND(K272="Present",U272),Settings!$B$6,"")),"")</f>
        <v>0.333333333333333</v>
      </c>
      <c r="M272" s="34" t="n">
        <f aca="false">IF(OR(K272="Present",K272="Manual Work",K272="Partial Vacation",K272="Partial Sick Leave"),IF(ISNUMBER(G272),G272,IF(AND(K272="Present",U272),V272,"")),"")</f>
        <v>0.6875</v>
      </c>
      <c r="N272" s="14" t="n">
        <f aca="false">IF(AND(ISNUMBER(L272),ISNUMBER(M272)),MAX(0,(M272-L272)*24),0)</f>
        <v>8.5</v>
      </c>
      <c r="O272" s="14" t="n">
        <f aca="false">IF(NOT(U272),0,IF(K272="Vacation",IF(C272="Eve",Settings!$B$9*Settings!$B$11,W272),IF(K272="Partial Vacation",IF(AND(ISNUMBER(H272),ISNUMBER(I272)),MAX(0,(I272-H272)*24),0),0)))</f>
        <v>0</v>
      </c>
      <c r="P272" s="14" t="n">
        <f aca="false">IF(NOT(U272),0,IF(K272="Sick Leave",W272,IF(K272="Partial Sick Leave",IF(AND(ISNUMBER(H272),ISNUMBER(I272)),MAX(0,(I272-H272)*24),0),0)))</f>
        <v>0</v>
      </c>
      <c r="Q272" s="14" t="n">
        <f aca="false">IF(NOT(U272),0,IF(K272="Vacation",IF(C272="Eve",Settings!$B$11,1),IF(K272="Partial Vacation",O272/Settings!$B$9,0)))</f>
        <v>0</v>
      </c>
      <c r="R272" s="14" t="n">
        <f aca="false">IF(NOT(U272),0,IF(K272="Sick Leave",1,IF(K272="Partial Sick Leave",P272/Settings!$B$9,0)))</f>
        <v>0</v>
      </c>
      <c r="S272" s="35" t="str">
        <f aca="false">IF(AND(OR(E272="Vacation",E272="Sick Leave",E272="Partial Vacation",E272="Partial Sick Leave"),NOT(U272)),"Leave not allowed on this day",IF(AND(E272="Manual Work",OR(NOT(ISNUMBER(F272)),NOT(ISNUMBER(G272)))),"Enter start and end",IF(AND(OR(E272="Partial Vacation",E272="Partial Sick Leave"),OR(NOT(ISNUMBER(H272)),NOT(ISNUMBER(I272)))),"Enter leave from and to",IF(AND(ISNUMBER(F272),ISNUMBER(G272),G272&lt;=F272),"End is before start",IF(AND(ISNUMBER(H272),ISNUMBER(I272),I272&lt;=H272),"Leave end is before start",IF(AND(ISNUMBER(F272),ISNUMBER(G272),ISNUMBER(H272),ISNUMBER(I272),F272&lt;I272,H272&lt;G272),"Work and leave hours overlap",IF(AND(E272&lt;&gt;"",WEEKDAY(A272)=7),"Saturday - administrator only","")))))))</f>
        <v/>
      </c>
      <c r="T272" s="36" t="n">
        <f aca="false">MONTH(A272)</f>
        <v>9</v>
      </c>
      <c r="U272" s="37" t="b">
        <f aca="false">OR(C272="Workday",C272="Eve")</f>
        <v>1</v>
      </c>
      <c r="V272" s="34" t="n">
        <f aca="false">IF(C272="Eve",Settings!$B$8,Settings!$B$7)</f>
        <v>0.6875</v>
      </c>
      <c r="W272" s="14" t="n">
        <f aca="false">IF(U272,(V272-Settings!$B$6)*24,0)</f>
        <v>8.5</v>
      </c>
    </row>
    <row r="273" customFormat="false" ht="15" hidden="false" customHeight="false" outlineLevel="0" collapsed="false">
      <c r="A273" s="29" t="n">
        <v>46289</v>
      </c>
      <c r="B273" s="30" t="str">
        <f aca="false">CHOOSE(WEEKDAY(A273),"Sun","Mon","Tue","Wed","Thu","Fri","Sat")</f>
        <v>Thu</v>
      </c>
      <c r="C273" s="30" t="str">
        <f aca="false">IF(IFERROR(INDEX(Holidays!$D$5:$D$60,MATCH(A273,Holidays!$A$5:$A$60,0)),"")="Holiday","Holiday",IF(WEEKDAY(A273)&gt;=6,"Weekend",IF(IFERROR(INDEX(Holidays!$D$5:$D$60,MATCH(A273,Holidays!$A$5:$A$60,0)),"")="Eve","Eve","Workday")))</f>
        <v>Workday</v>
      </c>
      <c r="D273" s="18" t="str">
        <f aca="false">IFERROR(INDEX(Holidays!$C$5:$C$60,MATCH(A273,Holidays!$A$5:$A$60,0)),"")</f>
        <v/>
      </c>
      <c r="E273" s="31"/>
      <c r="F273" s="32"/>
      <c r="G273" s="32"/>
      <c r="H273" s="32"/>
      <c r="I273" s="32"/>
      <c r="J273" s="31"/>
      <c r="K273" s="33" t="str">
        <f aca="false">IF(E273&lt;&gt;"",E273,IF(U273,"Present",IF(C273="Holiday","Holiday","Weekend")))</f>
        <v>Present</v>
      </c>
      <c r="L273" s="34" t="n">
        <f aca="false">IF(OR(K273="Present",K273="Manual Work",K273="Partial Vacation",K273="Partial Sick Leave"),IF(ISNUMBER(F273),F273,IF(AND(K273="Present",U273),Settings!$B$6,"")),"")</f>
        <v>0.333333333333333</v>
      </c>
      <c r="M273" s="34" t="n">
        <f aca="false">IF(OR(K273="Present",K273="Manual Work",K273="Partial Vacation",K273="Partial Sick Leave"),IF(ISNUMBER(G273),G273,IF(AND(K273="Present",U273),V273,"")),"")</f>
        <v>0.6875</v>
      </c>
      <c r="N273" s="14" t="n">
        <f aca="false">IF(AND(ISNUMBER(L273),ISNUMBER(M273)),MAX(0,(M273-L273)*24),0)</f>
        <v>8.5</v>
      </c>
      <c r="O273" s="14" t="n">
        <f aca="false">IF(NOT(U273),0,IF(K273="Vacation",IF(C273="Eve",Settings!$B$9*Settings!$B$11,W273),IF(K273="Partial Vacation",IF(AND(ISNUMBER(H273),ISNUMBER(I273)),MAX(0,(I273-H273)*24),0),0)))</f>
        <v>0</v>
      </c>
      <c r="P273" s="14" t="n">
        <f aca="false">IF(NOT(U273),0,IF(K273="Sick Leave",W273,IF(K273="Partial Sick Leave",IF(AND(ISNUMBER(H273),ISNUMBER(I273)),MAX(0,(I273-H273)*24),0),0)))</f>
        <v>0</v>
      </c>
      <c r="Q273" s="14" t="n">
        <f aca="false">IF(NOT(U273),0,IF(K273="Vacation",IF(C273="Eve",Settings!$B$11,1),IF(K273="Partial Vacation",O273/Settings!$B$9,0)))</f>
        <v>0</v>
      </c>
      <c r="R273" s="14" t="n">
        <f aca="false">IF(NOT(U273),0,IF(K273="Sick Leave",1,IF(K273="Partial Sick Leave",P273/Settings!$B$9,0)))</f>
        <v>0</v>
      </c>
      <c r="S273" s="35" t="str">
        <f aca="false">IF(AND(OR(E273="Vacation",E273="Sick Leave",E273="Partial Vacation",E273="Partial Sick Leave"),NOT(U273)),"Leave not allowed on this day",IF(AND(E273="Manual Work",OR(NOT(ISNUMBER(F273)),NOT(ISNUMBER(G273)))),"Enter start and end",IF(AND(OR(E273="Partial Vacation",E273="Partial Sick Leave"),OR(NOT(ISNUMBER(H273)),NOT(ISNUMBER(I273)))),"Enter leave from and to",IF(AND(ISNUMBER(F273),ISNUMBER(G273),G273&lt;=F273),"End is before start",IF(AND(ISNUMBER(H273),ISNUMBER(I273),I273&lt;=H273),"Leave end is before start",IF(AND(ISNUMBER(F273),ISNUMBER(G273),ISNUMBER(H273),ISNUMBER(I273),F273&lt;I273,H273&lt;G273),"Work and leave hours overlap",IF(AND(E273&lt;&gt;"",WEEKDAY(A273)=7),"Saturday - administrator only","")))))))</f>
        <v/>
      </c>
      <c r="T273" s="36" t="n">
        <f aca="false">MONTH(A273)</f>
        <v>9</v>
      </c>
      <c r="U273" s="37" t="b">
        <f aca="false">OR(C273="Workday",C273="Eve")</f>
        <v>1</v>
      </c>
      <c r="V273" s="34" t="n">
        <f aca="false">IF(C273="Eve",Settings!$B$8,Settings!$B$7)</f>
        <v>0.6875</v>
      </c>
      <c r="W273" s="14" t="n">
        <f aca="false">IF(U273,(V273-Settings!$B$6)*24,0)</f>
        <v>8.5</v>
      </c>
    </row>
    <row r="274" customFormat="false" ht="15" hidden="false" customHeight="false" outlineLevel="0" collapsed="false">
      <c r="A274" s="29" t="n">
        <v>46290</v>
      </c>
      <c r="B274" s="30" t="str">
        <f aca="false">CHOOSE(WEEKDAY(A274),"Sun","Mon","Tue","Wed","Thu","Fri","Sat")</f>
        <v>Fri</v>
      </c>
      <c r="C274" s="30" t="str">
        <f aca="false">IF(IFERROR(INDEX(Holidays!$D$5:$D$60,MATCH(A274,Holidays!$A$5:$A$60,0)),"")="Holiday","Holiday",IF(WEEKDAY(A274)&gt;=6,"Weekend",IF(IFERROR(INDEX(Holidays!$D$5:$D$60,MATCH(A274,Holidays!$A$5:$A$60,0)),"")="Eve","Eve","Workday")))</f>
        <v>Weekend</v>
      </c>
      <c r="D274" s="18" t="str">
        <f aca="false">IFERROR(INDEX(Holidays!$C$5:$C$60,MATCH(A274,Holidays!$A$5:$A$60,0)),"")</f>
        <v>Erev Sukkot</v>
      </c>
      <c r="E274" s="31"/>
      <c r="F274" s="32"/>
      <c r="G274" s="32"/>
      <c r="H274" s="32"/>
      <c r="I274" s="32"/>
      <c r="J274" s="31"/>
      <c r="K274" s="33" t="str">
        <f aca="false">IF(E274&lt;&gt;"",E274,IF(U274,"Present",IF(C274="Holiday","Holiday","Weekend")))</f>
        <v>Weekend</v>
      </c>
      <c r="L274" s="34" t="str">
        <f aca="false">IF(OR(K274="Present",K274="Manual Work",K274="Partial Vacation",K274="Partial Sick Leave"),IF(ISNUMBER(F274),F274,IF(AND(K274="Present",U274),Settings!$B$6,"")),"")</f>
        <v/>
      </c>
      <c r="M274" s="34" t="str">
        <f aca="false">IF(OR(K274="Present",K274="Manual Work",K274="Partial Vacation",K274="Partial Sick Leave"),IF(ISNUMBER(G274),G274,IF(AND(K274="Present",U274),V274,"")),"")</f>
        <v/>
      </c>
      <c r="N274" s="14" t="n">
        <f aca="false">IF(AND(ISNUMBER(L274),ISNUMBER(M274)),MAX(0,(M274-L274)*24),0)</f>
        <v>0</v>
      </c>
      <c r="O274" s="14" t="n">
        <f aca="false">IF(NOT(U274),0,IF(K274="Vacation",IF(C274="Eve",Settings!$B$9*Settings!$B$11,W274),IF(K274="Partial Vacation",IF(AND(ISNUMBER(H274),ISNUMBER(I274)),MAX(0,(I274-H274)*24),0),0)))</f>
        <v>0</v>
      </c>
      <c r="P274" s="14" t="n">
        <f aca="false">IF(NOT(U274),0,IF(K274="Sick Leave",W274,IF(K274="Partial Sick Leave",IF(AND(ISNUMBER(H274),ISNUMBER(I274)),MAX(0,(I274-H274)*24),0),0)))</f>
        <v>0</v>
      </c>
      <c r="Q274" s="14" t="n">
        <f aca="false">IF(NOT(U274),0,IF(K274="Vacation",IF(C274="Eve",Settings!$B$11,1),IF(K274="Partial Vacation",O274/Settings!$B$9,0)))</f>
        <v>0</v>
      </c>
      <c r="R274" s="14" t="n">
        <f aca="false">IF(NOT(U274),0,IF(K274="Sick Leave",1,IF(K274="Partial Sick Leave",P274/Settings!$B$9,0)))</f>
        <v>0</v>
      </c>
      <c r="S274" s="35" t="str">
        <f aca="false">IF(AND(OR(E274="Vacation",E274="Sick Leave",E274="Partial Vacation",E274="Partial Sick Leave"),NOT(U274)),"Leave not allowed on this day",IF(AND(E274="Manual Work",OR(NOT(ISNUMBER(F274)),NOT(ISNUMBER(G274)))),"Enter start and end",IF(AND(OR(E274="Partial Vacation",E274="Partial Sick Leave"),OR(NOT(ISNUMBER(H274)),NOT(ISNUMBER(I274)))),"Enter leave from and to",IF(AND(ISNUMBER(F274),ISNUMBER(G274),G274&lt;=F274),"End is before start",IF(AND(ISNUMBER(H274),ISNUMBER(I274),I274&lt;=H274),"Leave end is before start",IF(AND(ISNUMBER(F274),ISNUMBER(G274),ISNUMBER(H274),ISNUMBER(I274),F274&lt;I274,H274&lt;G274),"Work and leave hours overlap",IF(AND(E274&lt;&gt;"",WEEKDAY(A274)=7),"Saturday - administrator only","")))))))</f>
        <v/>
      </c>
      <c r="T274" s="36" t="n">
        <f aca="false">MONTH(A274)</f>
        <v>9</v>
      </c>
      <c r="U274" s="37" t="b">
        <f aca="false">OR(C274="Workday",C274="Eve")</f>
        <v>0</v>
      </c>
      <c r="V274" s="34" t="n">
        <f aca="false">IF(C274="Eve",Settings!$B$8,Settings!$B$7)</f>
        <v>0.6875</v>
      </c>
      <c r="W274" s="14" t="n">
        <f aca="false">IF(U274,(V274-Settings!$B$6)*24,0)</f>
        <v>0</v>
      </c>
    </row>
    <row r="275" customFormat="false" ht="15" hidden="false" customHeight="false" outlineLevel="0" collapsed="false">
      <c r="A275" s="29" t="n">
        <v>46291</v>
      </c>
      <c r="B275" s="30" t="str">
        <f aca="false">CHOOSE(WEEKDAY(A275),"Sun","Mon","Tue","Wed","Thu","Fri","Sat")</f>
        <v>Sat</v>
      </c>
      <c r="C275" s="30" t="str">
        <f aca="false">IF(IFERROR(INDEX(Holidays!$D$5:$D$60,MATCH(A275,Holidays!$A$5:$A$60,0)),"")="Holiday","Holiday",IF(WEEKDAY(A275)&gt;=6,"Weekend",IF(IFERROR(INDEX(Holidays!$D$5:$D$60,MATCH(A275,Holidays!$A$5:$A$60,0)),"")="Eve","Eve","Workday")))</f>
        <v>Holiday</v>
      </c>
      <c r="D275" s="18" t="str">
        <f aca="false">IFERROR(INDEX(Holidays!$C$5:$C$60,MATCH(A275,Holidays!$A$5:$A$60,0)),"")</f>
        <v>Sukkot</v>
      </c>
      <c r="E275" s="31"/>
      <c r="F275" s="32"/>
      <c r="G275" s="32"/>
      <c r="H275" s="32"/>
      <c r="I275" s="32"/>
      <c r="J275" s="31"/>
      <c r="K275" s="33" t="str">
        <f aca="false">IF(E275&lt;&gt;"",E275,IF(U275,"Present",IF(C275="Holiday","Holiday","Weekend")))</f>
        <v>Holiday</v>
      </c>
      <c r="L275" s="34" t="str">
        <f aca="false">IF(OR(K275="Present",K275="Manual Work",K275="Partial Vacation",K275="Partial Sick Leave"),IF(ISNUMBER(F275),F275,IF(AND(K275="Present",U275),Settings!$B$6,"")),"")</f>
        <v/>
      </c>
      <c r="M275" s="34" t="str">
        <f aca="false">IF(OR(K275="Present",K275="Manual Work",K275="Partial Vacation",K275="Partial Sick Leave"),IF(ISNUMBER(G275),G275,IF(AND(K275="Present",U275),V275,"")),"")</f>
        <v/>
      </c>
      <c r="N275" s="14" t="n">
        <f aca="false">IF(AND(ISNUMBER(L275),ISNUMBER(M275)),MAX(0,(M275-L275)*24),0)</f>
        <v>0</v>
      </c>
      <c r="O275" s="14" t="n">
        <f aca="false">IF(NOT(U275),0,IF(K275="Vacation",IF(C275="Eve",Settings!$B$9*Settings!$B$11,W275),IF(K275="Partial Vacation",IF(AND(ISNUMBER(H275),ISNUMBER(I275)),MAX(0,(I275-H275)*24),0),0)))</f>
        <v>0</v>
      </c>
      <c r="P275" s="14" t="n">
        <f aca="false">IF(NOT(U275),0,IF(K275="Sick Leave",W275,IF(K275="Partial Sick Leave",IF(AND(ISNUMBER(H275),ISNUMBER(I275)),MAX(0,(I275-H275)*24),0),0)))</f>
        <v>0</v>
      </c>
      <c r="Q275" s="14" t="n">
        <f aca="false">IF(NOT(U275),0,IF(K275="Vacation",IF(C275="Eve",Settings!$B$11,1),IF(K275="Partial Vacation",O275/Settings!$B$9,0)))</f>
        <v>0</v>
      </c>
      <c r="R275" s="14" t="n">
        <f aca="false">IF(NOT(U275),0,IF(K275="Sick Leave",1,IF(K275="Partial Sick Leave",P275/Settings!$B$9,0)))</f>
        <v>0</v>
      </c>
      <c r="S275" s="35" t="str">
        <f aca="false">IF(AND(OR(E275="Vacation",E275="Sick Leave",E275="Partial Vacation",E275="Partial Sick Leave"),NOT(U275)),"Leave not allowed on this day",IF(AND(E275="Manual Work",OR(NOT(ISNUMBER(F275)),NOT(ISNUMBER(G275)))),"Enter start and end",IF(AND(OR(E275="Partial Vacation",E275="Partial Sick Leave"),OR(NOT(ISNUMBER(H275)),NOT(ISNUMBER(I275)))),"Enter leave from and to",IF(AND(ISNUMBER(F275),ISNUMBER(G275),G275&lt;=F275),"End is before start",IF(AND(ISNUMBER(H275),ISNUMBER(I275),I275&lt;=H275),"Leave end is before start",IF(AND(ISNUMBER(F275),ISNUMBER(G275),ISNUMBER(H275),ISNUMBER(I275),F275&lt;I275,H275&lt;G275),"Work and leave hours overlap",IF(AND(E275&lt;&gt;"",WEEKDAY(A275)=7),"Saturday - administrator only","")))))))</f>
        <v/>
      </c>
      <c r="T275" s="36" t="n">
        <f aca="false">MONTH(A275)</f>
        <v>9</v>
      </c>
      <c r="U275" s="37" t="b">
        <f aca="false">OR(C275="Workday",C275="Eve")</f>
        <v>0</v>
      </c>
      <c r="V275" s="34" t="n">
        <f aca="false">IF(C275="Eve",Settings!$B$8,Settings!$B$7)</f>
        <v>0.6875</v>
      </c>
      <c r="W275" s="14" t="n">
        <f aca="false">IF(U275,(V275-Settings!$B$6)*24,0)</f>
        <v>0</v>
      </c>
    </row>
    <row r="276" customFormat="false" ht="15" hidden="false" customHeight="false" outlineLevel="0" collapsed="false">
      <c r="A276" s="29" t="n">
        <v>46292</v>
      </c>
      <c r="B276" s="30" t="str">
        <f aca="false">CHOOSE(WEEKDAY(A276),"Sun","Mon","Tue","Wed","Thu","Fri","Sat")</f>
        <v>Sun</v>
      </c>
      <c r="C276" s="30" t="str">
        <f aca="false">IF(IFERROR(INDEX(Holidays!$D$5:$D$60,MATCH(A276,Holidays!$A$5:$A$60,0)),"")="Holiday","Holiday",IF(WEEKDAY(A276)&gt;=6,"Weekend",IF(IFERROR(INDEX(Holidays!$D$5:$D$60,MATCH(A276,Holidays!$A$5:$A$60,0)),"")="Eve","Eve","Workday")))</f>
        <v>Workday</v>
      </c>
      <c r="D276" s="18" t="str">
        <f aca="false">IFERROR(INDEX(Holidays!$C$5:$C$60,MATCH(A276,Holidays!$A$5:$A$60,0)),"")</f>
        <v/>
      </c>
      <c r="E276" s="31"/>
      <c r="F276" s="32"/>
      <c r="G276" s="32"/>
      <c r="H276" s="32"/>
      <c r="I276" s="32"/>
      <c r="J276" s="31"/>
      <c r="K276" s="33" t="str">
        <f aca="false">IF(E276&lt;&gt;"",E276,IF(U276,"Present",IF(C276="Holiday","Holiday","Weekend")))</f>
        <v>Present</v>
      </c>
      <c r="L276" s="34" t="n">
        <f aca="false">IF(OR(K276="Present",K276="Manual Work",K276="Partial Vacation",K276="Partial Sick Leave"),IF(ISNUMBER(F276),F276,IF(AND(K276="Present",U276),Settings!$B$6,"")),"")</f>
        <v>0.333333333333333</v>
      </c>
      <c r="M276" s="34" t="n">
        <f aca="false">IF(OR(K276="Present",K276="Manual Work",K276="Partial Vacation",K276="Partial Sick Leave"),IF(ISNUMBER(G276),G276,IF(AND(K276="Present",U276),V276,"")),"")</f>
        <v>0.6875</v>
      </c>
      <c r="N276" s="14" t="n">
        <f aca="false">IF(AND(ISNUMBER(L276),ISNUMBER(M276)),MAX(0,(M276-L276)*24),0)</f>
        <v>8.5</v>
      </c>
      <c r="O276" s="14" t="n">
        <f aca="false">IF(NOT(U276),0,IF(K276="Vacation",IF(C276="Eve",Settings!$B$9*Settings!$B$11,W276),IF(K276="Partial Vacation",IF(AND(ISNUMBER(H276),ISNUMBER(I276)),MAX(0,(I276-H276)*24),0),0)))</f>
        <v>0</v>
      </c>
      <c r="P276" s="14" t="n">
        <f aca="false">IF(NOT(U276),0,IF(K276="Sick Leave",W276,IF(K276="Partial Sick Leave",IF(AND(ISNUMBER(H276),ISNUMBER(I276)),MAX(0,(I276-H276)*24),0),0)))</f>
        <v>0</v>
      </c>
      <c r="Q276" s="14" t="n">
        <f aca="false">IF(NOT(U276),0,IF(K276="Vacation",IF(C276="Eve",Settings!$B$11,1),IF(K276="Partial Vacation",O276/Settings!$B$9,0)))</f>
        <v>0</v>
      </c>
      <c r="R276" s="14" t="n">
        <f aca="false">IF(NOT(U276),0,IF(K276="Sick Leave",1,IF(K276="Partial Sick Leave",P276/Settings!$B$9,0)))</f>
        <v>0</v>
      </c>
      <c r="S276" s="35" t="str">
        <f aca="false">IF(AND(OR(E276="Vacation",E276="Sick Leave",E276="Partial Vacation",E276="Partial Sick Leave"),NOT(U276)),"Leave not allowed on this day",IF(AND(E276="Manual Work",OR(NOT(ISNUMBER(F276)),NOT(ISNUMBER(G276)))),"Enter start and end",IF(AND(OR(E276="Partial Vacation",E276="Partial Sick Leave"),OR(NOT(ISNUMBER(H276)),NOT(ISNUMBER(I276)))),"Enter leave from and to",IF(AND(ISNUMBER(F276),ISNUMBER(G276),G276&lt;=F276),"End is before start",IF(AND(ISNUMBER(H276),ISNUMBER(I276),I276&lt;=H276),"Leave end is before start",IF(AND(ISNUMBER(F276),ISNUMBER(G276),ISNUMBER(H276),ISNUMBER(I276),F276&lt;I276,H276&lt;G276),"Work and leave hours overlap",IF(AND(E276&lt;&gt;"",WEEKDAY(A276)=7),"Saturday - administrator only","")))))))</f>
        <v/>
      </c>
      <c r="T276" s="36" t="n">
        <f aca="false">MONTH(A276)</f>
        <v>9</v>
      </c>
      <c r="U276" s="37" t="b">
        <f aca="false">OR(C276="Workday",C276="Eve")</f>
        <v>1</v>
      </c>
      <c r="V276" s="34" t="n">
        <f aca="false">IF(C276="Eve",Settings!$B$8,Settings!$B$7)</f>
        <v>0.6875</v>
      </c>
      <c r="W276" s="14" t="n">
        <f aca="false">IF(U276,(V276-Settings!$B$6)*24,0)</f>
        <v>8.5</v>
      </c>
    </row>
    <row r="277" customFormat="false" ht="15" hidden="false" customHeight="false" outlineLevel="0" collapsed="false">
      <c r="A277" s="29" t="n">
        <v>46293</v>
      </c>
      <c r="B277" s="30" t="str">
        <f aca="false">CHOOSE(WEEKDAY(A277),"Sun","Mon","Tue","Wed","Thu","Fri","Sat")</f>
        <v>Mon</v>
      </c>
      <c r="C277" s="30" t="str">
        <f aca="false">IF(IFERROR(INDEX(Holidays!$D$5:$D$60,MATCH(A277,Holidays!$A$5:$A$60,0)),"")="Holiday","Holiday",IF(WEEKDAY(A277)&gt;=6,"Weekend",IF(IFERROR(INDEX(Holidays!$D$5:$D$60,MATCH(A277,Holidays!$A$5:$A$60,0)),"")="Eve","Eve","Workday")))</f>
        <v>Workday</v>
      </c>
      <c r="D277" s="18" t="str">
        <f aca="false">IFERROR(INDEX(Holidays!$C$5:$C$60,MATCH(A277,Holidays!$A$5:$A$60,0)),"")</f>
        <v/>
      </c>
      <c r="E277" s="31"/>
      <c r="F277" s="32"/>
      <c r="G277" s="32"/>
      <c r="H277" s="32"/>
      <c r="I277" s="32"/>
      <c r="J277" s="31"/>
      <c r="K277" s="33" t="str">
        <f aca="false">IF(E277&lt;&gt;"",E277,IF(U277,"Present",IF(C277="Holiday","Holiday","Weekend")))</f>
        <v>Present</v>
      </c>
      <c r="L277" s="34" t="n">
        <f aca="false">IF(OR(K277="Present",K277="Manual Work",K277="Partial Vacation",K277="Partial Sick Leave"),IF(ISNUMBER(F277),F277,IF(AND(K277="Present",U277),Settings!$B$6,"")),"")</f>
        <v>0.333333333333333</v>
      </c>
      <c r="M277" s="34" t="n">
        <f aca="false">IF(OR(K277="Present",K277="Manual Work",K277="Partial Vacation",K277="Partial Sick Leave"),IF(ISNUMBER(G277),G277,IF(AND(K277="Present",U277),V277,"")),"")</f>
        <v>0.6875</v>
      </c>
      <c r="N277" s="14" t="n">
        <f aca="false">IF(AND(ISNUMBER(L277),ISNUMBER(M277)),MAX(0,(M277-L277)*24),0)</f>
        <v>8.5</v>
      </c>
      <c r="O277" s="14" t="n">
        <f aca="false">IF(NOT(U277),0,IF(K277="Vacation",IF(C277="Eve",Settings!$B$9*Settings!$B$11,W277),IF(K277="Partial Vacation",IF(AND(ISNUMBER(H277),ISNUMBER(I277)),MAX(0,(I277-H277)*24),0),0)))</f>
        <v>0</v>
      </c>
      <c r="P277" s="14" t="n">
        <f aca="false">IF(NOT(U277),0,IF(K277="Sick Leave",W277,IF(K277="Partial Sick Leave",IF(AND(ISNUMBER(H277),ISNUMBER(I277)),MAX(0,(I277-H277)*24),0),0)))</f>
        <v>0</v>
      </c>
      <c r="Q277" s="14" t="n">
        <f aca="false">IF(NOT(U277),0,IF(K277="Vacation",IF(C277="Eve",Settings!$B$11,1),IF(K277="Partial Vacation",O277/Settings!$B$9,0)))</f>
        <v>0</v>
      </c>
      <c r="R277" s="14" t="n">
        <f aca="false">IF(NOT(U277),0,IF(K277="Sick Leave",1,IF(K277="Partial Sick Leave",P277/Settings!$B$9,0)))</f>
        <v>0</v>
      </c>
      <c r="S277" s="35" t="str">
        <f aca="false">IF(AND(OR(E277="Vacation",E277="Sick Leave",E277="Partial Vacation",E277="Partial Sick Leave"),NOT(U277)),"Leave not allowed on this day",IF(AND(E277="Manual Work",OR(NOT(ISNUMBER(F277)),NOT(ISNUMBER(G277)))),"Enter start and end",IF(AND(OR(E277="Partial Vacation",E277="Partial Sick Leave"),OR(NOT(ISNUMBER(H277)),NOT(ISNUMBER(I277)))),"Enter leave from and to",IF(AND(ISNUMBER(F277),ISNUMBER(G277),G277&lt;=F277),"End is before start",IF(AND(ISNUMBER(H277),ISNUMBER(I277),I277&lt;=H277),"Leave end is before start",IF(AND(ISNUMBER(F277),ISNUMBER(G277),ISNUMBER(H277),ISNUMBER(I277),F277&lt;I277,H277&lt;G277),"Work and leave hours overlap",IF(AND(E277&lt;&gt;"",WEEKDAY(A277)=7),"Saturday - administrator only","")))))))</f>
        <v/>
      </c>
      <c r="T277" s="36" t="n">
        <f aca="false">MONTH(A277)</f>
        <v>9</v>
      </c>
      <c r="U277" s="37" t="b">
        <f aca="false">OR(C277="Workday",C277="Eve")</f>
        <v>1</v>
      </c>
      <c r="V277" s="34" t="n">
        <f aca="false">IF(C277="Eve",Settings!$B$8,Settings!$B$7)</f>
        <v>0.6875</v>
      </c>
      <c r="W277" s="14" t="n">
        <f aca="false">IF(U277,(V277-Settings!$B$6)*24,0)</f>
        <v>8.5</v>
      </c>
    </row>
    <row r="278" customFormat="false" ht="15" hidden="false" customHeight="false" outlineLevel="0" collapsed="false">
      <c r="A278" s="29" t="n">
        <v>46294</v>
      </c>
      <c r="B278" s="30" t="str">
        <f aca="false">CHOOSE(WEEKDAY(A278),"Sun","Mon","Tue","Wed","Thu","Fri","Sat")</f>
        <v>Tue</v>
      </c>
      <c r="C278" s="30" t="str">
        <f aca="false">IF(IFERROR(INDEX(Holidays!$D$5:$D$60,MATCH(A278,Holidays!$A$5:$A$60,0)),"")="Holiday","Holiday",IF(WEEKDAY(A278)&gt;=6,"Weekend",IF(IFERROR(INDEX(Holidays!$D$5:$D$60,MATCH(A278,Holidays!$A$5:$A$60,0)),"")="Eve","Eve","Workday")))</f>
        <v>Workday</v>
      </c>
      <c r="D278" s="18" t="str">
        <f aca="false">IFERROR(INDEX(Holidays!$C$5:$C$60,MATCH(A278,Holidays!$A$5:$A$60,0)),"")</f>
        <v/>
      </c>
      <c r="E278" s="31"/>
      <c r="F278" s="32"/>
      <c r="G278" s="32"/>
      <c r="H278" s="32"/>
      <c r="I278" s="32"/>
      <c r="J278" s="31"/>
      <c r="K278" s="33" t="str">
        <f aca="false">IF(E278&lt;&gt;"",E278,IF(U278,"Present",IF(C278="Holiday","Holiday","Weekend")))</f>
        <v>Present</v>
      </c>
      <c r="L278" s="34" t="n">
        <f aca="false">IF(OR(K278="Present",K278="Manual Work",K278="Partial Vacation",K278="Partial Sick Leave"),IF(ISNUMBER(F278),F278,IF(AND(K278="Present",U278),Settings!$B$6,"")),"")</f>
        <v>0.333333333333333</v>
      </c>
      <c r="M278" s="34" t="n">
        <f aca="false">IF(OR(K278="Present",K278="Manual Work",K278="Partial Vacation",K278="Partial Sick Leave"),IF(ISNUMBER(G278),G278,IF(AND(K278="Present",U278),V278,"")),"")</f>
        <v>0.6875</v>
      </c>
      <c r="N278" s="14" t="n">
        <f aca="false">IF(AND(ISNUMBER(L278),ISNUMBER(M278)),MAX(0,(M278-L278)*24),0)</f>
        <v>8.5</v>
      </c>
      <c r="O278" s="14" t="n">
        <f aca="false">IF(NOT(U278),0,IF(K278="Vacation",IF(C278="Eve",Settings!$B$9*Settings!$B$11,W278),IF(K278="Partial Vacation",IF(AND(ISNUMBER(H278),ISNUMBER(I278)),MAX(0,(I278-H278)*24),0),0)))</f>
        <v>0</v>
      </c>
      <c r="P278" s="14" t="n">
        <f aca="false">IF(NOT(U278),0,IF(K278="Sick Leave",W278,IF(K278="Partial Sick Leave",IF(AND(ISNUMBER(H278),ISNUMBER(I278)),MAX(0,(I278-H278)*24),0),0)))</f>
        <v>0</v>
      </c>
      <c r="Q278" s="14" t="n">
        <f aca="false">IF(NOT(U278),0,IF(K278="Vacation",IF(C278="Eve",Settings!$B$11,1),IF(K278="Partial Vacation",O278/Settings!$B$9,0)))</f>
        <v>0</v>
      </c>
      <c r="R278" s="14" t="n">
        <f aca="false">IF(NOT(U278),0,IF(K278="Sick Leave",1,IF(K278="Partial Sick Leave",P278/Settings!$B$9,0)))</f>
        <v>0</v>
      </c>
      <c r="S278" s="35" t="str">
        <f aca="false">IF(AND(OR(E278="Vacation",E278="Sick Leave",E278="Partial Vacation",E278="Partial Sick Leave"),NOT(U278)),"Leave not allowed on this day",IF(AND(E278="Manual Work",OR(NOT(ISNUMBER(F278)),NOT(ISNUMBER(G278)))),"Enter start and end",IF(AND(OR(E278="Partial Vacation",E278="Partial Sick Leave"),OR(NOT(ISNUMBER(H278)),NOT(ISNUMBER(I278)))),"Enter leave from and to",IF(AND(ISNUMBER(F278),ISNUMBER(G278),G278&lt;=F278),"End is before start",IF(AND(ISNUMBER(H278),ISNUMBER(I278),I278&lt;=H278),"Leave end is before start",IF(AND(ISNUMBER(F278),ISNUMBER(G278),ISNUMBER(H278),ISNUMBER(I278),F278&lt;I278,H278&lt;G278),"Work and leave hours overlap",IF(AND(E278&lt;&gt;"",WEEKDAY(A278)=7),"Saturday - administrator only","")))))))</f>
        <v/>
      </c>
      <c r="T278" s="36" t="n">
        <f aca="false">MONTH(A278)</f>
        <v>9</v>
      </c>
      <c r="U278" s="37" t="b">
        <f aca="false">OR(C278="Workday",C278="Eve")</f>
        <v>1</v>
      </c>
      <c r="V278" s="34" t="n">
        <f aca="false">IF(C278="Eve",Settings!$B$8,Settings!$B$7)</f>
        <v>0.6875</v>
      </c>
      <c r="W278" s="14" t="n">
        <f aca="false">IF(U278,(V278-Settings!$B$6)*24,0)</f>
        <v>8.5</v>
      </c>
    </row>
    <row r="279" customFormat="false" ht="15" hidden="false" customHeight="false" outlineLevel="0" collapsed="false">
      <c r="A279" s="29" t="n">
        <v>46295</v>
      </c>
      <c r="B279" s="30" t="str">
        <f aca="false">CHOOSE(WEEKDAY(A279),"Sun","Mon","Tue","Wed","Thu","Fri","Sat")</f>
        <v>Wed</v>
      </c>
      <c r="C279" s="30" t="str">
        <f aca="false">IF(IFERROR(INDEX(Holidays!$D$5:$D$60,MATCH(A279,Holidays!$A$5:$A$60,0)),"")="Holiday","Holiday",IF(WEEKDAY(A279)&gt;=6,"Weekend",IF(IFERROR(INDEX(Holidays!$D$5:$D$60,MATCH(A279,Holidays!$A$5:$A$60,0)),"")="Eve","Eve","Workday")))</f>
        <v>Workday</v>
      </c>
      <c r="D279" s="18" t="str">
        <f aca="false">IFERROR(INDEX(Holidays!$C$5:$C$60,MATCH(A279,Holidays!$A$5:$A$60,0)),"")</f>
        <v/>
      </c>
      <c r="E279" s="31"/>
      <c r="F279" s="32"/>
      <c r="G279" s="32"/>
      <c r="H279" s="32"/>
      <c r="I279" s="32"/>
      <c r="J279" s="31"/>
      <c r="K279" s="33" t="str">
        <f aca="false">IF(E279&lt;&gt;"",E279,IF(U279,"Present",IF(C279="Holiday","Holiday","Weekend")))</f>
        <v>Present</v>
      </c>
      <c r="L279" s="34" t="n">
        <f aca="false">IF(OR(K279="Present",K279="Manual Work",K279="Partial Vacation",K279="Partial Sick Leave"),IF(ISNUMBER(F279),F279,IF(AND(K279="Present",U279),Settings!$B$6,"")),"")</f>
        <v>0.333333333333333</v>
      </c>
      <c r="M279" s="34" t="n">
        <f aca="false">IF(OR(K279="Present",K279="Manual Work",K279="Partial Vacation",K279="Partial Sick Leave"),IF(ISNUMBER(G279),G279,IF(AND(K279="Present",U279),V279,"")),"")</f>
        <v>0.6875</v>
      </c>
      <c r="N279" s="14" t="n">
        <f aca="false">IF(AND(ISNUMBER(L279),ISNUMBER(M279)),MAX(0,(M279-L279)*24),0)</f>
        <v>8.5</v>
      </c>
      <c r="O279" s="14" t="n">
        <f aca="false">IF(NOT(U279),0,IF(K279="Vacation",IF(C279="Eve",Settings!$B$9*Settings!$B$11,W279),IF(K279="Partial Vacation",IF(AND(ISNUMBER(H279),ISNUMBER(I279)),MAX(0,(I279-H279)*24),0),0)))</f>
        <v>0</v>
      </c>
      <c r="P279" s="14" t="n">
        <f aca="false">IF(NOT(U279),0,IF(K279="Sick Leave",W279,IF(K279="Partial Sick Leave",IF(AND(ISNUMBER(H279),ISNUMBER(I279)),MAX(0,(I279-H279)*24),0),0)))</f>
        <v>0</v>
      </c>
      <c r="Q279" s="14" t="n">
        <f aca="false">IF(NOT(U279),0,IF(K279="Vacation",IF(C279="Eve",Settings!$B$11,1),IF(K279="Partial Vacation",O279/Settings!$B$9,0)))</f>
        <v>0</v>
      </c>
      <c r="R279" s="14" t="n">
        <f aca="false">IF(NOT(U279),0,IF(K279="Sick Leave",1,IF(K279="Partial Sick Leave",P279/Settings!$B$9,0)))</f>
        <v>0</v>
      </c>
      <c r="S279" s="35" t="str">
        <f aca="false">IF(AND(OR(E279="Vacation",E279="Sick Leave",E279="Partial Vacation",E279="Partial Sick Leave"),NOT(U279)),"Leave not allowed on this day",IF(AND(E279="Manual Work",OR(NOT(ISNUMBER(F279)),NOT(ISNUMBER(G279)))),"Enter start and end",IF(AND(OR(E279="Partial Vacation",E279="Partial Sick Leave"),OR(NOT(ISNUMBER(H279)),NOT(ISNUMBER(I279)))),"Enter leave from and to",IF(AND(ISNUMBER(F279),ISNUMBER(G279),G279&lt;=F279),"End is before start",IF(AND(ISNUMBER(H279),ISNUMBER(I279),I279&lt;=H279),"Leave end is before start",IF(AND(ISNUMBER(F279),ISNUMBER(G279),ISNUMBER(H279),ISNUMBER(I279),F279&lt;I279,H279&lt;G279),"Work and leave hours overlap",IF(AND(E279&lt;&gt;"",WEEKDAY(A279)=7),"Saturday - administrator only","")))))))</f>
        <v/>
      </c>
      <c r="T279" s="36" t="n">
        <f aca="false">MONTH(A279)</f>
        <v>9</v>
      </c>
      <c r="U279" s="37" t="b">
        <f aca="false">OR(C279="Workday",C279="Eve")</f>
        <v>1</v>
      </c>
      <c r="V279" s="34" t="n">
        <f aca="false">IF(C279="Eve",Settings!$B$8,Settings!$B$7)</f>
        <v>0.6875</v>
      </c>
      <c r="W279" s="14" t="n">
        <f aca="false">IF(U279,(V279-Settings!$B$6)*24,0)</f>
        <v>8.5</v>
      </c>
    </row>
    <row r="280" customFormat="false" ht="15" hidden="false" customHeight="false" outlineLevel="0" collapsed="false">
      <c r="A280" s="29" t="n">
        <v>46296</v>
      </c>
      <c r="B280" s="30" t="str">
        <f aca="false">CHOOSE(WEEKDAY(A280),"Sun","Mon","Tue","Wed","Thu","Fri","Sat")</f>
        <v>Thu</v>
      </c>
      <c r="C280" s="30" t="str">
        <f aca="false">IF(IFERROR(INDEX(Holidays!$D$5:$D$60,MATCH(A280,Holidays!$A$5:$A$60,0)),"")="Holiday","Holiday",IF(WEEKDAY(A280)&gt;=6,"Weekend",IF(IFERROR(INDEX(Holidays!$D$5:$D$60,MATCH(A280,Holidays!$A$5:$A$60,0)),"")="Eve","Eve","Workday")))</f>
        <v>Workday</v>
      </c>
      <c r="D280" s="18" t="str">
        <f aca="false">IFERROR(INDEX(Holidays!$C$5:$C$60,MATCH(A280,Holidays!$A$5:$A$60,0)),"")</f>
        <v/>
      </c>
      <c r="E280" s="31"/>
      <c r="F280" s="32"/>
      <c r="G280" s="32"/>
      <c r="H280" s="32"/>
      <c r="I280" s="32"/>
      <c r="J280" s="31"/>
      <c r="K280" s="33" t="str">
        <f aca="false">IF(E280&lt;&gt;"",E280,IF(U280,"Present",IF(C280="Holiday","Holiday","Weekend")))</f>
        <v>Present</v>
      </c>
      <c r="L280" s="34" t="n">
        <f aca="false">IF(OR(K280="Present",K280="Manual Work",K280="Partial Vacation",K280="Partial Sick Leave"),IF(ISNUMBER(F280),F280,IF(AND(K280="Present",U280),Settings!$B$6,"")),"")</f>
        <v>0.333333333333333</v>
      </c>
      <c r="M280" s="34" t="n">
        <f aca="false">IF(OR(K280="Present",K280="Manual Work",K280="Partial Vacation",K280="Partial Sick Leave"),IF(ISNUMBER(G280),G280,IF(AND(K280="Present",U280),V280,"")),"")</f>
        <v>0.6875</v>
      </c>
      <c r="N280" s="14" t="n">
        <f aca="false">IF(AND(ISNUMBER(L280),ISNUMBER(M280)),MAX(0,(M280-L280)*24),0)</f>
        <v>8.5</v>
      </c>
      <c r="O280" s="14" t="n">
        <f aca="false">IF(NOT(U280),0,IF(K280="Vacation",IF(C280="Eve",Settings!$B$9*Settings!$B$11,W280),IF(K280="Partial Vacation",IF(AND(ISNUMBER(H280),ISNUMBER(I280)),MAX(0,(I280-H280)*24),0),0)))</f>
        <v>0</v>
      </c>
      <c r="P280" s="14" t="n">
        <f aca="false">IF(NOT(U280),0,IF(K280="Sick Leave",W280,IF(K280="Partial Sick Leave",IF(AND(ISNUMBER(H280),ISNUMBER(I280)),MAX(0,(I280-H280)*24),0),0)))</f>
        <v>0</v>
      </c>
      <c r="Q280" s="14" t="n">
        <f aca="false">IF(NOT(U280),0,IF(K280="Vacation",IF(C280="Eve",Settings!$B$11,1),IF(K280="Partial Vacation",O280/Settings!$B$9,0)))</f>
        <v>0</v>
      </c>
      <c r="R280" s="14" t="n">
        <f aca="false">IF(NOT(U280),0,IF(K280="Sick Leave",1,IF(K280="Partial Sick Leave",P280/Settings!$B$9,0)))</f>
        <v>0</v>
      </c>
      <c r="S280" s="35" t="str">
        <f aca="false">IF(AND(OR(E280="Vacation",E280="Sick Leave",E280="Partial Vacation",E280="Partial Sick Leave"),NOT(U280)),"Leave not allowed on this day",IF(AND(E280="Manual Work",OR(NOT(ISNUMBER(F280)),NOT(ISNUMBER(G280)))),"Enter start and end",IF(AND(OR(E280="Partial Vacation",E280="Partial Sick Leave"),OR(NOT(ISNUMBER(H280)),NOT(ISNUMBER(I280)))),"Enter leave from and to",IF(AND(ISNUMBER(F280),ISNUMBER(G280),G280&lt;=F280),"End is before start",IF(AND(ISNUMBER(H280),ISNUMBER(I280),I280&lt;=H280),"Leave end is before start",IF(AND(ISNUMBER(F280),ISNUMBER(G280),ISNUMBER(H280),ISNUMBER(I280),F280&lt;I280,H280&lt;G280),"Work and leave hours overlap",IF(AND(E280&lt;&gt;"",WEEKDAY(A280)=7),"Saturday - administrator only","")))))))</f>
        <v/>
      </c>
      <c r="T280" s="36" t="n">
        <f aca="false">MONTH(A280)</f>
        <v>10</v>
      </c>
      <c r="U280" s="37" t="b">
        <f aca="false">OR(C280="Workday",C280="Eve")</f>
        <v>1</v>
      </c>
      <c r="V280" s="34" t="n">
        <f aca="false">IF(C280="Eve",Settings!$B$8,Settings!$B$7)</f>
        <v>0.6875</v>
      </c>
      <c r="W280" s="14" t="n">
        <f aca="false">IF(U280,(V280-Settings!$B$6)*24,0)</f>
        <v>8.5</v>
      </c>
    </row>
    <row r="281" customFormat="false" ht="15" hidden="false" customHeight="false" outlineLevel="0" collapsed="false">
      <c r="A281" s="29" t="n">
        <v>46297</v>
      </c>
      <c r="B281" s="30" t="str">
        <f aca="false">CHOOSE(WEEKDAY(A281),"Sun","Mon","Tue","Wed","Thu","Fri","Sat")</f>
        <v>Fri</v>
      </c>
      <c r="C281" s="30" t="str">
        <f aca="false">IF(IFERROR(INDEX(Holidays!$D$5:$D$60,MATCH(A281,Holidays!$A$5:$A$60,0)),"")="Holiday","Holiday",IF(WEEKDAY(A281)&gt;=6,"Weekend",IF(IFERROR(INDEX(Holidays!$D$5:$D$60,MATCH(A281,Holidays!$A$5:$A$60,0)),"")="Eve","Eve","Workday")))</f>
        <v>Weekend</v>
      </c>
      <c r="D281" s="18" t="str">
        <f aca="false">IFERROR(INDEX(Holidays!$C$5:$C$60,MATCH(A281,Holidays!$A$5:$A$60,0)),"")</f>
        <v>Erev Simchat Torah</v>
      </c>
      <c r="E281" s="31"/>
      <c r="F281" s="32"/>
      <c r="G281" s="32"/>
      <c r="H281" s="32"/>
      <c r="I281" s="32"/>
      <c r="J281" s="31"/>
      <c r="K281" s="33" t="str">
        <f aca="false">IF(E281&lt;&gt;"",E281,IF(U281,"Present",IF(C281="Holiday","Holiday","Weekend")))</f>
        <v>Weekend</v>
      </c>
      <c r="L281" s="34" t="str">
        <f aca="false">IF(OR(K281="Present",K281="Manual Work",K281="Partial Vacation",K281="Partial Sick Leave"),IF(ISNUMBER(F281),F281,IF(AND(K281="Present",U281),Settings!$B$6,"")),"")</f>
        <v/>
      </c>
      <c r="M281" s="34" t="str">
        <f aca="false">IF(OR(K281="Present",K281="Manual Work",K281="Partial Vacation",K281="Partial Sick Leave"),IF(ISNUMBER(G281),G281,IF(AND(K281="Present",U281),V281,"")),"")</f>
        <v/>
      </c>
      <c r="N281" s="14" t="n">
        <f aca="false">IF(AND(ISNUMBER(L281),ISNUMBER(M281)),MAX(0,(M281-L281)*24),0)</f>
        <v>0</v>
      </c>
      <c r="O281" s="14" t="n">
        <f aca="false">IF(NOT(U281),0,IF(K281="Vacation",IF(C281="Eve",Settings!$B$9*Settings!$B$11,W281),IF(K281="Partial Vacation",IF(AND(ISNUMBER(H281),ISNUMBER(I281)),MAX(0,(I281-H281)*24),0),0)))</f>
        <v>0</v>
      </c>
      <c r="P281" s="14" t="n">
        <f aca="false">IF(NOT(U281),0,IF(K281="Sick Leave",W281,IF(K281="Partial Sick Leave",IF(AND(ISNUMBER(H281),ISNUMBER(I281)),MAX(0,(I281-H281)*24),0),0)))</f>
        <v>0</v>
      </c>
      <c r="Q281" s="14" t="n">
        <f aca="false">IF(NOT(U281),0,IF(K281="Vacation",IF(C281="Eve",Settings!$B$11,1),IF(K281="Partial Vacation",O281/Settings!$B$9,0)))</f>
        <v>0</v>
      </c>
      <c r="R281" s="14" t="n">
        <f aca="false">IF(NOT(U281),0,IF(K281="Sick Leave",1,IF(K281="Partial Sick Leave",P281/Settings!$B$9,0)))</f>
        <v>0</v>
      </c>
      <c r="S281" s="35" t="str">
        <f aca="false">IF(AND(OR(E281="Vacation",E281="Sick Leave",E281="Partial Vacation",E281="Partial Sick Leave"),NOT(U281)),"Leave not allowed on this day",IF(AND(E281="Manual Work",OR(NOT(ISNUMBER(F281)),NOT(ISNUMBER(G281)))),"Enter start and end",IF(AND(OR(E281="Partial Vacation",E281="Partial Sick Leave"),OR(NOT(ISNUMBER(H281)),NOT(ISNUMBER(I281)))),"Enter leave from and to",IF(AND(ISNUMBER(F281),ISNUMBER(G281),G281&lt;=F281),"End is before start",IF(AND(ISNUMBER(H281),ISNUMBER(I281),I281&lt;=H281),"Leave end is before start",IF(AND(ISNUMBER(F281),ISNUMBER(G281),ISNUMBER(H281),ISNUMBER(I281),F281&lt;I281,H281&lt;G281),"Work and leave hours overlap",IF(AND(E281&lt;&gt;"",WEEKDAY(A281)=7),"Saturday - administrator only","")))))))</f>
        <v/>
      </c>
      <c r="T281" s="36" t="n">
        <f aca="false">MONTH(A281)</f>
        <v>10</v>
      </c>
      <c r="U281" s="37" t="b">
        <f aca="false">OR(C281="Workday",C281="Eve")</f>
        <v>0</v>
      </c>
      <c r="V281" s="34" t="n">
        <f aca="false">IF(C281="Eve",Settings!$B$8,Settings!$B$7)</f>
        <v>0.6875</v>
      </c>
      <c r="W281" s="14" t="n">
        <f aca="false">IF(U281,(V281-Settings!$B$6)*24,0)</f>
        <v>0</v>
      </c>
    </row>
    <row r="282" customFormat="false" ht="15" hidden="false" customHeight="false" outlineLevel="0" collapsed="false">
      <c r="A282" s="29" t="n">
        <v>46298</v>
      </c>
      <c r="B282" s="30" t="str">
        <f aca="false">CHOOSE(WEEKDAY(A282),"Sun","Mon","Tue","Wed","Thu","Fri","Sat")</f>
        <v>Sat</v>
      </c>
      <c r="C282" s="30" t="str">
        <f aca="false">IF(IFERROR(INDEX(Holidays!$D$5:$D$60,MATCH(A282,Holidays!$A$5:$A$60,0)),"")="Holiday","Holiday",IF(WEEKDAY(A282)&gt;=6,"Weekend",IF(IFERROR(INDEX(Holidays!$D$5:$D$60,MATCH(A282,Holidays!$A$5:$A$60,0)),"")="Eve","Eve","Workday")))</f>
        <v>Holiday</v>
      </c>
      <c r="D282" s="18" t="str">
        <f aca="false">IFERROR(INDEX(Holidays!$C$5:$C$60,MATCH(A282,Holidays!$A$5:$A$60,0)),"")</f>
        <v>Simchat Torah</v>
      </c>
      <c r="E282" s="31"/>
      <c r="F282" s="32"/>
      <c r="G282" s="32"/>
      <c r="H282" s="32"/>
      <c r="I282" s="32"/>
      <c r="J282" s="31"/>
      <c r="K282" s="33" t="str">
        <f aca="false">IF(E282&lt;&gt;"",E282,IF(U282,"Present",IF(C282="Holiday","Holiday","Weekend")))</f>
        <v>Holiday</v>
      </c>
      <c r="L282" s="34" t="str">
        <f aca="false">IF(OR(K282="Present",K282="Manual Work",K282="Partial Vacation",K282="Partial Sick Leave"),IF(ISNUMBER(F282),F282,IF(AND(K282="Present",U282),Settings!$B$6,"")),"")</f>
        <v/>
      </c>
      <c r="M282" s="34" t="str">
        <f aca="false">IF(OR(K282="Present",K282="Manual Work",K282="Partial Vacation",K282="Partial Sick Leave"),IF(ISNUMBER(G282),G282,IF(AND(K282="Present",U282),V282,"")),"")</f>
        <v/>
      </c>
      <c r="N282" s="14" t="n">
        <f aca="false">IF(AND(ISNUMBER(L282),ISNUMBER(M282)),MAX(0,(M282-L282)*24),0)</f>
        <v>0</v>
      </c>
      <c r="O282" s="14" t="n">
        <f aca="false">IF(NOT(U282),0,IF(K282="Vacation",IF(C282="Eve",Settings!$B$9*Settings!$B$11,W282),IF(K282="Partial Vacation",IF(AND(ISNUMBER(H282),ISNUMBER(I282)),MAX(0,(I282-H282)*24),0),0)))</f>
        <v>0</v>
      </c>
      <c r="P282" s="14" t="n">
        <f aca="false">IF(NOT(U282),0,IF(K282="Sick Leave",W282,IF(K282="Partial Sick Leave",IF(AND(ISNUMBER(H282),ISNUMBER(I282)),MAX(0,(I282-H282)*24),0),0)))</f>
        <v>0</v>
      </c>
      <c r="Q282" s="14" t="n">
        <f aca="false">IF(NOT(U282),0,IF(K282="Vacation",IF(C282="Eve",Settings!$B$11,1),IF(K282="Partial Vacation",O282/Settings!$B$9,0)))</f>
        <v>0</v>
      </c>
      <c r="R282" s="14" t="n">
        <f aca="false">IF(NOT(U282),0,IF(K282="Sick Leave",1,IF(K282="Partial Sick Leave",P282/Settings!$B$9,0)))</f>
        <v>0</v>
      </c>
      <c r="S282" s="35" t="str">
        <f aca="false">IF(AND(OR(E282="Vacation",E282="Sick Leave",E282="Partial Vacation",E282="Partial Sick Leave"),NOT(U282)),"Leave not allowed on this day",IF(AND(E282="Manual Work",OR(NOT(ISNUMBER(F282)),NOT(ISNUMBER(G282)))),"Enter start and end",IF(AND(OR(E282="Partial Vacation",E282="Partial Sick Leave"),OR(NOT(ISNUMBER(H282)),NOT(ISNUMBER(I282)))),"Enter leave from and to",IF(AND(ISNUMBER(F282),ISNUMBER(G282),G282&lt;=F282),"End is before start",IF(AND(ISNUMBER(H282),ISNUMBER(I282),I282&lt;=H282),"Leave end is before start",IF(AND(ISNUMBER(F282),ISNUMBER(G282),ISNUMBER(H282),ISNUMBER(I282),F282&lt;I282,H282&lt;G282),"Work and leave hours overlap",IF(AND(E282&lt;&gt;"",WEEKDAY(A282)=7),"Saturday - administrator only","")))))))</f>
        <v/>
      </c>
      <c r="T282" s="36" t="n">
        <f aca="false">MONTH(A282)</f>
        <v>10</v>
      </c>
      <c r="U282" s="37" t="b">
        <f aca="false">OR(C282="Workday",C282="Eve")</f>
        <v>0</v>
      </c>
      <c r="V282" s="34" t="n">
        <f aca="false">IF(C282="Eve",Settings!$B$8,Settings!$B$7)</f>
        <v>0.6875</v>
      </c>
      <c r="W282" s="14" t="n">
        <f aca="false">IF(U282,(V282-Settings!$B$6)*24,0)</f>
        <v>0</v>
      </c>
    </row>
    <row r="283" customFormat="false" ht="15" hidden="false" customHeight="false" outlineLevel="0" collapsed="false">
      <c r="A283" s="29" t="n">
        <v>46299</v>
      </c>
      <c r="B283" s="30" t="str">
        <f aca="false">CHOOSE(WEEKDAY(A283),"Sun","Mon","Tue","Wed","Thu","Fri","Sat")</f>
        <v>Sun</v>
      </c>
      <c r="C283" s="30" t="str">
        <f aca="false">IF(IFERROR(INDEX(Holidays!$D$5:$D$60,MATCH(A283,Holidays!$A$5:$A$60,0)),"")="Holiday","Holiday",IF(WEEKDAY(A283)&gt;=6,"Weekend",IF(IFERROR(INDEX(Holidays!$D$5:$D$60,MATCH(A283,Holidays!$A$5:$A$60,0)),"")="Eve","Eve","Workday")))</f>
        <v>Workday</v>
      </c>
      <c r="D283" s="18" t="str">
        <f aca="false">IFERROR(INDEX(Holidays!$C$5:$C$60,MATCH(A283,Holidays!$A$5:$A$60,0)),"")</f>
        <v/>
      </c>
      <c r="E283" s="31"/>
      <c r="F283" s="32"/>
      <c r="G283" s="32"/>
      <c r="H283" s="32"/>
      <c r="I283" s="32"/>
      <c r="J283" s="31"/>
      <c r="K283" s="33" t="str">
        <f aca="false">IF(E283&lt;&gt;"",E283,IF(U283,"Present",IF(C283="Holiday","Holiday","Weekend")))</f>
        <v>Present</v>
      </c>
      <c r="L283" s="34" t="n">
        <f aca="false">IF(OR(K283="Present",K283="Manual Work",K283="Partial Vacation",K283="Partial Sick Leave"),IF(ISNUMBER(F283),F283,IF(AND(K283="Present",U283),Settings!$B$6,"")),"")</f>
        <v>0.333333333333333</v>
      </c>
      <c r="M283" s="34" t="n">
        <f aca="false">IF(OR(K283="Present",K283="Manual Work",K283="Partial Vacation",K283="Partial Sick Leave"),IF(ISNUMBER(G283),G283,IF(AND(K283="Present",U283),V283,"")),"")</f>
        <v>0.6875</v>
      </c>
      <c r="N283" s="14" t="n">
        <f aca="false">IF(AND(ISNUMBER(L283),ISNUMBER(M283)),MAX(0,(M283-L283)*24),0)</f>
        <v>8.5</v>
      </c>
      <c r="O283" s="14" t="n">
        <f aca="false">IF(NOT(U283),0,IF(K283="Vacation",IF(C283="Eve",Settings!$B$9*Settings!$B$11,W283),IF(K283="Partial Vacation",IF(AND(ISNUMBER(H283),ISNUMBER(I283)),MAX(0,(I283-H283)*24),0),0)))</f>
        <v>0</v>
      </c>
      <c r="P283" s="14" t="n">
        <f aca="false">IF(NOT(U283),0,IF(K283="Sick Leave",W283,IF(K283="Partial Sick Leave",IF(AND(ISNUMBER(H283),ISNUMBER(I283)),MAX(0,(I283-H283)*24),0),0)))</f>
        <v>0</v>
      </c>
      <c r="Q283" s="14" t="n">
        <f aca="false">IF(NOT(U283),0,IF(K283="Vacation",IF(C283="Eve",Settings!$B$11,1),IF(K283="Partial Vacation",O283/Settings!$B$9,0)))</f>
        <v>0</v>
      </c>
      <c r="R283" s="14" t="n">
        <f aca="false">IF(NOT(U283),0,IF(K283="Sick Leave",1,IF(K283="Partial Sick Leave",P283/Settings!$B$9,0)))</f>
        <v>0</v>
      </c>
      <c r="S283" s="35" t="str">
        <f aca="false">IF(AND(OR(E283="Vacation",E283="Sick Leave",E283="Partial Vacation",E283="Partial Sick Leave"),NOT(U283)),"Leave not allowed on this day",IF(AND(E283="Manual Work",OR(NOT(ISNUMBER(F283)),NOT(ISNUMBER(G283)))),"Enter start and end",IF(AND(OR(E283="Partial Vacation",E283="Partial Sick Leave"),OR(NOT(ISNUMBER(H283)),NOT(ISNUMBER(I283)))),"Enter leave from and to",IF(AND(ISNUMBER(F283),ISNUMBER(G283),G283&lt;=F283),"End is before start",IF(AND(ISNUMBER(H283),ISNUMBER(I283),I283&lt;=H283),"Leave end is before start",IF(AND(ISNUMBER(F283),ISNUMBER(G283),ISNUMBER(H283),ISNUMBER(I283),F283&lt;I283,H283&lt;G283),"Work and leave hours overlap",IF(AND(E283&lt;&gt;"",WEEKDAY(A283)=7),"Saturday - administrator only","")))))))</f>
        <v/>
      </c>
      <c r="T283" s="36" t="n">
        <f aca="false">MONTH(A283)</f>
        <v>10</v>
      </c>
      <c r="U283" s="37" t="b">
        <f aca="false">OR(C283="Workday",C283="Eve")</f>
        <v>1</v>
      </c>
      <c r="V283" s="34" t="n">
        <f aca="false">IF(C283="Eve",Settings!$B$8,Settings!$B$7)</f>
        <v>0.6875</v>
      </c>
      <c r="W283" s="14" t="n">
        <f aca="false">IF(U283,(V283-Settings!$B$6)*24,0)</f>
        <v>8.5</v>
      </c>
    </row>
    <row r="284" customFormat="false" ht="15" hidden="false" customHeight="false" outlineLevel="0" collapsed="false">
      <c r="A284" s="29" t="n">
        <v>46300</v>
      </c>
      <c r="B284" s="30" t="str">
        <f aca="false">CHOOSE(WEEKDAY(A284),"Sun","Mon","Tue","Wed","Thu","Fri","Sat")</f>
        <v>Mon</v>
      </c>
      <c r="C284" s="30" t="str">
        <f aca="false">IF(IFERROR(INDEX(Holidays!$D$5:$D$60,MATCH(A284,Holidays!$A$5:$A$60,0)),"")="Holiday","Holiday",IF(WEEKDAY(A284)&gt;=6,"Weekend",IF(IFERROR(INDEX(Holidays!$D$5:$D$60,MATCH(A284,Holidays!$A$5:$A$60,0)),"")="Eve","Eve","Workday")))</f>
        <v>Workday</v>
      </c>
      <c r="D284" s="18" t="str">
        <f aca="false">IFERROR(INDEX(Holidays!$C$5:$C$60,MATCH(A284,Holidays!$A$5:$A$60,0)),"")</f>
        <v/>
      </c>
      <c r="E284" s="31"/>
      <c r="F284" s="32"/>
      <c r="G284" s="32"/>
      <c r="H284" s="32"/>
      <c r="I284" s="32"/>
      <c r="J284" s="31"/>
      <c r="K284" s="33" t="str">
        <f aca="false">IF(E284&lt;&gt;"",E284,IF(U284,"Present",IF(C284="Holiday","Holiday","Weekend")))</f>
        <v>Present</v>
      </c>
      <c r="L284" s="34" t="n">
        <f aca="false">IF(OR(K284="Present",K284="Manual Work",K284="Partial Vacation",K284="Partial Sick Leave"),IF(ISNUMBER(F284),F284,IF(AND(K284="Present",U284),Settings!$B$6,"")),"")</f>
        <v>0.333333333333333</v>
      </c>
      <c r="M284" s="34" t="n">
        <f aca="false">IF(OR(K284="Present",K284="Manual Work",K284="Partial Vacation",K284="Partial Sick Leave"),IF(ISNUMBER(G284),G284,IF(AND(K284="Present",U284),V284,"")),"")</f>
        <v>0.6875</v>
      </c>
      <c r="N284" s="14" t="n">
        <f aca="false">IF(AND(ISNUMBER(L284),ISNUMBER(M284)),MAX(0,(M284-L284)*24),0)</f>
        <v>8.5</v>
      </c>
      <c r="O284" s="14" t="n">
        <f aca="false">IF(NOT(U284),0,IF(K284="Vacation",IF(C284="Eve",Settings!$B$9*Settings!$B$11,W284),IF(K284="Partial Vacation",IF(AND(ISNUMBER(H284),ISNUMBER(I284)),MAX(0,(I284-H284)*24),0),0)))</f>
        <v>0</v>
      </c>
      <c r="P284" s="14" t="n">
        <f aca="false">IF(NOT(U284),0,IF(K284="Sick Leave",W284,IF(K284="Partial Sick Leave",IF(AND(ISNUMBER(H284),ISNUMBER(I284)),MAX(0,(I284-H284)*24),0),0)))</f>
        <v>0</v>
      </c>
      <c r="Q284" s="14" t="n">
        <f aca="false">IF(NOT(U284),0,IF(K284="Vacation",IF(C284="Eve",Settings!$B$11,1),IF(K284="Partial Vacation",O284/Settings!$B$9,0)))</f>
        <v>0</v>
      </c>
      <c r="R284" s="14" t="n">
        <f aca="false">IF(NOT(U284),0,IF(K284="Sick Leave",1,IF(K284="Partial Sick Leave",P284/Settings!$B$9,0)))</f>
        <v>0</v>
      </c>
      <c r="S284" s="35" t="str">
        <f aca="false">IF(AND(OR(E284="Vacation",E284="Sick Leave",E284="Partial Vacation",E284="Partial Sick Leave"),NOT(U284)),"Leave not allowed on this day",IF(AND(E284="Manual Work",OR(NOT(ISNUMBER(F284)),NOT(ISNUMBER(G284)))),"Enter start and end",IF(AND(OR(E284="Partial Vacation",E284="Partial Sick Leave"),OR(NOT(ISNUMBER(H284)),NOT(ISNUMBER(I284)))),"Enter leave from and to",IF(AND(ISNUMBER(F284),ISNUMBER(G284),G284&lt;=F284),"End is before start",IF(AND(ISNUMBER(H284),ISNUMBER(I284),I284&lt;=H284),"Leave end is before start",IF(AND(ISNUMBER(F284),ISNUMBER(G284),ISNUMBER(H284),ISNUMBER(I284),F284&lt;I284,H284&lt;G284),"Work and leave hours overlap",IF(AND(E284&lt;&gt;"",WEEKDAY(A284)=7),"Saturday - administrator only","")))))))</f>
        <v/>
      </c>
      <c r="T284" s="36" t="n">
        <f aca="false">MONTH(A284)</f>
        <v>10</v>
      </c>
      <c r="U284" s="37" t="b">
        <f aca="false">OR(C284="Workday",C284="Eve")</f>
        <v>1</v>
      </c>
      <c r="V284" s="34" t="n">
        <f aca="false">IF(C284="Eve",Settings!$B$8,Settings!$B$7)</f>
        <v>0.6875</v>
      </c>
      <c r="W284" s="14" t="n">
        <f aca="false">IF(U284,(V284-Settings!$B$6)*24,0)</f>
        <v>8.5</v>
      </c>
    </row>
    <row r="285" customFormat="false" ht="15" hidden="false" customHeight="false" outlineLevel="0" collapsed="false">
      <c r="A285" s="29" t="n">
        <v>46301</v>
      </c>
      <c r="B285" s="30" t="str">
        <f aca="false">CHOOSE(WEEKDAY(A285),"Sun","Mon","Tue","Wed","Thu","Fri","Sat")</f>
        <v>Tue</v>
      </c>
      <c r="C285" s="30" t="str">
        <f aca="false">IF(IFERROR(INDEX(Holidays!$D$5:$D$60,MATCH(A285,Holidays!$A$5:$A$60,0)),"")="Holiday","Holiday",IF(WEEKDAY(A285)&gt;=6,"Weekend",IF(IFERROR(INDEX(Holidays!$D$5:$D$60,MATCH(A285,Holidays!$A$5:$A$60,0)),"")="Eve","Eve","Workday")))</f>
        <v>Workday</v>
      </c>
      <c r="D285" s="18" t="str">
        <f aca="false">IFERROR(INDEX(Holidays!$C$5:$C$60,MATCH(A285,Holidays!$A$5:$A$60,0)),"")</f>
        <v/>
      </c>
      <c r="E285" s="31"/>
      <c r="F285" s="32"/>
      <c r="G285" s="32"/>
      <c r="H285" s="32"/>
      <c r="I285" s="32"/>
      <c r="J285" s="31"/>
      <c r="K285" s="33" t="str">
        <f aca="false">IF(E285&lt;&gt;"",E285,IF(U285,"Present",IF(C285="Holiday","Holiday","Weekend")))</f>
        <v>Present</v>
      </c>
      <c r="L285" s="34" t="n">
        <f aca="false">IF(OR(K285="Present",K285="Manual Work",K285="Partial Vacation",K285="Partial Sick Leave"),IF(ISNUMBER(F285),F285,IF(AND(K285="Present",U285),Settings!$B$6,"")),"")</f>
        <v>0.333333333333333</v>
      </c>
      <c r="M285" s="34" t="n">
        <f aca="false">IF(OR(K285="Present",K285="Manual Work",K285="Partial Vacation",K285="Partial Sick Leave"),IF(ISNUMBER(G285),G285,IF(AND(K285="Present",U285),V285,"")),"")</f>
        <v>0.6875</v>
      </c>
      <c r="N285" s="14" t="n">
        <f aca="false">IF(AND(ISNUMBER(L285),ISNUMBER(M285)),MAX(0,(M285-L285)*24),0)</f>
        <v>8.5</v>
      </c>
      <c r="O285" s="14" t="n">
        <f aca="false">IF(NOT(U285),0,IF(K285="Vacation",IF(C285="Eve",Settings!$B$9*Settings!$B$11,W285),IF(K285="Partial Vacation",IF(AND(ISNUMBER(H285),ISNUMBER(I285)),MAX(0,(I285-H285)*24),0),0)))</f>
        <v>0</v>
      </c>
      <c r="P285" s="14" t="n">
        <f aca="false">IF(NOT(U285),0,IF(K285="Sick Leave",W285,IF(K285="Partial Sick Leave",IF(AND(ISNUMBER(H285),ISNUMBER(I285)),MAX(0,(I285-H285)*24),0),0)))</f>
        <v>0</v>
      </c>
      <c r="Q285" s="14" t="n">
        <f aca="false">IF(NOT(U285),0,IF(K285="Vacation",IF(C285="Eve",Settings!$B$11,1),IF(K285="Partial Vacation",O285/Settings!$B$9,0)))</f>
        <v>0</v>
      </c>
      <c r="R285" s="14" t="n">
        <f aca="false">IF(NOT(U285),0,IF(K285="Sick Leave",1,IF(K285="Partial Sick Leave",P285/Settings!$B$9,0)))</f>
        <v>0</v>
      </c>
      <c r="S285" s="35" t="str">
        <f aca="false">IF(AND(OR(E285="Vacation",E285="Sick Leave",E285="Partial Vacation",E285="Partial Sick Leave"),NOT(U285)),"Leave not allowed on this day",IF(AND(E285="Manual Work",OR(NOT(ISNUMBER(F285)),NOT(ISNUMBER(G285)))),"Enter start and end",IF(AND(OR(E285="Partial Vacation",E285="Partial Sick Leave"),OR(NOT(ISNUMBER(H285)),NOT(ISNUMBER(I285)))),"Enter leave from and to",IF(AND(ISNUMBER(F285),ISNUMBER(G285),G285&lt;=F285),"End is before start",IF(AND(ISNUMBER(H285),ISNUMBER(I285),I285&lt;=H285),"Leave end is before start",IF(AND(ISNUMBER(F285),ISNUMBER(G285),ISNUMBER(H285),ISNUMBER(I285),F285&lt;I285,H285&lt;G285),"Work and leave hours overlap",IF(AND(E285&lt;&gt;"",WEEKDAY(A285)=7),"Saturday - administrator only","")))))))</f>
        <v/>
      </c>
      <c r="T285" s="36" t="n">
        <f aca="false">MONTH(A285)</f>
        <v>10</v>
      </c>
      <c r="U285" s="37" t="b">
        <f aca="false">OR(C285="Workday",C285="Eve")</f>
        <v>1</v>
      </c>
      <c r="V285" s="34" t="n">
        <f aca="false">IF(C285="Eve",Settings!$B$8,Settings!$B$7)</f>
        <v>0.6875</v>
      </c>
      <c r="W285" s="14" t="n">
        <f aca="false">IF(U285,(V285-Settings!$B$6)*24,0)</f>
        <v>8.5</v>
      </c>
    </row>
    <row r="286" customFormat="false" ht="15" hidden="false" customHeight="false" outlineLevel="0" collapsed="false">
      <c r="A286" s="29" t="n">
        <v>46302</v>
      </c>
      <c r="B286" s="30" t="str">
        <f aca="false">CHOOSE(WEEKDAY(A286),"Sun","Mon","Tue","Wed","Thu","Fri","Sat")</f>
        <v>Wed</v>
      </c>
      <c r="C286" s="30" t="str">
        <f aca="false">IF(IFERROR(INDEX(Holidays!$D$5:$D$60,MATCH(A286,Holidays!$A$5:$A$60,0)),"")="Holiday","Holiday",IF(WEEKDAY(A286)&gt;=6,"Weekend",IF(IFERROR(INDEX(Holidays!$D$5:$D$60,MATCH(A286,Holidays!$A$5:$A$60,0)),"")="Eve","Eve","Workday")))</f>
        <v>Workday</v>
      </c>
      <c r="D286" s="18" t="str">
        <f aca="false">IFERROR(INDEX(Holidays!$C$5:$C$60,MATCH(A286,Holidays!$A$5:$A$60,0)),"")</f>
        <v/>
      </c>
      <c r="E286" s="31"/>
      <c r="F286" s="32"/>
      <c r="G286" s="32"/>
      <c r="H286" s="32"/>
      <c r="I286" s="32"/>
      <c r="J286" s="31"/>
      <c r="K286" s="33" t="str">
        <f aca="false">IF(E286&lt;&gt;"",E286,IF(U286,"Present",IF(C286="Holiday","Holiday","Weekend")))</f>
        <v>Present</v>
      </c>
      <c r="L286" s="34" t="n">
        <f aca="false">IF(OR(K286="Present",K286="Manual Work",K286="Partial Vacation",K286="Partial Sick Leave"),IF(ISNUMBER(F286),F286,IF(AND(K286="Present",U286),Settings!$B$6,"")),"")</f>
        <v>0.333333333333333</v>
      </c>
      <c r="M286" s="34" t="n">
        <f aca="false">IF(OR(K286="Present",K286="Manual Work",K286="Partial Vacation",K286="Partial Sick Leave"),IF(ISNUMBER(G286),G286,IF(AND(K286="Present",U286),V286,"")),"")</f>
        <v>0.6875</v>
      </c>
      <c r="N286" s="14" t="n">
        <f aca="false">IF(AND(ISNUMBER(L286),ISNUMBER(M286)),MAX(0,(M286-L286)*24),0)</f>
        <v>8.5</v>
      </c>
      <c r="O286" s="14" t="n">
        <f aca="false">IF(NOT(U286),0,IF(K286="Vacation",IF(C286="Eve",Settings!$B$9*Settings!$B$11,W286),IF(K286="Partial Vacation",IF(AND(ISNUMBER(H286),ISNUMBER(I286)),MAX(0,(I286-H286)*24),0),0)))</f>
        <v>0</v>
      </c>
      <c r="P286" s="14" t="n">
        <f aca="false">IF(NOT(U286),0,IF(K286="Sick Leave",W286,IF(K286="Partial Sick Leave",IF(AND(ISNUMBER(H286),ISNUMBER(I286)),MAX(0,(I286-H286)*24),0),0)))</f>
        <v>0</v>
      </c>
      <c r="Q286" s="14" t="n">
        <f aca="false">IF(NOT(U286),0,IF(K286="Vacation",IF(C286="Eve",Settings!$B$11,1),IF(K286="Partial Vacation",O286/Settings!$B$9,0)))</f>
        <v>0</v>
      </c>
      <c r="R286" s="14" t="n">
        <f aca="false">IF(NOT(U286),0,IF(K286="Sick Leave",1,IF(K286="Partial Sick Leave",P286/Settings!$B$9,0)))</f>
        <v>0</v>
      </c>
      <c r="S286" s="35" t="str">
        <f aca="false">IF(AND(OR(E286="Vacation",E286="Sick Leave",E286="Partial Vacation",E286="Partial Sick Leave"),NOT(U286)),"Leave not allowed on this day",IF(AND(E286="Manual Work",OR(NOT(ISNUMBER(F286)),NOT(ISNUMBER(G286)))),"Enter start and end",IF(AND(OR(E286="Partial Vacation",E286="Partial Sick Leave"),OR(NOT(ISNUMBER(H286)),NOT(ISNUMBER(I286)))),"Enter leave from and to",IF(AND(ISNUMBER(F286),ISNUMBER(G286),G286&lt;=F286),"End is before start",IF(AND(ISNUMBER(H286),ISNUMBER(I286),I286&lt;=H286),"Leave end is before start",IF(AND(ISNUMBER(F286),ISNUMBER(G286),ISNUMBER(H286),ISNUMBER(I286),F286&lt;I286,H286&lt;G286),"Work and leave hours overlap",IF(AND(E286&lt;&gt;"",WEEKDAY(A286)=7),"Saturday - administrator only","")))))))</f>
        <v/>
      </c>
      <c r="T286" s="36" t="n">
        <f aca="false">MONTH(A286)</f>
        <v>10</v>
      </c>
      <c r="U286" s="37" t="b">
        <f aca="false">OR(C286="Workday",C286="Eve")</f>
        <v>1</v>
      </c>
      <c r="V286" s="34" t="n">
        <f aca="false">IF(C286="Eve",Settings!$B$8,Settings!$B$7)</f>
        <v>0.6875</v>
      </c>
      <c r="W286" s="14" t="n">
        <f aca="false">IF(U286,(V286-Settings!$B$6)*24,0)</f>
        <v>8.5</v>
      </c>
    </row>
    <row r="287" customFormat="false" ht="15" hidden="false" customHeight="false" outlineLevel="0" collapsed="false">
      <c r="A287" s="29" t="n">
        <v>46303</v>
      </c>
      <c r="B287" s="30" t="str">
        <f aca="false">CHOOSE(WEEKDAY(A287),"Sun","Mon","Tue","Wed","Thu","Fri","Sat")</f>
        <v>Thu</v>
      </c>
      <c r="C287" s="30" t="str">
        <f aca="false">IF(IFERROR(INDEX(Holidays!$D$5:$D$60,MATCH(A287,Holidays!$A$5:$A$60,0)),"")="Holiday","Holiday",IF(WEEKDAY(A287)&gt;=6,"Weekend",IF(IFERROR(INDEX(Holidays!$D$5:$D$60,MATCH(A287,Holidays!$A$5:$A$60,0)),"")="Eve","Eve","Workday")))</f>
        <v>Workday</v>
      </c>
      <c r="D287" s="18" t="str">
        <f aca="false">IFERROR(INDEX(Holidays!$C$5:$C$60,MATCH(A287,Holidays!$A$5:$A$60,0)),"")</f>
        <v/>
      </c>
      <c r="E287" s="31"/>
      <c r="F287" s="32"/>
      <c r="G287" s="32"/>
      <c r="H287" s="32"/>
      <c r="I287" s="32"/>
      <c r="J287" s="31"/>
      <c r="K287" s="33" t="str">
        <f aca="false">IF(E287&lt;&gt;"",E287,IF(U287,"Present",IF(C287="Holiday","Holiday","Weekend")))</f>
        <v>Present</v>
      </c>
      <c r="L287" s="34" t="n">
        <f aca="false">IF(OR(K287="Present",K287="Manual Work",K287="Partial Vacation",K287="Partial Sick Leave"),IF(ISNUMBER(F287),F287,IF(AND(K287="Present",U287),Settings!$B$6,"")),"")</f>
        <v>0.333333333333333</v>
      </c>
      <c r="M287" s="34" t="n">
        <f aca="false">IF(OR(K287="Present",K287="Manual Work",K287="Partial Vacation",K287="Partial Sick Leave"),IF(ISNUMBER(G287),G287,IF(AND(K287="Present",U287),V287,"")),"")</f>
        <v>0.6875</v>
      </c>
      <c r="N287" s="14" t="n">
        <f aca="false">IF(AND(ISNUMBER(L287),ISNUMBER(M287)),MAX(0,(M287-L287)*24),0)</f>
        <v>8.5</v>
      </c>
      <c r="O287" s="14" t="n">
        <f aca="false">IF(NOT(U287),0,IF(K287="Vacation",IF(C287="Eve",Settings!$B$9*Settings!$B$11,W287),IF(K287="Partial Vacation",IF(AND(ISNUMBER(H287),ISNUMBER(I287)),MAX(0,(I287-H287)*24),0),0)))</f>
        <v>0</v>
      </c>
      <c r="P287" s="14" t="n">
        <f aca="false">IF(NOT(U287),0,IF(K287="Sick Leave",W287,IF(K287="Partial Sick Leave",IF(AND(ISNUMBER(H287),ISNUMBER(I287)),MAX(0,(I287-H287)*24),0),0)))</f>
        <v>0</v>
      </c>
      <c r="Q287" s="14" t="n">
        <f aca="false">IF(NOT(U287),0,IF(K287="Vacation",IF(C287="Eve",Settings!$B$11,1),IF(K287="Partial Vacation",O287/Settings!$B$9,0)))</f>
        <v>0</v>
      </c>
      <c r="R287" s="14" t="n">
        <f aca="false">IF(NOT(U287),0,IF(K287="Sick Leave",1,IF(K287="Partial Sick Leave",P287/Settings!$B$9,0)))</f>
        <v>0</v>
      </c>
      <c r="S287" s="35" t="str">
        <f aca="false">IF(AND(OR(E287="Vacation",E287="Sick Leave",E287="Partial Vacation",E287="Partial Sick Leave"),NOT(U287)),"Leave not allowed on this day",IF(AND(E287="Manual Work",OR(NOT(ISNUMBER(F287)),NOT(ISNUMBER(G287)))),"Enter start and end",IF(AND(OR(E287="Partial Vacation",E287="Partial Sick Leave"),OR(NOT(ISNUMBER(H287)),NOT(ISNUMBER(I287)))),"Enter leave from and to",IF(AND(ISNUMBER(F287),ISNUMBER(G287),G287&lt;=F287),"End is before start",IF(AND(ISNUMBER(H287),ISNUMBER(I287),I287&lt;=H287),"Leave end is before start",IF(AND(ISNUMBER(F287),ISNUMBER(G287),ISNUMBER(H287),ISNUMBER(I287),F287&lt;I287,H287&lt;G287),"Work and leave hours overlap",IF(AND(E287&lt;&gt;"",WEEKDAY(A287)=7),"Saturday - administrator only","")))))))</f>
        <v/>
      </c>
      <c r="T287" s="36" t="n">
        <f aca="false">MONTH(A287)</f>
        <v>10</v>
      </c>
      <c r="U287" s="37" t="b">
        <f aca="false">OR(C287="Workday",C287="Eve")</f>
        <v>1</v>
      </c>
      <c r="V287" s="34" t="n">
        <f aca="false">IF(C287="Eve",Settings!$B$8,Settings!$B$7)</f>
        <v>0.6875</v>
      </c>
      <c r="W287" s="14" t="n">
        <f aca="false">IF(U287,(V287-Settings!$B$6)*24,0)</f>
        <v>8.5</v>
      </c>
    </row>
    <row r="288" customFormat="false" ht="15" hidden="false" customHeight="false" outlineLevel="0" collapsed="false">
      <c r="A288" s="29" t="n">
        <v>46304</v>
      </c>
      <c r="B288" s="30" t="str">
        <f aca="false">CHOOSE(WEEKDAY(A288),"Sun","Mon","Tue","Wed","Thu","Fri","Sat")</f>
        <v>Fri</v>
      </c>
      <c r="C288" s="30" t="str">
        <f aca="false">IF(IFERROR(INDEX(Holidays!$D$5:$D$60,MATCH(A288,Holidays!$A$5:$A$60,0)),"")="Holiday","Holiday",IF(WEEKDAY(A288)&gt;=6,"Weekend",IF(IFERROR(INDEX(Holidays!$D$5:$D$60,MATCH(A288,Holidays!$A$5:$A$60,0)),"")="Eve","Eve","Workday")))</f>
        <v>Weekend</v>
      </c>
      <c r="D288" s="18" t="str">
        <f aca="false">IFERROR(INDEX(Holidays!$C$5:$C$60,MATCH(A288,Holidays!$A$5:$A$60,0)),"")</f>
        <v/>
      </c>
      <c r="E288" s="31"/>
      <c r="F288" s="32"/>
      <c r="G288" s="32"/>
      <c r="H288" s="32"/>
      <c r="I288" s="32"/>
      <c r="J288" s="31"/>
      <c r="K288" s="33" t="str">
        <f aca="false">IF(E288&lt;&gt;"",E288,IF(U288,"Present",IF(C288="Holiday","Holiday","Weekend")))</f>
        <v>Weekend</v>
      </c>
      <c r="L288" s="34" t="str">
        <f aca="false">IF(OR(K288="Present",K288="Manual Work",K288="Partial Vacation",K288="Partial Sick Leave"),IF(ISNUMBER(F288),F288,IF(AND(K288="Present",U288),Settings!$B$6,"")),"")</f>
        <v/>
      </c>
      <c r="M288" s="34" t="str">
        <f aca="false">IF(OR(K288="Present",K288="Manual Work",K288="Partial Vacation",K288="Partial Sick Leave"),IF(ISNUMBER(G288),G288,IF(AND(K288="Present",U288),V288,"")),"")</f>
        <v/>
      </c>
      <c r="N288" s="14" t="n">
        <f aca="false">IF(AND(ISNUMBER(L288),ISNUMBER(M288)),MAX(0,(M288-L288)*24),0)</f>
        <v>0</v>
      </c>
      <c r="O288" s="14" t="n">
        <f aca="false">IF(NOT(U288),0,IF(K288="Vacation",IF(C288="Eve",Settings!$B$9*Settings!$B$11,W288),IF(K288="Partial Vacation",IF(AND(ISNUMBER(H288),ISNUMBER(I288)),MAX(0,(I288-H288)*24),0),0)))</f>
        <v>0</v>
      </c>
      <c r="P288" s="14" t="n">
        <f aca="false">IF(NOT(U288),0,IF(K288="Sick Leave",W288,IF(K288="Partial Sick Leave",IF(AND(ISNUMBER(H288),ISNUMBER(I288)),MAX(0,(I288-H288)*24),0),0)))</f>
        <v>0</v>
      </c>
      <c r="Q288" s="14" t="n">
        <f aca="false">IF(NOT(U288),0,IF(K288="Vacation",IF(C288="Eve",Settings!$B$11,1),IF(K288="Partial Vacation",O288/Settings!$B$9,0)))</f>
        <v>0</v>
      </c>
      <c r="R288" s="14" t="n">
        <f aca="false">IF(NOT(U288),0,IF(K288="Sick Leave",1,IF(K288="Partial Sick Leave",P288/Settings!$B$9,0)))</f>
        <v>0</v>
      </c>
      <c r="S288" s="35" t="str">
        <f aca="false">IF(AND(OR(E288="Vacation",E288="Sick Leave",E288="Partial Vacation",E288="Partial Sick Leave"),NOT(U288)),"Leave not allowed on this day",IF(AND(E288="Manual Work",OR(NOT(ISNUMBER(F288)),NOT(ISNUMBER(G288)))),"Enter start and end",IF(AND(OR(E288="Partial Vacation",E288="Partial Sick Leave"),OR(NOT(ISNUMBER(H288)),NOT(ISNUMBER(I288)))),"Enter leave from and to",IF(AND(ISNUMBER(F288),ISNUMBER(G288),G288&lt;=F288),"End is before start",IF(AND(ISNUMBER(H288),ISNUMBER(I288),I288&lt;=H288),"Leave end is before start",IF(AND(ISNUMBER(F288),ISNUMBER(G288),ISNUMBER(H288),ISNUMBER(I288),F288&lt;I288,H288&lt;G288),"Work and leave hours overlap",IF(AND(E288&lt;&gt;"",WEEKDAY(A288)=7),"Saturday - administrator only","")))))))</f>
        <v/>
      </c>
      <c r="T288" s="36" t="n">
        <f aca="false">MONTH(A288)</f>
        <v>10</v>
      </c>
      <c r="U288" s="37" t="b">
        <f aca="false">OR(C288="Workday",C288="Eve")</f>
        <v>0</v>
      </c>
      <c r="V288" s="34" t="n">
        <f aca="false">IF(C288="Eve",Settings!$B$8,Settings!$B$7)</f>
        <v>0.6875</v>
      </c>
      <c r="W288" s="14" t="n">
        <f aca="false">IF(U288,(V288-Settings!$B$6)*24,0)</f>
        <v>0</v>
      </c>
    </row>
    <row r="289" customFormat="false" ht="15" hidden="false" customHeight="false" outlineLevel="0" collapsed="false">
      <c r="A289" s="29" t="n">
        <v>46305</v>
      </c>
      <c r="B289" s="30" t="str">
        <f aca="false">CHOOSE(WEEKDAY(A289),"Sun","Mon","Tue","Wed","Thu","Fri","Sat")</f>
        <v>Sat</v>
      </c>
      <c r="C289" s="30" t="str">
        <f aca="false">IF(IFERROR(INDEX(Holidays!$D$5:$D$60,MATCH(A289,Holidays!$A$5:$A$60,0)),"")="Holiday","Holiday",IF(WEEKDAY(A289)&gt;=6,"Weekend",IF(IFERROR(INDEX(Holidays!$D$5:$D$60,MATCH(A289,Holidays!$A$5:$A$60,0)),"")="Eve","Eve","Workday")))</f>
        <v>Weekend</v>
      </c>
      <c r="D289" s="18" t="str">
        <f aca="false">IFERROR(INDEX(Holidays!$C$5:$C$60,MATCH(A289,Holidays!$A$5:$A$60,0)),"")</f>
        <v/>
      </c>
      <c r="E289" s="31"/>
      <c r="F289" s="32"/>
      <c r="G289" s="32"/>
      <c r="H289" s="32"/>
      <c r="I289" s="32"/>
      <c r="J289" s="31"/>
      <c r="K289" s="33" t="str">
        <f aca="false">IF(E289&lt;&gt;"",E289,IF(U289,"Present",IF(C289="Holiday","Holiday","Weekend")))</f>
        <v>Weekend</v>
      </c>
      <c r="L289" s="34" t="str">
        <f aca="false">IF(OR(K289="Present",K289="Manual Work",K289="Partial Vacation",K289="Partial Sick Leave"),IF(ISNUMBER(F289),F289,IF(AND(K289="Present",U289),Settings!$B$6,"")),"")</f>
        <v/>
      </c>
      <c r="M289" s="34" t="str">
        <f aca="false">IF(OR(K289="Present",K289="Manual Work",K289="Partial Vacation",K289="Partial Sick Leave"),IF(ISNUMBER(G289),G289,IF(AND(K289="Present",U289),V289,"")),"")</f>
        <v/>
      </c>
      <c r="N289" s="14" t="n">
        <f aca="false">IF(AND(ISNUMBER(L289),ISNUMBER(M289)),MAX(0,(M289-L289)*24),0)</f>
        <v>0</v>
      </c>
      <c r="O289" s="14" t="n">
        <f aca="false">IF(NOT(U289),0,IF(K289="Vacation",IF(C289="Eve",Settings!$B$9*Settings!$B$11,W289),IF(K289="Partial Vacation",IF(AND(ISNUMBER(H289),ISNUMBER(I289)),MAX(0,(I289-H289)*24),0),0)))</f>
        <v>0</v>
      </c>
      <c r="P289" s="14" t="n">
        <f aca="false">IF(NOT(U289),0,IF(K289="Sick Leave",W289,IF(K289="Partial Sick Leave",IF(AND(ISNUMBER(H289),ISNUMBER(I289)),MAX(0,(I289-H289)*24),0),0)))</f>
        <v>0</v>
      </c>
      <c r="Q289" s="14" t="n">
        <f aca="false">IF(NOT(U289),0,IF(K289="Vacation",IF(C289="Eve",Settings!$B$11,1),IF(K289="Partial Vacation",O289/Settings!$B$9,0)))</f>
        <v>0</v>
      </c>
      <c r="R289" s="14" t="n">
        <f aca="false">IF(NOT(U289),0,IF(K289="Sick Leave",1,IF(K289="Partial Sick Leave",P289/Settings!$B$9,0)))</f>
        <v>0</v>
      </c>
      <c r="S289" s="35" t="str">
        <f aca="false">IF(AND(OR(E289="Vacation",E289="Sick Leave",E289="Partial Vacation",E289="Partial Sick Leave"),NOT(U289)),"Leave not allowed on this day",IF(AND(E289="Manual Work",OR(NOT(ISNUMBER(F289)),NOT(ISNUMBER(G289)))),"Enter start and end",IF(AND(OR(E289="Partial Vacation",E289="Partial Sick Leave"),OR(NOT(ISNUMBER(H289)),NOT(ISNUMBER(I289)))),"Enter leave from and to",IF(AND(ISNUMBER(F289),ISNUMBER(G289),G289&lt;=F289),"End is before start",IF(AND(ISNUMBER(H289),ISNUMBER(I289),I289&lt;=H289),"Leave end is before start",IF(AND(ISNUMBER(F289),ISNUMBER(G289),ISNUMBER(H289),ISNUMBER(I289),F289&lt;I289,H289&lt;G289),"Work and leave hours overlap",IF(AND(E289&lt;&gt;"",WEEKDAY(A289)=7),"Saturday - administrator only","")))))))</f>
        <v/>
      </c>
      <c r="T289" s="36" t="n">
        <f aca="false">MONTH(A289)</f>
        <v>10</v>
      </c>
      <c r="U289" s="37" t="b">
        <f aca="false">OR(C289="Workday",C289="Eve")</f>
        <v>0</v>
      </c>
      <c r="V289" s="34" t="n">
        <f aca="false">IF(C289="Eve",Settings!$B$8,Settings!$B$7)</f>
        <v>0.6875</v>
      </c>
      <c r="W289" s="14" t="n">
        <f aca="false">IF(U289,(V289-Settings!$B$6)*24,0)</f>
        <v>0</v>
      </c>
    </row>
    <row r="290" customFormat="false" ht="15" hidden="false" customHeight="false" outlineLevel="0" collapsed="false">
      <c r="A290" s="29" t="n">
        <v>46306</v>
      </c>
      <c r="B290" s="30" t="str">
        <f aca="false">CHOOSE(WEEKDAY(A290),"Sun","Mon","Tue","Wed","Thu","Fri","Sat")</f>
        <v>Sun</v>
      </c>
      <c r="C290" s="30" t="str">
        <f aca="false">IF(IFERROR(INDEX(Holidays!$D$5:$D$60,MATCH(A290,Holidays!$A$5:$A$60,0)),"")="Holiday","Holiday",IF(WEEKDAY(A290)&gt;=6,"Weekend",IF(IFERROR(INDEX(Holidays!$D$5:$D$60,MATCH(A290,Holidays!$A$5:$A$60,0)),"")="Eve","Eve","Workday")))</f>
        <v>Workday</v>
      </c>
      <c r="D290" s="18" t="str">
        <f aca="false">IFERROR(INDEX(Holidays!$C$5:$C$60,MATCH(A290,Holidays!$A$5:$A$60,0)),"")</f>
        <v/>
      </c>
      <c r="E290" s="31"/>
      <c r="F290" s="32"/>
      <c r="G290" s="32"/>
      <c r="H290" s="32"/>
      <c r="I290" s="32"/>
      <c r="J290" s="31"/>
      <c r="K290" s="33" t="str">
        <f aca="false">IF(E290&lt;&gt;"",E290,IF(U290,"Present",IF(C290="Holiday","Holiday","Weekend")))</f>
        <v>Present</v>
      </c>
      <c r="L290" s="34" t="n">
        <f aca="false">IF(OR(K290="Present",K290="Manual Work",K290="Partial Vacation",K290="Partial Sick Leave"),IF(ISNUMBER(F290),F290,IF(AND(K290="Present",U290),Settings!$B$6,"")),"")</f>
        <v>0.333333333333333</v>
      </c>
      <c r="M290" s="34" t="n">
        <f aca="false">IF(OR(K290="Present",K290="Manual Work",K290="Partial Vacation",K290="Partial Sick Leave"),IF(ISNUMBER(G290),G290,IF(AND(K290="Present",U290),V290,"")),"")</f>
        <v>0.6875</v>
      </c>
      <c r="N290" s="14" t="n">
        <f aca="false">IF(AND(ISNUMBER(L290),ISNUMBER(M290)),MAX(0,(M290-L290)*24),0)</f>
        <v>8.5</v>
      </c>
      <c r="O290" s="14" t="n">
        <f aca="false">IF(NOT(U290),0,IF(K290="Vacation",IF(C290="Eve",Settings!$B$9*Settings!$B$11,W290),IF(K290="Partial Vacation",IF(AND(ISNUMBER(H290),ISNUMBER(I290)),MAX(0,(I290-H290)*24),0),0)))</f>
        <v>0</v>
      </c>
      <c r="P290" s="14" t="n">
        <f aca="false">IF(NOT(U290),0,IF(K290="Sick Leave",W290,IF(K290="Partial Sick Leave",IF(AND(ISNUMBER(H290),ISNUMBER(I290)),MAX(0,(I290-H290)*24),0),0)))</f>
        <v>0</v>
      </c>
      <c r="Q290" s="14" t="n">
        <f aca="false">IF(NOT(U290),0,IF(K290="Vacation",IF(C290="Eve",Settings!$B$11,1),IF(K290="Partial Vacation",O290/Settings!$B$9,0)))</f>
        <v>0</v>
      </c>
      <c r="R290" s="14" t="n">
        <f aca="false">IF(NOT(U290),0,IF(K290="Sick Leave",1,IF(K290="Partial Sick Leave",P290/Settings!$B$9,0)))</f>
        <v>0</v>
      </c>
      <c r="S290" s="35" t="str">
        <f aca="false">IF(AND(OR(E290="Vacation",E290="Sick Leave",E290="Partial Vacation",E290="Partial Sick Leave"),NOT(U290)),"Leave not allowed on this day",IF(AND(E290="Manual Work",OR(NOT(ISNUMBER(F290)),NOT(ISNUMBER(G290)))),"Enter start and end",IF(AND(OR(E290="Partial Vacation",E290="Partial Sick Leave"),OR(NOT(ISNUMBER(H290)),NOT(ISNUMBER(I290)))),"Enter leave from and to",IF(AND(ISNUMBER(F290),ISNUMBER(G290),G290&lt;=F290),"End is before start",IF(AND(ISNUMBER(H290),ISNUMBER(I290),I290&lt;=H290),"Leave end is before start",IF(AND(ISNUMBER(F290),ISNUMBER(G290),ISNUMBER(H290),ISNUMBER(I290),F290&lt;I290,H290&lt;G290),"Work and leave hours overlap",IF(AND(E290&lt;&gt;"",WEEKDAY(A290)=7),"Saturday - administrator only","")))))))</f>
        <v/>
      </c>
      <c r="T290" s="36" t="n">
        <f aca="false">MONTH(A290)</f>
        <v>10</v>
      </c>
      <c r="U290" s="37" t="b">
        <f aca="false">OR(C290="Workday",C290="Eve")</f>
        <v>1</v>
      </c>
      <c r="V290" s="34" t="n">
        <f aca="false">IF(C290="Eve",Settings!$B$8,Settings!$B$7)</f>
        <v>0.6875</v>
      </c>
      <c r="W290" s="14" t="n">
        <f aca="false">IF(U290,(V290-Settings!$B$6)*24,0)</f>
        <v>8.5</v>
      </c>
    </row>
    <row r="291" customFormat="false" ht="15" hidden="false" customHeight="false" outlineLevel="0" collapsed="false">
      <c r="A291" s="29" t="n">
        <v>46307</v>
      </c>
      <c r="B291" s="30" t="str">
        <f aca="false">CHOOSE(WEEKDAY(A291),"Sun","Mon","Tue","Wed","Thu","Fri","Sat")</f>
        <v>Mon</v>
      </c>
      <c r="C291" s="30" t="str">
        <f aca="false">IF(IFERROR(INDEX(Holidays!$D$5:$D$60,MATCH(A291,Holidays!$A$5:$A$60,0)),"")="Holiday","Holiday",IF(WEEKDAY(A291)&gt;=6,"Weekend",IF(IFERROR(INDEX(Holidays!$D$5:$D$60,MATCH(A291,Holidays!$A$5:$A$60,0)),"")="Eve","Eve","Workday")))</f>
        <v>Workday</v>
      </c>
      <c r="D291" s="18" t="str">
        <f aca="false">IFERROR(INDEX(Holidays!$C$5:$C$60,MATCH(A291,Holidays!$A$5:$A$60,0)),"")</f>
        <v/>
      </c>
      <c r="E291" s="31"/>
      <c r="F291" s="32"/>
      <c r="G291" s="32"/>
      <c r="H291" s="32"/>
      <c r="I291" s="32"/>
      <c r="J291" s="31"/>
      <c r="K291" s="33" t="str">
        <f aca="false">IF(E291&lt;&gt;"",E291,IF(U291,"Present",IF(C291="Holiday","Holiday","Weekend")))</f>
        <v>Present</v>
      </c>
      <c r="L291" s="34" t="n">
        <f aca="false">IF(OR(K291="Present",K291="Manual Work",K291="Partial Vacation",K291="Partial Sick Leave"),IF(ISNUMBER(F291),F291,IF(AND(K291="Present",U291),Settings!$B$6,"")),"")</f>
        <v>0.333333333333333</v>
      </c>
      <c r="M291" s="34" t="n">
        <f aca="false">IF(OR(K291="Present",K291="Manual Work",K291="Partial Vacation",K291="Partial Sick Leave"),IF(ISNUMBER(G291),G291,IF(AND(K291="Present",U291),V291,"")),"")</f>
        <v>0.6875</v>
      </c>
      <c r="N291" s="14" t="n">
        <f aca="false">IF(AND(ISNUMBER(L291),ISNUMBER(M291)),MAX(0,(M291-L291)*24),0)</f>
        <v>8.5</v>
      </c>
      <c r="O291" s="14" t="n">
        <f aca="false">IF(NOT(U291),0,IF(K291="Vacation",IF(C291="Eve",Settings!$B$9*Settings!$B$11,W291),IF(K291="Partial Vacation",IF(AND(ISNUMBER(H291),ISNUMBER(I291)),MAX(0,(I291-H291)*24),0),0)))</f>
        <v>0</v>
      </c>
      <c r="P291" s="14" t="n">
        <f aca="false">IF(NOT(U291),0,IF(K291="Sick Leave",W291,IF(K291="Partial Sick Leave",IF(AND(ISNUMBER(H291),ISNUMBER(I291)),MAX(0,(I291-H291)*24),0),0)))</f>
        <v>0</v>
      </c>
      <c r="Q291" s="14" t="n">
        <f aca="false">IF(NOT(U291),0,IF(K291="Vacation",IF(C291="Eve",Settings!$B$11,1),IF(K291="Partial Vacation",O291/Settings!$B$9,0)))</f>
        <v>0</v>
      </c>
      <c r="R291" s="14" t="n">
        <f aca="false">IF(NOT(U291),0,IF(K291="Sick Leave",1,IF(K291="Partial Sick Leave",P291/Settings!$B$9,0)))</f>
        <v>0</v>
      </c>
      <c r="S291" s="35" t="str">
        <f aca="false">IF(AND(OR(E291="Vacation",E291="Sick Leave",E291="Partial Vacation",E291="Partial Sick Leave"),NOT(U291)),"Leave not allowed on this day",IF(AND(E291="Manual Work",OR(NOT(ISNUMBER(F291)),NOT(ISNUMBER(G291)))),"Enter start and end",IF(AND(OR(E291="Partial Vacation",E291="Partial Sick Leave"),OR(NOT(ISNUMBER(H291)),NOT(ISNUMBER(I291)))),"Enter leave from and to",IF(AND(ISNUMBER(F291),ISNUMBER(G291),G291&lt;=F291),"End is before start",IF(AND(ISNUMBER(H291),ISNUMBER(I291),I291&lt;=H291),"Leave end is before start",IF(AND(ISNUMBER(F291),ISNUMBER(G291),ISNUMBER(H291),ISNUMBER(I291),F291&lt;I291,H291&lt;G291),"Work and leave hours overlap",IF(AND(E291&lt;&gt;"",WEEKDAY(A291)=7),"Saturday - administrator only","")))))))</f>
        <v/>
      </c>
      <c r="T291" s="36" t="n">
        <f aca="false">MONTH(A291)</f>
        <v>10</v>
      </c>
      <c r="U291" s="37" t="b">
        <f aca="false">OR(C291="Workday",C291="Eve")</f>
        <v>1</v>
      </c>
      <c r="V291" s="34" t="n">
        <f aca="false">IF(C291="Eve",Settings!$B$8,Settings!$B$7)</f>
        <v>0.6875</v>
      </c>
      <c r="W291" s="14" t="n">
        <f aca="false">IF(U291,(V291-Settings!$B$6)*24,0)</f>
        <v>8.5</v>
      </c>
    </row>
    <row r="292" customFormat="false" ht="15" hidden="false" customHeight="false" outlineLevel="0" collapsed="false">
      <c r="A292" s="29" t="n">
        <v>46308</v>
      </c>
      <c r="B292" s="30" t="str">
        <f aca="false">CHOOSE(WEEKDAY(A292),"Sun","Mon","Tue","Wed","Thu","Fri","Sat")</f>
        <v>Tue</v>
      </c>
      <c r="C292" s="30" t="str">
        <f aca="false">IF(IFERROR(INDEX(Holidays!$D$5:$D$60,MATCH(A292,Holidays!$A$5:$A$60,0)),"")="Holiday","Holiday",IF(WEEKDAY(A292)&gt;=6,"Weekend",IF(IFERROR(INDEX(Holidays!$D$5:$D$60,MATCH(A292,Holidays!$A$5:$A$60,0)),"")="Eve","Eve","Workday")))</f>
        <v>Workday</v>
      </c>
      <c r="D292" s="18" t="str">
        <f aca="false">IFERROR(INDEX(Holidays!$C$5:$C$60,MATCH(A292,Holidays!$A$5:$A$60,0)),"")</f>
        <v/>
      </c>
      <c r="E292" s="31"/>
      <c r="F292" s="32"/>
      <c r="G292" s="32"/>
      <c r="H292" s="32"/>
      <c r="I292" s="32"/>
      <c r="J292" s="31"/>
      <c r="K292" s="33" t="str">
        <f aca="false">IF(E292&lt;&gt;"",E292,IF(U292,"Present",IF(C292="Holiday","Holiday","Weekend")))</f>
        <v>Present</v>
      </c>
      <c r="L292" s="34" t="n">
        <f aca="false">IF(OR(K292="Present",K292="Manual Work",K292="Partial Vacation",K292="Partial Sick Leave"),IF(ISNUMBER(F292),F292,IF(AND(K292="Present",U292),Settings!$B$6,"")),"")</f>
        <v>0.333333333333333</v>
      </c>
      <c r="M292" s="34" t="n">
        <f aca="false">IF(OR(K292="Present",K292="Manual Work",K292="Partial Vacation",K292="Partial Sick Leave"),IF(ISNUMBER(G292),G292,IF(AND(K292="Present",U292),V292,"")),"")</f>
        <v>0.6875</v>
      </c>
      <c r="N292" s="14" t="n">
        <f aca="false">IF(AND(ISNUMBER(L292),ISNUMBER(M292)),MAX(0,(M292-L292)*24),0)</f>
        <v>8.5</v>
      </c>
      <c r="O292" s="14" t="n">
        <f aca="false">IF(NOT(U292),0,IF(K292="Vacation",IF(C292="Eve",Settings!$B$9*Settings!$B$11,W292),IF(K292="Partial Vacation",IF(AND(ISNUMBER(H292),ISNUMBER(I292)),MAX(0,(I292-H292)*24),0),0)))</f>
        <v>0</v>
      </c>
      <c r="P292" s="14" t="n">
        <f aca="false">IF(NOT(U292),0,IF(K292="Sick Leave",W292,IF(K292="Partial Sick Leave",IF(AND(ISNUMBER(H292),ISNUMBER(I292)),MAX(0,(I292-H292)*24),0),0)))</f>
        <v>0</v>
      </c>
      <c r="Q292" s="14" t="n">
        <f aca="false">IF(NOT(U292),0,IF(K292="Vacation",IF(C292="Eve",Settings!$B$11,1),IF(K292="Partial Vacation",O292/Settings!$B$9,0)))</f>
        <v>0</v>
      </c>
      <c r="R292" s="14" t="n">
        <f aca="false">IF(NOT(U292),0,IF(K292="Sick Leave",1,IF(K292="Partial Sick Leave",P292/Settings!$B$9,0)))</f>
        <v>0</v>
      </c>
      <c r="S292" s="35" t="str">
        <f aca="false">IF(AND(OR(E292="Vacation",E292="Sick Leave",E292="Partial Vacation",E292="Partial Sick Leave"),NOT(U292)),"Leave not allowed on this day",IF(AND(E292="Manual Work",OR(NOT(ISNUMBER(F292)),NOT(ISNUMBER(G292)))),"Enter start and end",IF(AND(OR(E292="Partial Vacation",E292="Partial Sick Leave"),OR(NOT(ISNUMBER(H292)),NOT(ISNUMBER(I292)))),"Enter leave from and to",IF(AND(ISNUMBER(F292),ISNUMBER(G292),G292&lt;=F292),"End is before start",IF(AND(ISNUMBER(H292),ISNUMBER(I292),I292&lt;=H292),"Leave end is before start",IF(AND(ISNUMBER(F292),ISNUMBER(G292),ISNUMBER(H292),ISNUMBER(I292),F292&lt;I292,H292&lt;G292),"Work and leave hours overlap",IF(AND(E292&lt;&gt;"",WEEKDAY(A292)=7),"Saturday - administrator only","")))))))</f>
        <v/>
      </c>
      <c r="T292" s="36" t="n">
        <f aca="false">MONTH(A292)</f>
        <v>10</v>
      </c>
      <c r="U292" s="37" t="b">
        <f aca="false">OR(C292="Workday",C292="Eve")</f>
        <v>1</v>
      </c>
      <c r="V292" s="34" t="n">
        <f aca="false">IF(C292="Eve",Settings!$B$8,Settings!$B$7)</f>
        <v>0.6875</v>
      </c>
      <c r="W292" s="14" t="n">
        <f aca="false">IF(U292,(V292-Settings!$B$6)*24,0)</f>
        <v>8.5</v>
      </c>
    </row>
    <row r="293" customFormat="false" ht="15" hidden="false" customHeight="false" outlineLevel="0" collapsed="false">
      <c r="A293" s="29" t="n">
        <v>46309</v>
      </c>
      <c r="B293" s="30" t="str">
        <f aca="false">CHOOSE(WEEKDAY(A293),"Sun","Mon","Tue","Wed","Thu","Fri","Sat")</f>
        <v>Wed</v>
      </c>
      <c r="C293" s="30" t="str">
        <f aca="false">IF(IFERROR(INDEX(Holidays!$D$5:$D$60,MATCH(A293,Holidays!$A$5:$A$60,0)),"")="Holiday","Holiday",IF(WEEKDAY(A293)&gt;=6,"Weekend",IF(IFERROR(INDEX(Holidays!$D$5:$D$60,MATCH(A293,Holidays!$A$5:$A$60,0)),"")="Eve","Eve","Workday")))</f>
        <v>Workday</v>
      </c>
      <c r="D293" s="18" t="str">
        <f aca="false">IFERROR(INDEX(Holidays!$C$5:$C$60,MATCH(A293,Holidays!$A$5:$A$60,0)),"")</f>
        <v/>
      </c>
      <c r="E293" s="31"/>
      <c r="F293" s="32"/>
      <c r="G293" s="32"/>
      <c r="H293" s="32"/>
      <c r="I293" s="32"/>
      <c r="J293" s="31"/>
      <c r="K293" s="33" t="str">
        <f aca="false">IF(E293&lt;&gt;"",E293,IF(U293,"Present",IF(C293="Holiday","Holiday","Weekend")))</f>
        <v>Present</v>
      </c>
      <c r="L293" s="34" t="n">
        <f aca="false">IF(OR(K293="Present",K293="Manual Work",K293="Partial Vacation",K293="Partial Sick Leave"),IF(ISNUMBER(F293),F293,IF(AND(K293="Present",U293),Settings!$B$6,"")),"")</f>
        <v>0.333333333333333</v>
      </c>
      <c r="M293" s="34" t="n">
        <f aca="false">IF(OR(K293="Present",K293="Manual Work",K293="Partial Vacation",K293="Partial Sick Leave"),IF(ISNUMBER(G293),G293,IF(AND(K293="Present",U293),V293,"")),"")</f>
        <v>0.6875</v>
      </c>
      <c r="N293" s="14" t="n">
        <f aca="false">IF(AND(ISNUMBER(L293),ISNUMBER(M293)),MAX(0,(M293-L293)*24),0)</f>
        <v>8.5</v>
      </c>
      <c r="O293" s="14" t="n">
        <f aca="false">IF(NOT(U293),0,IF(K293="Vacation",IF(C293="Eve",Settings!$B$9*Settings!$B$11,W293),IF(K293="Partial Vacation",IF(AND(ISNUMBER(H293),ISNUMBER(I293)),MAX(0,(I293-H293)*24),0),0)))</f>
        <v>0</v>
      </c>
      <c r="P293" s="14" t="n">
        <f aca="false">IF(NOT(U293),0,IF(K293="Sick Leave",W293,IF(K293="Partial Sick Leave",IF(AND(ISNUMBER(H293),ISNUMBER(I293)),MAX(0,(I293-H293)*24),0),0)))</f>
        <v>0</v>
      </c>
      <c r="Q293" s="14" t="n">
        <f aca="false">IF(NOT(U293),0,IF(K293="Vacation",IF(C293="Eve",Settings!$B$11,1),IF(K293="Partial Vacation",O293/Settings!$B$9,0)))</f>
        <v>0</v>
      </c>
      <c r="R293" s="14" t="n">
        <f aca="false">IF(NOT(U293),0,IF(K293="Sick Leave",1,IF(K293="Partial Sick Leave",P293/Settings!$B$9,0)))</f>
        <v>0</v>
      </c>
      <c r="S293" s="35" t="str">
        <f aca="false">IF(AND(OR(E293="Vacation",E293="Sick Leave",E293="Partial Vacation",E293="Partial Sick Leave"),NOT(U293)),"Leave not allowed on this day",IF(AND(E293="Manual Work",OR(NOT(ISNUMBER(F293)),NOT(ISNUMBER(G293)))),"Enter start and end",IF(AND(OR(E293="Partial Vacation",E293="Partial Sick Leave"),OR(NOT(ISNUMBER(H293)),NOT(ISNUMBER(I293)))),"Enter leave from and to",IF(AND(ISNUMBER(F293),ISNUMBER(G293),G293&lt;=F293),"End is before start",IF(AND(ISNUMBER(H293),ISNUMBER(I293),I293&lt;=H293),"Leave end is before start",IF(AND(ISNUMBER(F293),ISNUMBER(G293),ISNUMBER(H293),ISNUMBER(I293),F293&lt;I293,H293&lt;G293),"Work and leave hours overlap",IF(AND(E293&lt;&gt;"",WEEKDAY(A293)=7),"Saturday - administrator only","")))))))</f>
        <v/>
      </c>
      <c r="T293" s="36" t="n">
        <f aca="false">MONTH(A293)</f>
        <v>10</v>
      </c>
      <c r="U293" s="37" t="b">
        <f aca="false">OR(C293="Workday",C293="Eve")</f>
        <v>1</v>
      </c>
      <c r="V293" s="34" t="n">
        <f aca="false">IF(C293="Eve",Settings!$B$8,Settings!$B$7)</f>
        <v>0.6875</v>
      </c>
      <c r="W293" s="14" t="n">
        <f aca="false">IF(U293,(V293-Settings!$B$6)*24,0)</f>
        <v>8.5</v>
      </c>
    </row>
    <row r="294" customFormat="false" ht="15" hidden="false" customHeight="false" outlineLevel="0" collapsed="false">
      <c r="A294" s="29" t="n">
        <v>46310</v>
      </c>
      <c r="B294" s="30" t="str">
        <f aca="false">CHOOSE(WEEKDAY(A294),"Sun","Mon","Tue","Wed","Thu","Fri","Sat")</f>
        <v>Thu</v>
      </c>
      <c r="C294" s="30" t="str">
        <f aca="false">IF(IFERROR(INDEX(Holidays!$D$5:$D$60,MATCH(A294,Holidays!$A$5:$A$60,0)),"")="Holiday","Holiday",IF(WEEKDAY(A294)&gt;=6,"Weekend",IF(IFERROR(INDEX(Holidays!$D$5:$D$60,MATCH(A294,Holidays!$A$5:$A$60,0)),"")="Eve","Eve","Workday")))</f>
        <v>Workday</v>
      </c>
      <c r="D294" s="18" t="str">
        <f aca="false">IFERROR(INDEX(Holidays!$C$5:$C$60,MATCH(A294,Holidays!$A$5:$A$60,0)),"")</f>
        <v/>
      </c>
      <c r="E294" s="31"/>
      <c r="F294" s="32"/>
      <c r="G294" s="32"/>
      <c r="H294" s="32"/>
      <c r="I294" s="32"/>
      <c r="J294" s="31"/>
      <c r="K294" s="33" t="str">
        <f aca="false">IF(E294&lt;&gt;"",E294,IF(U294,"Present",IF(C294="Holiday","Holiday","Weekend")))</f>
        <v>Present</v>
      </c>
      <c r="L294" s="34" t="n">
        <f aca="false">IF(OR(K294="Present",K294="Manual Work",K294="Partial Vacation",K294="Partial Sick Leave"),IF(ISNUMBER(F294),F294,IF(AND(K294="Present",U294),Settings!$B$6,"")),"")</f>
        <v>0.333333333333333</v>
      </c>
      <c r="M294" s="34" t="n">
        <f aca="false">IF(OR(K294="Present",K294="Manual Work",K294="Partial Vacation",K294="Partial Sick Leave"),IF(ISNUMBER(G294),G294,IF(AND(K294="Present",U294),V294,"")),"")</f>
        <v>0.6875</v>
      </c>
      <c r="N294" s="14" t="n">
        <f aca="false">IF(AND(ISNUMBER(L294),ISNUMBER(M294)),MAX(0,(M294-L294)*24),0)</f>
        <v>8.5</v>
      </c>
      <c r="O294" s="14" t="n">
        <f aca="false">IF(NOT(U294),0,IF(K294="Vacation",IF(C294="Eve",Settings!$B$9*Settings!$B$11,W294),IF(K294="Partial Vacation",IF(AND(ISNUMBER(H294),ISNUMBER(I294)),MAX(0,(I294-H294)*24),0),0)))</f>
        <v>0</v>
      </c>
      <c r="P294" s="14" t="n">
        <f aca="false">IF(NOT(U294),0,IF(K294="Sick Leave",W294,IF(K294="Partial Sick Leave",IF(AND(ISNUMBER(H294),ISNUMBER(I294)),MAX(0,(I294-H294)*24),0),0)))</f>
        <v>0</v>
      </c>
      <c r="Q294" s="14" t="n">
        <f aca="false">IF(NOT(U294),0,IF(K294="Vacation",IF(C294="Eve",Settings!$B$11,1),IF(K294="Partial Vacation",O294/Settings!$B$9,0)))</f>
        <v>0</v>
      </c>
      <c r="R294" s="14" t="n">
        <f aca="false">IF(NOT(U294),0,IF(K294="Sick Leave",1,IF(K294="Partial Sick Leave",P294/Settings!$B$9,0)))</f>
        <v>0</v>
      </c>
      <c r="S294" s="35" t="str">
        <f aca="false">IF(AND(OR(E294="Vacation",E294="Sick Leave",E294="Partial Vacation",E294="Partial Sick Leave"),NOT(U294)),"Leave not allowed on this day",IF(AND(E294="Manual Work",OR(NOT(ISNUMBER(F294)),NOT(ISNUMBER(G294)))),"Enter start and end",IF(AND(OR(E294="Partial Vacation",E294="Partial Sick Leave"),OR(NOT(ISNUMBER(H294)),NOT(ISNUMBER(I294)))),"Enter leave from and to",IF(AND(ISNUMBER(F294),ISNUMBER(G294),G294&lt;=F294),"End is before start",IF(AND(ISNUMBER(H294),ISNUMBER(I294),I294&lt;=H294),"Leave end is before start",IF(AND(ISNUMBER(F294),ISNUMBER(G294),ISNUMBER(H294),ISNUMBER(I294),F294&lt;I294,H294&lt;G294),"Work and leave hours overlap",IF(AND(E294&lt;&gt;"",WEEKDAY(A294)=7),"Saturday - administrator only","")))))))</f>
        <v/>
      </c>
      <c r="T294" s="36" t="n">
        <f aca="false">MONTH(A294)</f>
        <v>10</v>
      </c>
      <c r="U294" s="37" t="b">
        <f aca="false">OR(C294="Workday",C294="Eve")</f>
        <v>1</v>
      </c>
      <c r="V294" s="34" t="n">
        <f aca="false">IF(C294="Eve",Settings!$B$8,Settings!$B$7)</f>
        <v>0.6875</v>
      </c>
      <c r="W294" s="14" t="n">
        <f aca="false">IF(U294,(V294-Settings!$B$6)*24,0)</f>
        <v>8.5</v>
      </c>
    </row>
    <row r="295" customFormat="false" ht="15" hidden="false" customHeight="false" outlineLevel="0" collapsed="false">
      <c r="A295" s="29" t="n">
        <v>46311</v>
      </c>
      <c r="B295" s="30" t="str">
        <f aca="false">CHOOSE(WEEKDAY(A295),"Sun","Mon","Tue","Wed","Thu","Fri","Sat")</f>
        <v>Fri</v>
      </c>
      <c r="C295" s="30" t="str">
        <f aca="false">IF(IFERROR(INDEX(Holidays!$D$5:$D$60,MATCH(A295,Holidays!$A$5:$A$60,0)),"")="Holiday","Holiday",IF(WEEKDAY(A295)&gt;=6,"Weekend",IF(IFERROR(INDEX(Holidays!$D$5:$D$60,MATCH(A295,Holidays!$A$5:$A$60,0)),"")="Eve","Eve","Workday")))</f>
        <v>Weekend</v>
      </c>
      <c r="D295" s="18" t="str">
        <f aca="false">IFERROR(INDEX(Holidays!$C$5:$C$60,MATCH(A295,Holidays!$A$5:$A$60,0)),"")</f>
        <v/>
      </c>
      <c r="E295" s="31"/>
      <c r="F295" s="32"/>
      <c r="G295" s="32"/>
      <c r="H295" s="32"/>
      <c r="I295" s="32"/>
      <c r="J295" s="31"/>
      <c r="K295" s="33" t="str">
        <f aca="false">IF(E295&lt;&gt;"",E295,IF(U295,"Present",IF(C295="Holiday","Holiday","Weekend")))</f>
        <v>Weekend</v>
      </c>
      <c r="L295" s="34" t="str">
        <f aca="false">IF(OR(K295="Present",K295="Manual Work",K295="Partial Vacation",K295="Partial Sick Leave"),IF(ISNUMBER(F295),F295,IF(AND(K295="Present",U295),Settings!$B$6,"")),"")</f>
        <v/>
      </c>
      <c r="M295" s="34" t="str">
        <f aca="false">IF(OR(K295="Present",K295="Manual Work",K295="Partial Vacation",K295="Partial Sick Leave"),IF(ISNUMBER(G295),G295,IF(AND(K295="Present",U295),V295,"")),"")</f>
        <v/>
      </c>
      <c r="N295" s="14" t="n">
        <f aca="false">IF(AND(ISNUMBER(L295),ISNUMBER(M295)),MAX(0,(M295-L295)*24),0)</f>
        <v>0</v>
      </c>
      <c r="O295" s="14" t="n">
        <f aca="false">IF(NOT(U295),0,IF(K295="Vacation",IF(C295="Eve",Settings!$B$9*Settings!$B$11,W295),IF(K295="Partial Vacation",IF(AND(ISNUMBER(H295),ISNUMBER(I295)),MAX(0,(I295-H295)*24),0),0)))</f>
        <v>0</v>
      </c>
      <c r="P295" s="14" t="n">
        <f aca="false">IF(NOT(U295),0,IF(K295="Sick Leave",W295,IF(K295="Partial Sick Leave",IF(AND(ISNUMBER(H295),ISNUMBER(I295)),MAX(0,(I295-H295)*24),0),0)))</f>
        <v>0</v>
      </c>
      <c r="Q295" s="14" t="n">
        <f aca="false">IF(NOT(U295),0,IF(K295="Vacation",IF(C295="Eve",Settings!$B$11,1),IF(K295="Partial Vacation",O295/Settings!$B$9,0)))</f>
        <v>0</v>
      </c>
      <c r="R295" s="14" t="n">
        <f aca="false">IF(NOT(U295),0,IF(K295="Sick Leave",1,IF(K295="Partial Sick Leave",P295/Settings!$B$9,0)))</f>
        <v>0</v>
      </c>
      <c r="S295" s="35" t="str">
        <f aca="false">IF(AND(OR(E295="Vacation",E295="Sick Leave",E295="Partial Vacation",E295="Partial Sick Leave"),NOT(U295)),"Leave not allowed on this day",IF(AND(E295="Manual Work",OR(NOT(ISNUMBER(F295)),NOT(ISNUMBER(G295)))),"Enter start and end",IF(AND(OR(E295="Partial Vacation",E295="Partial Sick Leave"),OR(NOT(ISNUMBER(H295)),NOT(ISNUMBER(I295)))),"Enter leave from and to",IF(AND(ISNUMBER(F295),ISNUMBER(G295),G295&lt;=F295),"End is before start",IF(AND(ISNUMBER(H295),ISNUMBER(I295),I295&lt;=H295),"Leave end is before start",IF(AND(ISNUMBER(F295),ISNUMBER(G295),ISNUMBER(H295),ISNUMBER(I295),F295&lt;I295,H295&lt;G295),"Work and leave hours overlap",IF(AND(E295&lt;&gt;"",WEEKDAY(A295)=7),"Saturday - administrator only","")))))))</f>
        <v/>
      </c>
      <c r="T295" s="36" t="n">
        <f aca="false">MONTH(A295)</f>
        <v>10</v>
      </c>
      <c r="U295" s="37" t="b">
        <f aca="false">OR(C295="Workday",C295="Eve")</f>
        <v>0</v>
      </c>
      <c r="V295" s="34" t="n">
        <f aca="false">IF(C295="Eve",Settings!$B$8,Settings!$B$7)</f>
        <v>0.6875</v>
      </c>
      <c r="W295" s="14" t="n">
        <f aca="false">IF(U295,(V295-Settings!$B$6)*24,0)</f>
        <v>0</v>
      </c>
    </row>
    <row r="296" customFormat="false" ht="15" hidden="false" customHeight="false" outlineLevel="0" collapsed="false">
      <c r="A296" s="29" t="n">
        <v>46312</v>
      </c>
      <c r="B296" s="30" t="str">
        <f aca="false">CHOOSE(WEEKDAY(A296),"Sun","Mon","Tue","Wed","Thu","Fri","Sat")</f>
        <v>Sat</v>
      </c>
      <c r="C296" s="30" t="str">
        <f aca="false">IF(IFERROR(INDEX(Holidays!$D$5:$D$60,MATCH(A296,Holidays!$A$5:$A$60,0)),"")="Holiday","Holiday",IF(WEEKDAY(A296)&gt;=6,"Weekend",IF(IFERROR(INDEX(Holidays!$D$5:$D$60,MATCH(A296,Holidays!$A$5:$A$60,0)),"")="Eve","Eve","Workday")))</f>
        <v>Weekend</v>
      </c>
      <c r="D296" s="18" t="str">
        <f aca="false">IFERROR(INDEX(Holidays!$C$5:$C$60,MATCH(A296,Holidays!$A$5:$A$60,0)),"")</f>
        <v/>
      </c>
      <c r="E296" s="31"/>
      <c r="F296" s="32"/>
      <c r="G296" s="32"/>
      <c r="H296" s="32"/>
      <c r="I296" s="32"/>
      <c r="J296" s="31"/>
      <c r="K296" s="33" t="str">
        <f aca="false">IF(E296&lt;&gt;"",E296,IF(U296,"Present",IF(C296="Holiday","Holiday","Weekend")))</f>
        <v>Weekend</v>
      </c>
      <c r="L296" s="34" t="str">
        <f aca="false">IF(OR(K296="Present",K296="Manual Work",K296="Partial Vacation",K296="Partial Sick Leave"),IF(ISNUMBER(F296),F296,IF(AND(K296="Present",U296),Settings!$B$6,"")),"")</f>
        <v/>
      </c>
      <c r="M296" s="34" t="str">
        <f aca="false">IF(OR(K296="Present",K296="Manual Work",K296="Partial Vacation",K296="Partial Sick Leave"),IF(ISNUMBER(G296),G296,IF(AND(K296="Present",U296),V296,"")),"")</f>
        <v/>
      </c>
      <c r="N296" s="14" t="n">
        <f aca="false">IF(AND(ISNUMBER(L296),ISNUMBER(M296)),MAX(0,(M296-L296)*24),0)</f>
        <v>0</v>
      </c>
      <c r="O296" s="14" t="n">
        <f aca="false">IF(NOT(U296),0,IF(K296="Vacation",IF(C296="Eve",Settings!$B$9*Settings!$B$11,W296),IF(K296="Partial Vacation",IF(AND(ISNUMBER(H296),ISNUMBER(I296)),MAX(0,(I296-H296)*24),0),0)))</f>
        <v>0</v>
      </c>
      <c r="P296" s="14" t="n">
        <f aca="false">IF(NOT(U296),0,IF(K296="Sick Leave",W296,IF(K296="Partial Sick Leave",IF(AND(ISNUMBER(H296),ISNUMBER(I296)),MAX(0,(I296-H296)*24),0),0)))</f>
        <v>0</v>
      </c>
      <c r="Q296" s="14" t="n">
        <f aca="false">IF(NOT(U296),0,IF(K296="Vacation",IF(C296="Eve",Settings!$B$11,1),IF(K296="Partial Vacation",O296/Settings!$B$9,0)))</f>
        <v>0</v>
      </c>
      <c r="R296" s="14" t="n">
        <f aca="false">IF(NOT(U296),0,IF(K296="Sick Leave",1,IF(K296="Partial Sick Leave",P296/Settings!$B$9,0)))</f>
        <v>0</v>
      </c>
      <c r="S296" s="35" t="str">
        <f aca="false">IF(AND(OR(E296="Vacation",E296="Sick Leave",E296="Partial Vacation",E296="Partial Sick Leave"),NOT(U296)),"Leave not allowed on this day",IF(AND(E296="Manual Work",OR(NOT(ISNUMBER(F296)),NOT(ISNUMBER(G296)))),"Enter start and end",IF(AND(OR(E296="Partial Vacation",E296="Partial Sick Leave"),OR(NOT(ISNUMBER(H296)),NOT(ISNUMBER(I296)))),"Enter leave from and to",IF(AND(ISNUMBER(F296),ISNUMBER(G296),G296&lt;=F296),"End is before start",IF(AND(ISNUMBER(H296),ISNUMBER(I296),I296&lt;=H296),"Leave end is before start",IF(AND(ISNUMBER(F296),ISNUMBER(G296),ISNUMBER(H296),ISNUMBER(I296),F296&lt;I296,H296&lt;G296),"Work and leave hours overlap",IF(AND(E296&lt;&gt;"",WEEKDAY(A296)=7),"Saturday - administrator only","")))))))</f>
        <v/>
      </c>
      <c r="T296" s="36" t="n">
        <f aca="false">MONTH(A296)</f>
        <v>10</v>
      </c>
      <c r="U296" s="37" t="b">
        <f aca="false">OR(C296="Workday",C296="Eve")</f>
        <v>0</v>
      </c>
      <c r="V296" s="34" t="n">
        <f aca="false">IF(C296="Eve",Settings!$B$8,Settings!$B$7)</f>
        <v>0.6875</v>
      </c>
      <c r="W296" s="14" t="n">
        <f aca="false">IF(U296,(V296-Settings!$B$6)*24,0)</f>
        <v>0</v>
      </c>
    </row>
    <row r="297" customFormat="false" ht="15" hidden="false" customHeight="false" outlineLevel="0" collapsed="false">
      <c r="A297" s="29" t="n">
        <v>46313</v>
      </c>
      <c r="B297" s="30" t="str">
        <f aca="false">CHOOSE(WEEKDAY(A297),"Sun","Mon","Tue","Wed","Thu","Fri","Sat")</f>
        <v>Sun</v>
      </c>
      <c r="C297" s="30" t="str">
        <f aca="false">IF(IFERROR(INDEX(Holidays!$D$5:$D$60,MATCH(A297,Holidays!$A$5:$A$60,0)),"")="Holiday","Holiday",IF(WEEKDAY(A297)&gt;=6,"Weekend",IF(IFERROR(INDEX(Holidays!$D$5:$D$60,MATCH(A297,Holidays!$A$5:$A$60,0)),"")="Eve","Eve","Workday")))</f>
        <v>Workday</v>
      </c>
      <c r="D297" s="18" t="str">
        <f aca="false">IFERROR(INDEX(Holidays!$C$5:$C$60,MATCH(A297,Holidays!$A$5:$A$60,0)),"")</f>
        <v/>
      </c>
      <c r="E297" s="31"/>
      <c r="F297" s="32"/>
      <c r="G297" s="32"/>
      <c r="H297" s="32"/>
      <c r="I297" s="32"/>
      <c r="J297" s="31"/>
      <c r="K297" s="33" t="str">
        <f aca="false">IF(E297&lt;&gt;"",E297,IF(U297,"Present",IF(C297="Holiday","Holiday","Weekend")))</f>
        <v>Present</v>
      </c>
      <c r="L297" s="34" t="n">
        <f aca="false">IF(OR(K297="Present",K297="Manual Work",K297="Partial Vacation",K297="Partial Sick Leave"),IF(ISNUMBER(F297),F297,IF(AND(K297="Present",U297),Settings!$B$6,"")),"")</f>
        <v>0.333333333333333</v>
      </c>
      <c r="M297" s="34" t="n">
        <f aca="false">IF(OR(K297="Present",K297="Manual Work",K297="Partial Vacation",K297="Partial Sick Leave"),IF(ISNUMBER(G297),G297,IF(AND(K297="Present",U297),V297,"")),"")</f>
        <v>0.6875</v>
      </c>
      <c r="N297" s="14" t="n">
        <f aca="false">IF(AND(ISNUMBER(L297),ISNUMBER(M297)),MAX(0,(M297-L297)*24),0)</f>
        <v>8.5</v>
      </c>
      <c r="O297" s="14" t="n">
        <f aca="false">IF(NOT(U297),0,IF(K297="Vacation",IF(C297="Eve",Settings!$B$9*Settings!$B$11,W297),IF(K297="Partial Vacation",IF(AND(ISNUMBER(H297),ISNUMBER(I297)),MAX(0,(I297-H297)*24),0),0)))</f>
        <v>0</v>
      </c>
      <c r="P297" s="14" t="n">
        <f aca="false">IF(NOT(U297),0,IF(K297="Sick Leave",W297,IF(K297="Partial Sick Leave",IF(AND(ISNUMBER(H297),ISNUMBER(I297)),MAX(0,(I297-H297)*24),0),0)))</f>
        <v>0</v>
      </c>
      <c r="Q297" s="14" t="n">
        <f aca="false">IF(NOT(U297),0,IF(K297="Vacation",IF(C297="Eve",Settings!$B$11,1),IF(K297="Partial Vacation",O297/Settings!$B$9,0)))</f>
        <v>0</v>
      </c>
      <c r="R297" s="14" t="n">
        <f aca="false">IF(NOT(U297),0,IF(K297="Sick Leave",1,IF(K297="Partial Sick Leave",P297/Settings!$B$9,0)))</f>
        <v>0</v>
      </c>
      <c r="S297" s="35" t="str">
        <f aca="false">IF(AND(OR(E297="Vacation",E297="Sick Leave",E297="Partial Vacation",E297="Partial Sick Leave"),NOT(U297)),"Leave not allowed on this day",IF(AND(E297="Manual Work",OR(NOT(ISNUMBER(F297)),NOT(ISNUMBER(G297)))),"Enter start and end",IF(AND(OR(E297="Partial Vacation",E297="Partial Sick Leave"),OR(NOT(ISNUMBER(H297)),NOT(ISNUMBER(I297)))),"Enter leave from and to",IF(AND(ISNUMBER(F297),ISNUMBER(G297),G297&lt;=F297),"End is before start",IF(AND(ISNUMBER(H297),ISNUMBER(I297),I297&lt;=H297),"Leave end is before start",IF(AND(ISNUMBER(F297),ISNUMBER(G297),ISNUMBER(H297),ISNUMBER(I297),F297&lt;I297,H297&lt;G297),"Work and leave hours overlap",IF(AND(E297&lt;&gt;"",WEEKDAY(A297)=7),"Saturday - administrator only","")))))))</f>
        <v/>
      </c>
      <c r="T297" s="36" t="n">
        <f aca="false">MONTH(A297)</f>
        <v>10</v>
      </c>
      <c r="U297" s="37" t="b">
        <f aca="false">OR(C297="Workday",C297="Eve")</f>
        <v>1</v>
      </c>
      <c r="V297" s="34" t="n">
        <f aca="false">IF(C297="Eve",Settings!$B$8,Settings!$B$7)</f>
        <v>0.6875</v>
      </c>
      <c r="W297" s="14" t="n">
        <f aca="false">IF(U297,(V297-Settings!$B$6)*24,0)</f>
        <v>8.5</v>
      </c>
    </row>
    <row r="298" customFormat="false" ht="15" hidden="false" customHeight="false" outlineLevel="0" collapsed="false">
      <c r="A298" s="29" t="n">
        <v>46314</v>
      </c>
      <c r="B298" s="30" t="str">
        <f aca="false">CHOOSE(WEEKDAY(A298),"Sun","Mon","Tue","Wed","Thu","Fri","Sat")</f>
        <v>Mon</v>
      </c>
      <c r="C298" s="30" t="str">
        <f aca="false">IF(IFERROR(INDEX(Holidays!$D$5:$D$60,MATCH(A298,Holidays!$A$5:$A$60,0)),"")="Holiday","Holiday",IF(WEEKDAY(A298)&gt;=6,"Weekend",IF(IFERROR(INDEX(Holidays!$D$5:$D$60,MATCH(A298,Holidays!$A$5:$A$60,0)),"")="Eve","Eve","Workday")))</f>
        <v>Workday</v>
      </c>
      <c r="D298" s="18" t="str">
        <f aca="false">IFERROR(INDEX(Holidays!$C$5:$C$60,MATCH(A298,Holidays!$A$5:$A$60,0)),"")</f>
        <v/>
      </c>
      <c r="E298" s="31"/>
      <c r="F298" s="32"/>
      <c r="G298" s="32"/>
      <c r="H298" s="32"/>
      <c r="I298" s="32"/>
      <c r="J298" s="31"/>
      <c r="K298" s="33" t="str">
        <f aca="false">IF(E298&lt;&gt;"",E298,IF(U298,"Present",IF(C298="Holiday","Holiday","Weekend")))</f>
        <v>Present</v>
      </c>
      <c r="L298" s="34" t="n">
        <f aca="false">IF(OR(K298="Present",K298="Manual Work",K298="Partial Vacation",K298="Partial Sick Leave"),IF(ISNUMBER(F298),F298,IF(AND(K298="Present",U298),Settings!$B$6,"")),"")</f>
        <v>0.333333333333333</v>
      </c>
      <c r="M298" s="34" t="n">
        <f aca="false">IF(OR(K298="Present",K298="Manual Work",K298="Partial Vacation",K298="Partial Sick Leave"),IF(ISNUMBER(G298),G298,IF(AND(K298="Present",U298),V298,"")),"")</f>
        <v>0.6875</v>
      </c>
      <c r="N298" s="14" t="n">
        <f aca="false">IF(AND(ISNUMBER(L298),ISNUMBER(M298)),MAX(0,(M298-L298)*24),0)</f>
        <v>8.5</v>
      </c>
      <c r="O298" s="14" t="n">
        <f aca="false">IF(NOT(U298),0,IF(K298="Vacation",IF(C298="Eve",Settings!$B$9*Settings!$B$11,W298),IF(K298="Partial Vacation",IF(AND(ISNUMBER(H298),ISNUMBER(I298)),MAX(0,(I298-H298)*24),0),0)))</f>
        <v>0</v>
      </c>
      <c r="P298" s="14" t="n">
        <f aca="false">IF(NOT(U298),0,IF(K298="Sick Leave",W298,IF(K298="Partial Sick Leave",IF(AND(ISNUMBER(H298),ISNUMBER(I298)),MAX(0,(I298-H298)*24),0),0)))</f>
        <v>0</v>
      </c>
      <c r="Q298" s="14" t="n">
        <f aca="false">IF(NOT(U298),0,IF(K298="Vacation",IF(C298="Eve",Settings!$B$11,1),IF(K298="Partial Vacation",O298/Settings!$B$9,0)))</f>
        <v>0</v>
      </c>
      <c r="R298" s="14" t="n">
        <f aca="false">IF(NOT(U298),0,IF(K298="Sick Leave",1,IF(K298="Partial Sick Leave",P298/Settings!$B$9,0)))</f>
        <v>0</v>
      </c>
      <c r="S298" s="35" t="str">
        <f aca="false">IF(AND(OR(E298="Vacation",E298="Sick Leave",E298="Partial Vacation",E298="Partial Sick Leave"),NOT(U298)),"Leave not allowed on this day",IF(AND(E298="Manual Work",OR(NOT(ISNUMBER(F298)),NOT(ISNUMBER(G298)))),"Enter start and end",IF(AND(OR(E298="Partial Vacation",E298="Partial Sick Leave"),OR(NOT(ISNUMBER(H298)),NOT(ISNUMBER(I298)))),"Enter leave from and to",IF(AND(ISNUMBER(F298),ISNUMBER(G298),G298&lt;=F298),"End is before start",IF(AND(ISNUMBER(H298),ISNUMBER(I298),I298&lt;=H298),"Leave end is before start",IF(AND(ISNUMBER(F298),ISNUMBER(G298),ISNUMBER(H298),ISNUMBER(I298),F298&lt;I298,H298&lt;G298),"Work and leave hours overlap",IF(AND(E298&lt;&gt;"",WEEKDAY(A298)=7),"Saturday - administrator only","")))))))</f>
        <v/>
      </c>
      <c r="T298" s="36" t="n">
        <f aca="false">MONTH(A298)</f>
        <v>10</v>
      </c>
      <c r="U298" s="37" t="b">
        <f aca="false">OR(C298="Workday",C298="Eve")</f>
        <v>1</v>
      </c>
      <c r="V298" s="34" t="n">
        <f aca="false">IF(C298="Eve",Settings!$B$8,Settings!$B$7)</f>
        <v>0.6875</v>
      </c>
      <c r="W298" s="14" t="n">
        <f aca="false">IF(U298,(V298-Settings!$B$6)*24,0)</f>
        <v>8.5</v>
      </c>
    </row>
    <row r="299" customFormat="false" ht="15" hidden="false" customHeight="false" outlineLevel="0" collapsed="false">
      <c r="A299" s="29" t="n">
        <v>46315</v>
      </c>
      <c r="B299" s="30" t="str">
        <f aca="false">CHOOSE(WEEKDAY(A299),"Sun","Mon","Tue","Wed","Thu","Fri","Sat")</f>
        <v>Tue</v>
      </c>
      <c r="C299" s="30" t="str">
        <f aca="false">IF(IFERROR(INDEX(Holidays!$D$5:$D$60,MATCH(A299,Holidays!$A$5:$A$60,0)),"")="Holiday","Holiday",IF(WEEKDAY(A299)&gt;=6,"Weekend",IF(IFERROR(INDEX(Holidays!$D$5:$D$60,MATCH(A299,Holidays!$A$5:$A$60,0)),"")="Eve","Eve","Workday")))</f>
        <v>Workday</v>
      </c>
      <c r="D299" s="18" t="str">
        <f aca="false">IFERROR(INDEX(Holidays!$C$5:$C$60,MATCH(A299,Holidays!$A$5:$A$60,0)),"")</f>
        <v/>
      </c>
      <c r="E299" s="31"/>
      <c r="F299" s="32"/>
      <c r="G299" s="32"/>
      <c r="H299" s="32"/>
      <c r="I299" s="32"/>
      <c r="J299" s="31"/>
      <c r="K299" s="33" t="str">
        <f aca="false">IF(E299&lt;&gt;"",E299,IF(U299,"Present",IF(C299="Holiday","Holiday","Weekend")))</f>
        <v>Present</v>
      </c>
      <c r="L299" s="34" t="n">
        <f aca="false">IF(OR(K299="Present",K299="Manual Work",K299="Partial Vacation",K299="Partial Sick Leave"),IF(ISNUMBER(F299),F299,IF(AND(K299="Present",U299),Settings!$B$6,"")),"")</f>
        <v>0.333333333333333</v>
      </c>
      <c r="M299" s="34" t="n">
        <f aca="false">IF(OR(K299="Present",K299="Manual Work",K299="Partial Vacation",K299="Partial Sick Leave"),IF(ISNUMBER(G299),G299,IF(AND(K299="Present",U299),V299,"")),"")</f>
        <v>0.6875</v>
      </c>
      <c r="N299" s="14" t="n">
        <f aca="false">IF(AND(ISNUMBER(L299),ISNUMBER(M299)),MAX(0,(M299-L299)*24),0)</f>
        <v>8.5</v>
      </c>
      <c r="O299" s="14" t="n">
        <f aca="false">IF(NOT(U299),0,IF(K299="Vacation",IF(C299="Eve",Settings!$B$9*Settings!$B$11,W299),IF(K299="Partial Vacation",IF(AND(ISNUMBER(H299),ISNUMBER(I299)),MAX(0,(I299-H299)*24),0),0)))</f>
        <v>0</v>
      </c>
      <c r="P299" s="14" t="n">
        <f aca="false">IF(NOT(U299),0,IF(K299="Sick Leave",W299,IF(K299="Partial Sick Leave",IF(AND(ISNUMBER(H299),ISNUMBER(I299)),MAX(0,(I299-H299)*24),0),0)))</f>
        <v>0</v>
      </c>
      <c r="Q299" s="14" t="n">
        <f aca="false">IF(NOT(U299),0,IF(K299="Vacation",IF(C299="Eve",Settings!$B$11,1),IF(K299="Partial Vacation",O299/Settings!$B$9,0)))</f>
        <v>0</v>
      </c>
      <c r="R299" s="14" t="n">
        <f aca="false">IF(NOT(U299),0,IF(K299="Sick Leave",1,IF(K299="Partial Sick Leave",P299/Settings!$B$9,0)))</f>
        <v>0</v>
      </c>
      <c r="S299" s="35" t="str">
        <f aca="false">IF(AND(OR(E299="Vacation",E299="Sick Leave",E299="Partial Vacation",E299="Partial Sick Leave"),NOT(U299)),"Leave not allowed on this day",IF(AND(E299="Manual Work",OR(NOT(ISNUMBER(F299)),NOT(ISNUMBER(G299)))),"Enter start and end",IF(AND(OR(E299="Partial Vacation",E299="Partial Sick Leave"),OR(NOT(ISNUMBER(H299)),NOT(ISNUMBER(I299)))),"Enter leave from and to",IF(AND(ISNUMBER(F299),ISNUMBER(G299),G299&lt;=F299),"End is before start",IF(AND(ISNUMBER(H299),ISNUMBER(I299),I299&lt;=H299),"Leave end is before start",IF(AND(ISNUMBER(F299),ISNUMBER(G299),ISNUMBER(H299),ISNUMBER(I299),F299&lt;I299,H299&lt;G299),"Work and leave hours overlap",IF(AND(E299&lt;&gt;"",WEEKDAY(A299)=7),"Saturday - administrator only","")))))))</f>
        <v/>
      </c>
      <c r="T299" s="36" t="n">
        <f aca="false">MONTH(A299)</f>
        <v>10</v>
      </c>
      <c r="U299" s="37" t="b">
        <f aca="false">OR(C299="Workday",C299="Eve")</f>
        <v>1</v>
      </c>
      <c r="V299" s="34" t="n">
        <f aca="false">IF(C299="Eve",Settings!$B$8,Settings!$B$7)</f>
        <v>0.6875</v>
      </c>
      <c r="W299" s="14" t="n">
        <f aca="false">IF(U299,(V299-Settings!$B$6)*24,0)</f>
        <v>8.5</v>
      </c>
    </row>
    <row r="300" customFormat="false" ht="15" hidden="false" customHeight="false" outlineLevel="0" collapsed="false">
      <c r="A300" s="29" t="n">
        <v>46316</v>
      </c>
      <c r="B300" s="30" t="str">
        <f aca="false">CHOOSE(WEEKDAY(A300),"Sun","Mon","Tue","Wed","Thu","Fri","Sat")</f>
        <v>Wed</v>
      </c>
      <c r="C300" s="30" t="str">
        <f aca="false">IF(IFERROR(INDEX(Holidays!$D$5:$D$60,MATCH(A300,Holidays!$A$5:$A$60,0)),"")="Holiday","Holiday",IF(WEEKDAY(A300)&gt;=6,"Weekend",IF(IFERROR(INDEX(Holidays!$D$5:$D$60,MATCH(A300,Holidays!$A$5:$A$60,0)),"")="Eve","Eve","Workday")))</f>
        <v>Workday</v>
      </c>
      <c r="D300" s="18" t="str">
        <f aca="false">IFERROR(INDEX(Holidays!$C$5:$C$60,MATCH(A300,Holidays!$A$5:$A$60,0)),"")</f>
        <v/>
      </c>
      <c r="E300" s="31"/>
      <c r="F300" s="32"/>
      <c r="G300" s="32"/>
      <c r="H300" s="32"/>
      <c r="I300" s="32"/>
      <c r="J300" s="31"/>
      <c r="K300" s="33" t="str">
        <f aca="false">IF(E300&lt;&gt;"",E300,IF(U300,"Present",IF(C300="Holiday","Holiday","Weekend")))</f>
        <v>Present</v>
      </c>
      <c r="L300" s="34" t="n">
        <f aca="false">IF(OR(K300="Present",K300="Manual Work",K300="Partial Vacation",K300="Partial Sick Leave"),IF(ISNUMBER(F300),F300,IF(AND(K300="Present",U300),Settings!$B$6,"")),"")</f>
        <v>0.333333333333333</v>
      </c>
      <c r="M300" s="34" t="n">
        <f aca="false">IF(OR(K300="Present",K300="Manual Work",K300="Partial Vacation",K300="Partial Sick Leave"),IF(ISNUMBER(G300),G300,IF(AND(K300="Present",U300),V300,"")),"")</f>
        <v>0.6875</v>
      </c>
      <c r="N300" s="14" t="n">
        <f aca="false">IF(AND(ISNUMBER(L300),ISNUMBER(M300)),MAX(0,(M300-L300)*24),0)</f>
        <v>8.5</v>
      </c>
      <c r="O300" s="14" t="n">
        <f aca="false">IF(NOT(U300),0,IF(K300="Vacation",IF(C300="Eve",Settings!$B$9*Settings!$B$11,W300),IF(K300="Partial Vacation",IF(AND(ISNUMBER(H300),ISNUMBER(I300)),MAX(0,(I300-H300)*24),0),0)))</f>
        <v>0</v>
      </c>
      <c r="P300" s="14" t="n">
        <f aca="false">IF(NOT(U300),0,IF(K300="Sick Leave",W300,IF(K300="Partial Sick Leave",IF(AND(ISNUMBER(H300),ISNUMBER(I300)),MAX(0,(I300-H300)*24),0),0)))</f>
        <v>0</v>
      </c>
      <c r="Q300" s="14" t="n">
        <f aca="false">IF(NOT(U300),0,IF(K300="Vacation",IF(C300="Eve",Settings!$B$11,1),IF(K300="Partial Vacation",O300/Settings!$B$9,0)))</f>
        <v>0</v>
      </c>
      <c r="R300" s="14" t="n">
        <f aca="false">IF(NOT(U300),0,IF(K300="Sick Leave",1,IF(K300="Partial Sick Leave",P300/Settings!$B$9,0)))</f>
        <v>0</v>
      </c>
      <c r="S300" s="35" t="str">
        <f aca="false">IF(AND(OR(E300="Vacation",E300="Sick Leave",E300="Partial Vacation",E300="Partial Sick Leave"),NOT(U300)),"Leave not allowed on this day",IF(AND(E300="Manual Work",OR(NOT(ISNUMBER(F300)),NOT(ISNUMBER(G300)))),"Enter start and end",IF(AND(OR(E300="Partial Vacation",E300="Partial Sick Leave"),OR(NOT(ISNUMBER(H300)),NOT(ISNUMBER(I300)))),"Enter leave from and to",IF(AND(ISNUMBER(F300),ISNUMBER(G300),G300&lt;=F300),"End is before start",IF(AND(ISNUMBER(H300),ISNUMBER(I300),I300&lt;=H300),"Leave end is before start",IF(AND(ISNUMBER(F300),ISNUMBER(G300),ISNUMBER(H300),ISNUMBER(I300),F300&lt;I300,H300&lt;G300),"Work and leave hours overlap",IF(AND(E300&lt;&gt;"",WEEKDAY(A300)=7),"Saturday - administrator only","")))))))</f>
        <v/>
      </c>
      <c r="T300" s="36" t="n">
        <f aca="false">MONTH(A300)</f>
        <v>10</v>
      </c>
      <c r="U300" s="37" t="b">
        <f aca="false">OR(C300="Workday",C300="Eve")</f>
        <v>1</v>
      </c>
      <c r="V300" s="34" t="n">
        <f aca="false">IF(C300="Eve",Settings!$B$8,Settings!$B$7)</f>
        <v>0.6875</v>
      </c>
      <c r="W300" s="14" t="n">
        <f aca="false">IF(U300,(V300-Settings!$B$6)*24,0)</f>
        <v>8.5</v>
      </c>
    </row>
    <row r="301" customFormat="false" ht="15" hidden="false" customHeight="false" outlineLevel="0" collapsed="false">
      <c r="A301" s="29" t="n">
        <v>46317</v>
      </c>
      <c r="B301" s="30" t="str">
        <f aca="false">CHOOSE(WEEKDAY(A301),"Sun","Mon","Tue","Wed","Thu","Fri","Sat")</f>
        <v>Thu</v>
      </c>
      <c r="C301" s="30" t="str">
        <f aca="false">IF(IFERROR(INDEX(Holidays!$D$5:$D$60,MATCH(A301,Holidays!$A$5:$A$60,0)),"")="Holiday","Holiday",IF(WEEKDAY(A301)&gt;=6,"Weekend",IF(IFERROR(INDEX(Holidays!$D$5:$D$60,MATCH(A301,Holidays!$A$5:$A$60,0)),"")="Eve","Eve","Workday")))</f>
        <v>Workday</v>
      </c>
      <c r="D301" s="18" t="str">
        <f aca="false">IFERROR(INDEX(Holidays!$C$5:$C$60,MATCH(A301,Holidays!$A$5:$A$60,0)),"")</f>
        <v/>
      </c>
      <c r="E301" s="31"/>
      <c r="F301" s="32"/>
      <c r="G301" s="32"/>
      <c r="H301" s="32"/>
      <c r="I301" s="32"/>
      <c r="J301" s="31"/>
      <c r="K301" s="33" t="str">
        <f aca="false">IF(E301&lt;&gt;"",E301,IF(U301,"Present",IF(C301="Holiday","Holiday","Weekend")))</f>
        <v>Present</v>
      </c>
      <c r="L301" s="34" t="n">
        <f aca="false">IF(OR(K301="Present",K301="Manual Work",K301="Partial Vacation",K301="Partial Sick Leave"),IF(ISNUMBER(F301),F301,IF(AND(K301="Present",U301),Settings!$B$6,"")),"")</f>
        <v>0.333333333333333</v>
      </c>
      <c r="M301" s="34" t="n">
        <f aca="false">IF(OR(K301="Present",K301="Manual Work",K301="Partial Vacation",K301="Partial Sick Leave"),IF(ISNUMBER(G301),G301,IF(AND(K301="Present",U301),V301,"")),"")</f>
        <v>0.6875</v>
      </c>
      <c r="N301" s="14" t="n">
        <f aca="false">IF(AND(ISNUMBER(L301),ISNUMBER(M301)),MAX(0,(M301-L301)*24),0)</f>
        <v>8.5</v>
      </c>
      <c r="O301" s="14" t="n">
        <f aca="false">IF(NOT(U301),0,IF(K301="Vacation",IF(C301="Eve",Settings!$B$9*Settings!$B$11,W301),IF(K301="Partial Vacation",IF(AND(ISNUMBER(H301),ISNUMBER(I301)),MAX(0,(I301-H301)*24),0),0)))</f>
        <v>0</v>
      </c>
      <c r="P301" s="14" t="n">
        <f aca="false">IF(NOT(U301),0,IF(K301="Sick Leave",W301,IF(K301="Partial Sick Leave",IF(AND(ISNUMBER(H301),ISNUMBER(I301)),MAX(0,(I301-H301)*24),0),0)))</f>
        <v>0</v>
      </c>
      <c r="Q301" s="14" t="n">
        <f aca="false">IF(NOT(U301),0,IF(K301="Vacation",IF(C301="Eve",Settings!$B$11,1),IF(K301="Partial Vacation",O301/Settings!$B$9,0)))</f>
        <v>0</v>
      </c>
      <c r="R301" s="14" t="n">
        <f aca="false">IF(NOT(U301),0,IF(K301="Sick Leave",1,IF(K301="Partial Sick Leave",P301/Settings!$B$9,0)))</f>
        <v>0</v>
      </c>
      <c r="S301" s="35" t="str">
        <f aca="false">IF(AND(OR(E301="Vacation",E301="Sick Leave",E301="Partial Vacation",E301="Partial Sick Leave"),NOT(U301)),"Leave not allowed on this day",IF(AND(E301="Manual Work",OR(NOT(ISNUMBER(F301)),NOT(ISNUMBER(G301)))),"Enter start and end",IF(AND(OR(E301="Partial Vacation",E301="Partial Sick Leave"),OR(NOT(ISNUMBER(H301)),NOT(ISNUMBER(I301)))),"Enter leave from and to",IF(AND(ISNUMBER(F301),ISNUMBER(G301),G301&lt;=F301),"End is before start",IF(AND(ISNUMBER(H301),ISNUMBER(I301),I301&lt;=H301),"Leave end is before start",IF(AND(ISNUMBER(F301),ISNUMBER(G301),ISNUMBER(H301),ISNUMBER(I301),F301&lt;I301,H301&lt;G301),"Work and leave hours overlap",IF(AND(E301&lt;&gt;"",WEEKDAY(A301)=7),"Saturday - administrator only","")))))))</f>
        <v/>
      </c>
      <c r="T301" s="36" t="n">
        <f aca="false">MONTH(A301)</f>
        <v>10</v>
      </c>
      <c r="U301" s="37" t="b">
        <f aca="false">OR(C301="Workday",C301="Eve")</f>
        <v>1</v>
      </c>
      <c r="V301" s="34" t="n">
        <f aca="false">IF(C301="Eve",Settings!$B$8,Settings!$B$7)</f>
        <v>0.6875</v>
      </c>
      <c r="W301" s="14" t="n">
        <f aca="false">IF(U301,(V301-Settings!$B$6)*24,0)</f>
        <v>8.5</v>
      </c>
    </row>
    <row r="302" customFormat="false" ht="15" hidden="false" customHeight="false" outlineLevel="0" collapsed="false">
      <c r="A302" s="29" t="n">
        <v>46318</v>
      </c>
      <c r="B302" s="30" t="str">
        <f aca="false">CHOOSE(WEEKDAY(A302),"Sun","Mon","Tue","Wed","Thu","Fri","Sat")</f>
        <v>Fri</v>
      </c>
      <c r="C302" s="30" t="str">
        <f aca="false">IF(IFERROR(INDEX(Holidays!$D$5:$D$60,MATCH(A302,Holidays!$A$5:$A$60,0)),"")="Holiday","Holiday",IF(WEEKDAY(A302)&gt;=6,"Weekend",IF(IFERROR(INDEX(Holidays!$D$5:$D$60,MATCH(A302,Holidays!$A$5:$A$60,0)),"")="Eve","Eve","Workday")))</f>
        <v>Weekend</v>
      </c>
      <c r="D302" s="18" t="str">
        <f aca="false">IFERROR(INDEX(Holidays!$C$5:$C$60,MATCH(A302,Holidays!$A$5:$A$60,0)),"")</f>
        <v/>
      </c>
      <c r="E302" s="31"/>
      <c r="F302" s="32"/>
      <c r="G302" s="32"/>
      <c r="H302" s="32"/>
      <c r="I302" s="32"/>
      <c r="J302" s="31"/>
      <c r="K302" s="33" t="str">
        <f aca="false">IF(E302&lt;&gt;"",E302,IF(U302,"Present",IF(C302="Holiday","Holiday","Weekend")))</f>
        <v>Weekend</v>
      </c>
      <c r="L302" s="34" t="str">
        <f aca="false">IF(OR(K302="Present",K302="Manual Work",K302="Partial Vacation",K302="Partial Sick Leave"),IF(ISNUMBER(F302),F302,IF(AND(K302="Present",U302),Settings!$B$6,"")),"")</f>
        <v/>
      </c>
      <c r="M302" s="34" t="str">
        <f aca="false">IF(OR(K302="Present",K302="Manual Work",K302="Partial Vacation",K302="Partial Sick Leave"),IF(ISNUMBER(G302),G302,IF(AND(K302="Present",U302),V302,"")),"")</f>
        <v/>
      </c>
      <c r="N302" s="14" t="n">
        <f aca="false">IF(AND(ISNUMBER(L302),ISNUMBER(M302)),MAX(0,(M302-L302)*24),0)</f>
        <v>0</v>
      </c>
      <c r="O302" s="14" t="n">
        <f aca="false">IF(NOT(U302),0,IF(K302="Vacation",IF(C302="Eve",Settings!$B$9*Settings!$B$11,W302),IF(K302="Partial Vacation",IF(AND(ISNUMBER(H302),ISNUMBER(I302)),MAX(0,(I302-H302)*24),0),0)))</f>
        <v>0</v>
      </c>
      <c r="P302" s="14" t="n">
        <f aca="false">IF(NOT(U302),0,IF(K302="Sick Leave",W302,IF(K302="Partial Sick Leave",IF(AND(ISNUMBER(H302),ISNUMBER(I302)),MAX(0,(I302-H302)*24),0),0)))</f>
        <v>0</v>
      </c>
      <c r="Q302" s="14" t="n">
        <f aca="false">IF(NOT(U302),0,IF(K302="Vacation",IF(C302="Eve",Settings!$B$11,1),IF(K302="Partial Vacation",O302/Settings!$B$9,0)))</f>
        <v>0</v>
      </c>
      <c r="R302" s="14" t="n">
        <f aca="false">IF(NOT(U302),0,IF(K302="Sick Leave",1,IF(K302="Partial Sick Leave",P302/Settings!$B$9,0)))</f>
        <v>0</v>
      </c>
      <c r="S302" s="35" t="str">
        <f aca="false">IF(AND(OR(E302="Vacation",E302="Sick Leave",E302="Partial Vacation",E302="Partial Sick Leave"),NOT(U302)),"Leave not allowed on this day",IF(AND(E302="Manual Work",OR(NOT(ISNUMBER(F302)),NOT(ISNUMBER(G302)))),"Enter start and end",IF(AND(OR(E302="Partial Vacation",E302="Partial Sick Leave"),OR(NOT(ISNUMBER(H302)),NOT(ISNUMBER(I302)))),"Enter leave from and to",IF(AND(ISNUMBER(F302),ISNUMBER(G302),G302&lt;=F302),"End is before start",IF(AND(ISNUMBER(H302),ISNUMBER(I302),I302&lt;=H302),"Leave end is before start",IF(AND(ISNUMBER(F302),ISNUMBER(G302),ISNUMBER(H302),ISNUMBER(I302),F302&lt;I302,H302&lt;G302),"Work and leave hours overlap",IF(AND(E302&lt;&gt;"",WEEKDAY(A302)=7),"Saturday - administrator only","")))))))</f>
        <v/>
      </c>
      <c r="T302" s="36" t="n">
        <f aca="false">MONTH(A302)</f>
        <v>10</v>
      </c>
      <c r="U302" s="37" t="b">
        <f aca="false">OR(C302="Workday",C302="Eve")</f>
        <v>0</v>
      </c>
      <c r="V302" s="34" t="n">
        <f aca="false">IF(C302="Eve",Settings!$B$8,Settings!$B$7)</f>
        <v>0.6875</v>
      </c>
      <c r="W302" s="14" t="n">
        <f aca="false">IF(U302,(V302-Settings!$B$6)*24,0)</f>
        <v>0</v>
      </c>
    </row>
    <row r="303" customFormat="false" ht="15" hidden="false" customHeight="false" outlineLevel="0" collapsed="false">
      <c r="A303" s="29" t="n">
        <v>46319</v>
      </c>
      <c r="B303" s="30" t="str">
        <f aca="false">CHOOSE(WEEKDAY(A303),"Sun","Mon","Tue","Wed","Thu","Fri","Sat")</f>
        <v>Sat</v>
      </c>
      <c r="C303" s="30" t="str">
        <f aca="false">IF(IFERROR(INDEX(Holidays!$D$5:$D$60,MATCH(A303,Holidays!$A$5:$A$60,0)),"")="Holiday","Holiday",IF(WEEKDAY(A303)&gt;=6,"Weekend",IF(IFERROR(INDEX(Holidays!$D$5:$D$60,MATCH(A303,Holidays!$A$5:$A$60,0)),"")="Eve","Eve","Workday")))</f>
        <v>Weekend</v>
      </c>
      <c r="D303" s="18" t="str">
        <f aca="false">IFERROR(INDEX(Holidays!$C$5:$C$60,MATCH(A303,Holidays!$A$5:$A$60,0)),"")</f>
        <v/>
      </c>
      <c r="E303" s="31"/>
      <c r="F303" s="32"/>
      <c r="G303" s="32"/>
      <c r="H303" s="32"/>
      <c r="I303" s="32"/>
      <c r="J303" s="31"/>
      <c r="K303" s="33" t="str">
        <f aca="false">IF(E303&lt;&gt;"",E303,IF(U303,"Present",IF(C303="Holiday","Holiday","Weekend")))</f>
        <v>Weekend</v>
      </c>
      <c r="L303" s="34" t="str">
        <f aca="false">IF(OR(K303="Present",K303="Manual Work",K303="Partial Vacation",K303="Partial Sick Leave"),IF(ISNUMBER(F303),F303,IF(AND(K303="Present",U303),Settings!$B$6,"")),"")</f>
        <v/>
      </c>
      <c r="M303" s="34" t="str">
        <f aca="false">IF(OR(K303="Present",K303="Manual Work",K303="Partial Vacation",K303="Partial Sick Leave"),IF(ISNUMBER(G303),G303,IF(AND(K303="Present",U303),V303,"")),"")</f>
        <v/>
      </c>
      <c r="N303" s="14" t="n">
        <f aca="false">IF(AND(ISNUMBER(L303),ISNUMBER(M303)),MAX(0,(M303-L303)*24),0)</f>
        <v>0</v>
      </c>
      <c r="O303" s="14" t="n">
        <f aca="false">IF(NOT(U303),0,IF(K303="Vacation",IF(C303="Eve",Settings!$B$9*Settings!$B$11,W303),IF(K303="Partial Vacation",IF(AND(ISNUMBER(H303),ISNUMBER(I303)),MAX(0,(I303-H303)*24),0),0)))</f>
        <v>0</v>
      </c>
      <c r="P303" s="14" t="n">
        <f aca="false">IF(NOT(U303),0,IF(K303="Sick Leave",W303,IF(K303="Partial Sick Leave",IF(AND(ISNUMBER(H303),ISNUMBER(I303)),MAX(0,(I303-H303)*24),0),0)))</f>
        <v>0</v>
      </c>
      <c r="Q303" s="14" t="n">
        <f aca="false">IF(NOT(U303),0,IF(K303="Vacation",IF(C303="Eve",Settings!$B$11,1),IF(K303="Partial Vacation",O303/Settings!$B$9,0)))</f>
        <v>0</v>
      </c>
      <c r="R303" s="14" t="n">
        <f aca="false">IF(NOT(U303),0,IF(K303="Sick Leave",1,IF(K303="Partial Sick Leave",P303/Settings!$B$9,0)))</f>
        <v>0</v>
      </c>
      <c r="S303" s="35" t="str">
        <f aca="false">IF(AND(OR(E303="Vacation",E303="Sick Leave",E303="Partial Vacation",E303="Partial Sick Leave"),NOT(U303)),"Leave not allowed on this day",IF(AND(E303="Manual Work",OR(NOT(ISNUMBER(F303)),NOT(ISNUMBER(G303)))),"Enter start and end",IF(AND(OR(E303="Partial Vacation",E303="Partial Sick Leave"),OR(NOT(ISNUMBER(H303)),NOT(ISNUMBER(I303)))),"Enter leave from and to",IF(AND(ISNUMBER(F303),ISNUMBER(G303),G303&lt;=F303),"End is before start",IF(AND(ISNUMBER(H303),ISNUMBER(I303),I303&lt;=H303),"Leave end is before start",IF(AND(ISNUMBER(F303),ISNUMBER(G303),ISNUMBER(H303),ISNUMBER(I303),F303&lt;I303,H303&lt;G303),"Work and leave hours overlap",IF(AND(E303&lt;&gt;"",WEEKDAY(A303)=7),"Saturday - administrator only","")))))))</f>
        <v/>
      </c>
      <c r="T303" s="36" t="n">
        <f aca="false">MONTH(A303)</f>
        <v>10</v>
      </c>
      <c r="U303" s="37" t="b">
        <f aca="false">OR(C303="Workday",C303="Eve")</f>
        <v>0</v>
      </c>
      <c r="V303" s="34" t="n">
        <f aca="false">IF(C303="Eve",Settings!$B$8,Settings!$B$7)</f>
        <v>0.6875</v>
      </c>
      <c r="W303" s="14" t="n">
        <f aca="false">IF(U303,(V303-Settings!$B$6)*24,0)</f>
        <v>0</v>
      </c>
    </row>
    <row r="304" customFormat="false" ht="15" hidden="false" customHeight="false" outlineLevel="0" collapsed="false">
      <c r="A304" s="29" t="n">
        <v>46320</v>
      </c>
      <c r="B304" s="30" t="str">
        <f aca="false">CHOOSE(WEEKDAY(A304),"Sun","Mon","Tue","Wed","Thu","Fri","Sat")</f>
        <v>Sun</v>
      </c>
      <c r="C304" s="30" t="str">
        <f aca="false">IF(IFERROR(INDEX(Holidays!$D$5:$D$60,MATCH(A304,Holidays!$A$5:$A$60,0)),"")="Holiday","Holiday",IF(WEEKDAY(A304)&gt;=6,"Weekend",IF(IFERROR(INDEX(Holidays!$D$5:$D$60,MATCH(A304,Holidays!$A$5:$A$60,0)),"")="Eve","Eve","Workday")))</f>
        <v>Workday</v>
      </c>
      <c r="D304" s="18" t="str">
        <f aca="false">IFERROR(INDEX(Holidays!$C$5:$C$60,MATCH(A304,Holidays!$A$5:$A$60,0)),"")</f>
        <v/>
      </c>
      <c r="E304" s="31"/>
      <c r="F304" s="32"/>
      <c r="G304" s="32"/>
      <c r="H304" s="32"/>
      <c r="I304" s="32"/>
      <c r="J304" s="31"/>
      <c r="K304" s="33" t="str">
        <f aca="false">IF(E304&lt;&gt;"",E304,IF(U304,"Present",IF(C304="Holiday","Holiday","Weekend")))</f>
        <v>Present</v>
      </c>
      <c r="L304" s="34" t="n">
        <f aca="false">IF(OR(K304="Present",K304="Manual Work",K304="Partial Vacation",K304="Partial Sick Leave"),IF(ISNUMBER(F304),F304,IF(AND(K304="Present",U304),Settings!$B$6,"")),"")</f>
        <v>0.333333333333333</v>
      </c>
      <c r="M304" s="34" t="n">
        <f aca="false">IF(OR(K304="Present",K304="Manual Work",K304="Partial Vacation",K304="Partial Sick Leave"),IF(ISNUMBER(G304),G304,IF(AND(K304="Present",U304),V304,"")),"")</f>
        <v>0.6875</v>
      </c>
      <c r="N304" s="14" t="n">
        <f aca="false">IF(AND(ISNUMBER(L304),ISNUMBER(M304)),MAX(0,(M304-L304)*24),0)</f>
        <v>8.5</v>
      </c>
      <c r="O304" s="14" t="n">
        <f aca="false">IF(NOT(U304),0,IF(K304="Vacation",IF(C304="Eve",Settings!$B$9*Settings!$B$11,W304),IF(K304="Partial Vacation",IF(AND(ISNUMBER(H304),ISNUMBER(I304)),MAX(0,(I304-H304)*24),0),0)))</f>
        <v>0</v>
      </c>
      <c r="P304" s="14" t="n">
        <f aca="false">IF(NOT(U304),0,IF(K304="Sick Leave",W304,IF(K304="Partial Sick Leave",IF(AND(ISNUMBER(H304),ISNUMBER(I304)),MAX(0,(I304-H304)*24),0),0)))</f>
        <v>0</v>
      </c>
      <c r="Q304" s="14" t="n">
        <f aca="false">IF(NOT(U304),0,IF(K304="Vacation",IF(C304="Eve",Settings!$B$11,1),IF(K304="Partial Vacation",O304/Settings!$B$9,0)))</f>
        <v>0</v>
      </c>
      <c r="R304" s="14" t="n">
        <f aca="false">IF(NOT(U304),0,IF(K304="Sick Leave",1,IF(K304="Partial Sick Leave",P304/Settings!$B$9,0)))</f>
        <v>0</v>
      </c>
      <c r="S304" s="35" t="str">
        <f aca="false">IF(AND(OR(E304="Vacation",E304="Sick Leave",E304="Partial Vacation",E304="Partial Sick Leave"),NOT(U304)),"Leave not allowed on this day",IF(AND(E304="Manual Work",OR(NOT(ISNUMBER(F304)),NOT(ISNUMBER(G304)))),"Enter start and end",IF(AND(OR(E304="Partial Vacation",E304="Partial Sick Leave"),OR(NOT(ISNUMBER(H304)),NOT(ISNUMBER(I304)))),"Enter leave from and to",IF(AND(ISNUMBER(F304),ISNUMBER(G304),G304&lt;=F304),"End is before start",IF(AND(ISNUMBER(H304),ISNUMBER(I304),I304&lt;=H304),"Leave end is before start",IF(AND(ISNUMBER(F304),ISNUMBER(G304),ISNUMBER(H304),ISNUMBER(I304),F304&lt;I304,H304&lt;G304),"Work and leave hours overlap",IF(AND(E304&lt;&gt;"",WEEKDAY(A304)=7),"Saturday - administrator only","")))))))</f>
        <v/>
      </c>
      <c r="T304" s="36" t="n">
        <f aca="false">MONTH(A304)</f>
        <v>10</v>
      </c>
      <c r="U304" s="37" t="b">
        <f aca="false">OR(C304="Workday",C304="Eve")</f>
        <v>1</v>
      </c>
      <c r="V304" s="34" t="n">
        <f aca="false">IF(C304="Eve",Settings!$B$8,Settings!$B$7)</f>
        <v>0.6875</v>
      </c>
      <c r="W304" s="14" t="n">
        <f aca="false">IF(U304,(V304-Settings!$B$6)*24,0)</f>
        <v>8.5</v>
      </c>
    </row>
    <row r="305" customFormat="false" ht="15" hidden="false" customHeight="false" outlineLevel="0" collapsed="false">
      <c r="A305" s="29" t="n">
        <v>46321</v>
      </c>
      <c r="B305" s="30" t="str">
        <f aca="false">CHOOSE(WEEKDAY(A305),"Sun","Mon","Tue","Wed","Thu","Fri","Sat")</f>
        <v>Mon</v>
      </c>
      <c r="C305" s="30" t="str">
        <f aca="false">IF(IFERROR(INDEX(Holidays!$D$5:$D$60,MATCH(A305,Holidays!$A$5:$A$60,0)),"")="Holiday","Holiday",IF(WEEKDAY(A305)&gt;=6,"Weekend",IF(IFERROR(INDEX(Holidays!$D$5:$D$60,MATCH(A305,Holidays!$A$5:$A$60,0)),"")="Eve","Eve","Workday")))</f>
        <v>Workday</v>
      </c>
      <c r="D305" s="18" t="str">
        <f aca="false">IFERROR(INDEX(Holidays!$C$5:$C$60,MATCH(A305,Holidays!$A$5:$A$60,0)),"")</f>
        <v/>
      </c>
      <c r="E305" s="31"/>
      <c r="F305" s="32"/>
      <c r="G305" s="32"/>
      <c r="H305" s="32"/>
      <c r="I305" s="32"/>
      <c r="J305" s="31"/>
      <c r="K305" s="33" t="str">
        <f aca="false">IF(E305&lt;&gt;"",E305,IF(U305,"Present",IF(C305="Holiday","Holiday","Weekend")))</f>
        <v>Present</v>
      </c>
      <c r="L305" s="34" t="n">
        <f aca="false">IF(OR(K305="Present",K305="Manual Work",K305="Partial Vacation",K305="Partial Sick Leave"),IF(ISNUMBER(F305),F305,IF(AND(K305="Present",U305),Settings!$B$6,"")),"")</f>
        <v>0.333333333333333</v>
      </c>
      <c r="M305" s="34" t="n">
        <f aca="false">IF(OR(K305="Present",K305="Manual Work",K305="Partial Vacation",K305="Partial Sick Leave"),IF(ISNUMBER(G305),G305,IF(AND(K305="Present",U305),V305,"")),"")</f>
        <v>0.6875</v>
      </c>
      <c r="N305" s="14" t="n">
        <f aca="false">IF(AND(ISNUMBER(L305),ISNUMBER(M305)),MAX(0,(M305-L305)*24),0)</f>
        <v>8.5</v>
      </c>
      <c r="O305" s="14" t="n">
        <f aca="false">IF(NOT(U305),0,IF(K305="Vacation",IF(C305="Eve",Settings!$B$9*Settings!$B$11,W305),IF(K305="Partial Vacation",IF(AND(ISNUMBER(H305),ISNUMBER(I305)),MAX(0,(I305-H305)*24),0),0)))</f>
        <v>0</v>
      </c>
      <c r="P305" s="14" t="n">
        <f aca="false">IF(NOT(U305),0,IF(K305="Sick Leave",W305,IF(K305="Partial Sick Leave",IF(AND(ISNUMBER(H305),ISNUMBER(I305)),MAX(0,(I305-H305)*24),0),0)))</f>
        <v>0</v>
      </c>
      <c r="Q305" s="14" t="n">
        <f aca="false">IF(NOT(U305),0,IF(K305="Vacation",IF(C305="Eve",Settings!$B$11,1),IF(K305="Partial Vacation",O305/Settings!$B$9,0)))</f>
        <v>0</v>
      </c>
      <c r="R305" s="14" t="n">
        <f aca="false">IF(NOT(U305),0,IF(K305="Sick Leave",1,IF(K305="Partial Sick Leave",P305/Settings!$B$9,0)))</f>
        <v>0</v>
      </c>
      <c r="S305" s="35" t="str">
        <f aca="false">IF(AND(OR(E305="Vacation",E305="Sick Leave",E305="Partial Vacation",E305="Partial Sick Leave"),NOT(U305)),"Leave not allowed on this day",IF(AND(E305="Manual Work",OR(NOT(ISNUMBER(F305)),NOT(ISNUMBER(G305)))),"Enter start and end",IF(AND(OR(E305="Partial Vacation",E305="Partial Sick Leave"),OR(NOT(ISNUMBER(H305)),NOT(ISNUMBER(I305)))),"Enter leave from and to",IF(AND(ISNUMBER(F305),ISNUMBER(G305),G305&lt;=F305),"End is before start",IF(AND(ISNUMBER(H305),ISNUMBER(I305),I305&lt;=H305),"Leave end is before start",IF(AND(ISNUMBER(F305),ISNUMBER(G305),ISNUMBER(H305),ISNUMBER(I305),F305&lt;I305,H305&lt;G305),"Work and leave hours overlap",IF(AND(E305&lt;&gt;"",WEEKDAY(A305)=7),"Saturday - administrator only","")))))))</f>
        <v/>
      </c>
      <c r="T305" s="36" t="n">
        <f aca="false">MONTH(A305)</f>
        <v>10</v>
      </c>
      <c r="U305" s="37" t="b">
        <f aca="false">OR(C305="Workday",C305="Eve")</f>
        <v>1</v>
      </c>
      <c r="V305" s="34" t="n">
        <f aca="false">IF(C305="Eve",Settings!$B$8,Settings!$B$7)</f>
        <v>0.6875</v>
      </c>
      <c r="W305" s="14" t="n">
        <f aca="false">IF(U305,(V305-Settings!$B$6)*24,0)</f>
        <v>8.5</v>
      </c>
    </row>
    <row r="306" customFormat="false" ht="15" hidden="false" customHeight="false" outlineLevel="0" collapsed="false">
      <c r="A306" s="29" t="n">
        <v>46322</v>
      </c>
      <c r="B306" s="30" t="str">
        <f aca="false">CHOOSE(WEEKDAY(A306),"Sun","Mon","Tue","Wed","Thu","Fri","Sat")</f>
        <v>Tue</v>
      </c>
      <c r="C306" s="30" t="str">
        <f aca="false">IF(IFERROR(INDEX(Holidays!$D$5:$D$60,MATCH(A306,Holidays!$A$5:$A$60,0)),"")="Holiday","Holiday",IF(WEEKDAY(A306)&gt;=6,"Weekend",IF(IFERROR(INDEX(Holidays!$D$5:$D$60,MATCH(A306,Holidays!$A$5:$A$60,0)),"")="Eve","Eve","Workday")))</f>
        <v>Workday</v>
      </c>
      <c r="D306" s="18" t="str">
        <f aca="false">IFERROR(INDEX(Holidays!$C$5:$C$60,MATCH(A306,Holidays!$A$5:$A$60,0)),"")</f>
        <v/>
      </c>
      <c r="E306" s="31"/>
      <c r="F306" s="32"/>
      <c r="G306" s="32"/>
      <c r="H306" s="32"/>
      <c r="I306" s="32"/>
      <c r="J306" s="31"/>
      <c r="K306" s="33" t="str">
        <f aca="false">IF(E306&lt;&gt;"",E306,IF(U306,"Present",IF(C306="Holiday","Holiday","Weekend")))</f>
        <v>Present</v>
      </c>
      <c r="L306" s="34" t="n">
        <f aca="false">IF(OR(K306="Present",K306="Manual Work",K306="Partial Vacation",K306="Partial Sick Leave"),IF(ISNUMBER(F306),F306,IF(AND(K306="Present",U306),Settings!$B$6,"")),"")</f>
        <v>0.333333333333333</v>
      </c>
      <c r="M306" s="34" t="n">
        <f aca="false">IF(OR(K306="Present",K306="Manual Work",K306="Partial Vacation",K306="Partial Sick Leave"),IF(ISNUMBER(G306),G306,IF(AND(K306="Present",U306),V306,"")),"")</f>
        <v>0.6875</v>
      </c>
      <c r="N306" s="14" t="n">
        <f aca="false">IF(AND(ISNUMBER(L306),ISNUMBER(M306)),MAX(0,(M306-L306)*24),0)</f>
        <v>8.5</v>
      </c>
      <c r="O306" s="14" t="n">
        <f aca="false">IF(NOT(U306),0,IF(K306="Vacation",IF(C306="Eve",Settings!$B$9*Settings!$B$11,W306),IF(K306="Partial Vacation",IF(AND(ISNUMBER(H306),ISNUMBER(I306)),MAX(0,(I306-H306)*24),0),0)))</f>
        <v>0</v>
      </c>
      <c r="P306" s="14" t="n">
        <f aca="false">IF(NOT(U306),0,IF(K306="Sick Leave",W306,IF(K306="Partial Sick Leave",IF(AND(ISNUMBER(H306),ISNUMBER(I306)),MAX(0,(I306-H306)*24),0),0)))</f>
        <v>0</v>
      </c>
      <c r="Q306" s="14" t="n">
        <f aca="false">IF(NOT(U306),0,IF(K306="Vacation",IF(C306="Eve",Settings!$B$11,1),IF(K306="Partial Vacation",O306/Settings!$B$9,0)))</f>
        <v>0</v>
      </c>
      <c r="R306" s="14" t="n">
        <f aca="false">IF(NOT(U306),0,IF(K306="Sick Leave",1,IF(K306="Partial Sick Leave",P306/Settings!$B$9,0)))</f>
        <v>0</v>
      </c>
      <c r="S306" s="35" t="str">
        <f aca="false">IF(AND(OR(E306="Vacation",E306="Sick Leave",E306="Partial Vacation",E306="Partial Sick Leave"),NOT(U306)),"Leave not allowed on this day",IF(AND(E306="Manual Work",OR(NOT(ISNUMBER(F306)),NOT(ISNUMBER(G306)))),"Enter start and end",IF(AND(OR(E306="Partial Vacation",E306="Partial Sick Leave"),OR(NOT(ISNUMBER(H306)),NOT(ISNUMBER(I306)))),"Enter leave from and to",IF(AND(ISNUMBER(F306),ISNUMBER(G306),G306&lt;=F306),"End is before start",IF(AND(ISNUMBER(H306),ISNUMBER(I306),I306&lt;=H306),"Leave end is before start",IF(AND(ISNUMBER(F306),ISNUMBER(G306),ISNUMBER(H306),ISNUMBER(I306),F306&lt;I306,H306&lt;G306),"Work and leave hours overlap",IF(AND(E306&lt;&gt;"",WEEKDAY(A306)=7),"Saturday - administrator only","")))))))</f>
        <v/>
      </c>
      <c r="T306" s="36" t="n">
        <f aca="false">MONTH(A306)</f>
        <v>10</v>
      </c>
      <c r="U306" s="37" t="b">
        <f aca="false">OR(C306="Workday",C306="Eve")</f>
        <v>1</v>
      </c>
      <c r="V306" s="34" t="n">
        <f aca="false">IF(C306="Eve",Settings!$B$8,Settings!$B$7)</f>
        <v>0.6875</v>
      </c>
      <c r="W306" s="14" t="n">
        <f aca="false">IF(U306,(V306-Settings!$B$6)*24,0)</f>
        <v>8.5</v>
      </c>
    </row>
    <row r="307" customFormat="false" ht="15" hidden="false" customHeight="false" outlineLevel="0" collapsed="false">
      <c r="A307" s="29" t="n">
        <v>46323</v>
      </c>
      <c r="B307" s="30" t="str">
        <f aca="false">CHOOSE(WEEKDAY(A307),"Sun","Mon","Tue","Wed","Thu","Fri","Sat")</f>
        <v>Wed</v>
      </c>
      <c r="C307" s="30" t="str">
        <f aca="false">IF(IFERROR(INDEX(Holidays!$D$5:$D$60,MATCH(A307,Holidays!$A$5:$A$60,0)),"")="Holiday","Holiday",IF(WEEKDAY(A307)&gt;=6,"Weekend",IF(IFERROR(INDEX(Holidays!$D$5:$D$60,MATCH(A307,Holidays!$A$5:$A$60,0)),"")="Eve","Eve","Workday")))</f>
        <v>Workday</v>
      </c>
      <c r="D307" s="18" t="str">
        <f aca="false">IFERROR(INDEX(Holidays!$C$5:$C$60,MATCH(A307,Holidays!$A$5:$A$60,0)),"")</f>
        <v/>
      </c>
      <c r="E307" s="31"/>
      <c r="F307" s="32"/>
      <c r="G307" s="32"/>
      <c r="H307" s="32"/>
      <c r="I307" s="32"/>
      <c r="J307" s="31"/>
      <c r="K307" s="33" t="str">
        <f aca="false">IF(E307&lt;&gt;"",E307,IF(U307,"Present",IF(C307="Holiday","Holiday","Weekend")))</f>
        <v>Present</v>
      </c>
      <c r="L307" s="34" t="n">
        <f aca="false">IF(OR(K307="Present",K307="Manual Work",K307="Partial Vacation",K307="Partial Sick Leave"),IF(ISNUMBER(F307),F307,IF(AND(K307="Present",U307),Settings!$B$6,"")),"")</f>
        <v>0.333333333333333</v>
      </c>
      <c r="M307" s="34" t="n">
        <f aca="false">IF(OR(K307="Present",K307="Manual Work",K307="Partial Vacation",K307="Partial Sick Leave"),IF(ISNUMBER(G307),G307,IF(AND(K307="Present",U307),V307,"")),"")</f>
        <v>0.6875</v>
      </c>
      <c r="N307" s="14" t="n">
        <f aca="false">IF(AND(ISNUMBER(L307),ISNUMBER(M307)),MAX(0,(M307-L307)*24),0)</f>
        <v>8.5</v>
      </c>
      <c r="O307" s="14" t="n">
        <f aca="false">IF(NOT(U307),0,IF(K307="Vacation",IF(C307="Eve",Settings!$B$9*Settings!$B$11,W307),IF(K307="Partial Vacation",IF(AND(ISNUMBER(H307),ISNUMBER(I307)),MAX(0,(I307-H307)*24),0),0)))</f>
        <v>0</v>
      </c>
      <c r="P307" s="14" t="n">
        <f aca="false">IF(NOT(U307),0,IF(K307="Sick Leave",W307,IF(K307="Partial Sick Leave",IF(AND(ISNUMBER(H307),ISNUMBER(I307)),MAX(0,(I307-H307)*24),0),0)))</f>
        <v>0</v>
      </c>
      <c r="Q307" s="14" t="n">
        <f aca="false">IF(NOT(U307),0,IF(K307="Vacation",IF(C307="Eve",Settings!$B$11,1),IF(K307="Partial Vacation",O307/Settings!$B$9,0)))</f>
        <v>0</v>
      </c>
      <c r="R307" s="14" t="n">
        <f aca="false">IF(NOT(U307),0,IF(K307="Sick Leave",1,IF(K307="Partial Sick Leave",P307/Settings!$B$9,0)))</f>
        <v>0</v>
      </c>
      <c r="S307" s="35" t="str">
        <f aca="false">IF(AND(OR(E307="Vacation",E307="Sick Leave",E307="Partial Vacation",E307="Partial Sick Leave"),NOT(U307)),"Leave not allowed on this day",IF(AND(E307="Manual Work",OR(NOT(ISNUMBER(F307)),NOT(ISNUMBER(G307)))),"Enter start and end",IF(AND(OR(E307="Partial Vacation",E307="Partial Sick Leave"),OR(NOT(ISNUMBER(H307)),NOT(ISNUMBER(I307)))),"Enter leave from and to",IF(AND(ISNUMBER(F307),ISNUMBER(G307),G307&lt;=F307),"End is before start",IF(AND(ISNUMBER(H307),ISNUMBER(I307),I307&lt;=H307),"Leave end is before start",IF(AND(ISNUMBER(F307),ISNUMBER(G307),ISNUMBER(H307),ISNUMBER(I307),F307&lt;I307,H307&lt;G307),"Work and leave hours overlap",IF(AND(E307&lt;&gt;"",WEEKDAY(A307)=7),"Saturday - administrator only","")))))))</f>
        <v/>
      </c>
      <c r="T307" s="36" t="n">
        <f aca="false">MONTH(A307)</f>
        <v>10</v>
      </c>
      <c r="U307" s="37" t="b">
        <f aca="false">OR(C307="Workday",C307="Eve")</f>
        <v>1</v>
      </c>
      <c r="V307" s="34" t="n">
        <f aca="false">IF(C307="Eve",Settings!$B$8,Settings!$B$7)</f>
        <v>0.6875</v>
      </c>
      <c r="W307" s="14" t="n">
        <f aca="false">IF(U307,(V307-Settings!$B$6)*24,0)</f>
        <v>8.5</v>
      </c>
    </row>
    <row r="308" customFormat="false" ht="15" hidden="false" customHeight="false" outlineLevel="0" collapsed="false">
      <c r="A308" s="29" t="n">
        <v>46324</v>
      </c>
      <c r="B308" s="30" t="str">
        <f aca="false">CHOOSE(WEEKDAY(A308),"Sun","Mon","Tue","Wed","Thu","Fri","Sat")</f>
        <v>Thu</v>
      </c>
      <c r="C308" s="30" t="str">
        <f aca="false">IF(IFERROR(INDEX(Holidays!$D$5:$D$60,MATCH(A308,Holidays!$A$5:$A$60,0)),"")="Holiday","Holiday",IF(WEEKDAY(A308)&gt;=6,"Weekend",IF(IFERROR(INDEX(Holidays!$D$5:$D$60,MATCH(A308,Holidays!$A$5:$A$60,0)),"")="Eve","Eve","Workday")))</f>
        <v>Workday</v>
      </c>
      <c r="D308" s="18" t="str">
        <f aca="false">IFERROR(INDEX(Holidays!$C$5:$C$60,MATCH(A308,Holidays!$A$5:$A$60,0)),"")</f>
        <v/>
      </c>
      <c r="E308" s="31"/>
      <c r="F308" s="32"/>
      <c r="G308" s="32"/>
      <c r="H308" s="32"/>
      <c r="I308" s="32"/>
      <c r="J308" s="31"/>
      <c r="K308" s="33" t="str">
        <f aca="false">IF(E308&lt;&gt;"",E308,IF(U308,"Present",IF(C308="Holiday","Holiday","Weekend")))</f>
        <v>Present</v>
      </c>
      <c r="L308" s="34" t="n">
        <f aca="false">IF(OR(K308="Present",K308="Manual Work",K308="Partial Vacation",K308="Partial Sick Leave"),IF(ISNUMBER(F308),F308,IF(AND(K308="Present",U308),Settings!$B$6,"")),"")</f>
        <v>0.333333333333333</v>
      </c>
      <c r="M308" s="34" t="n">
        <f aca="false">IF(OR(K308="Present",K308="Manual Work",K308="Partial Vacation",K308="Partial Sick Leave"),IF(ISNUMBER(G308),G308,IF(AND(K308="Present",U308),V308,"")),"")</f>
        <v>0.6875</v>
      </c>
      <c r="N308" s="14" t="n">
        <f aca="false">IF(AND(ISNUMBER(L308),ISNUMBER(M308)),MAX(0,(M308-L308)*24),0)</f>
        <v>8.5</v>
      </c>
      <c r="O308" s="14" t="n">
        <f aca="false">IF(NOT(U308),0,IF(K308="Vacation",IF(C308="Eve",Settings!$B$9*Settings!$B$11,W308),IF(K308="Partial Vacation",IF(AND(ISNUMBER(H308),ISNUMBER(I308)),MAX(0,(I308-H308)*24),0),0)))</f>
        <v>0</v>
      </c>
      <c r="P308" s="14" t="n">
        <f aca="false">IF(NOT(U308),0,IF(K308="Sick Leave",W308,IF(K308="Partial Sick Leave",IF(AND(ISNUMBER(H308),ISNUMBER(I308)),MAX(0,(I308-H308)*24),0),0)))</f>
        <v>0</v>
      </c>
      <c r="Q308" s="14" t="n">
        <f aca="false">IF(NOT(U308),0,IF(K308="Vacation",IF(C308="Eve",Settings!$B$11,1),IF(K308="Partial Vacation",O308/Settings!$B$9,0)))</f>
        <v>0</v>
      </c>
      <c r="R308" s="14" t="n">
        <f aca="false">IF(NOT(U308),0,IF(K308="Sick Leave",1,IF(K308="Partial Sick Leave",P308/Settings!$B$9,0)))</f>
        <v>0</v>
      </c>
      <c r="S308" s="35" t="str">
        <f aca="false">IF(AND(OR(E308="Vacation",E308="Sick Leave",E308="Partial Vacation",E308="Partial Sick Leave"),NOT(U308)),"Leave not allowed on this day",IF(AND(E308="Manual Work",OR(NOT(ISNUMBER(F308)),NOT(ISNUMBER(G308)))),"Enter start and end",IF(AND(OR(E308="Partial Vacation",E308="Partial Sick Leave"),OR(NOT(ISNUMBER(H308)),NOT(ISNUMBER(I308)))),"Enter leave from and to",IF(AND(ISNUMBER(F308),ISNUMBER(G308),G308&lt;=F308),"End is before start",IF(AND(ISNUMBER(H308),ISNUMBER(I308),I308&lt;=H308),"Leave end is before start",IF(AND(ISNUMBER(F308),ISNUMBER(G308),ISNUMBER(H308),ISNUMBER(I308),F308&lt;I308,H308&lt;G308),"Work and leave hours overlap",IF(AND(E308&lt;&gt;"",WEEKDAY(A308)=7),"Saturday - administrator only","")))))))</f>
        <v/>
      </c>
      <c r="T308" s="36" t="n">
        <f aca="false">MONTH(A308)</f>
        <v>10</v>
      </c>
      <c r="U308" s="37" t="b">
        <f aca="false">OR(C308="Workday",C308="Eve")</f>
        <v>1</v>
      </c>
      <c r="V308" s="34" t="n">
        <f aca="false">IF(C308="Eve",Settings!$B$8,Settings!$B$7)</f>
        <v>0.6875</v>
      </c>
      <c r="W308" s="14" t="n">
        <f aca="false">IF(U308,(V308-Settings!$B$6)*24,0)</f>
        <v>8.5</v>
      </c>
    </row>
    <row r="309" customFormat="false" ht="15" hidden="false" customHeight="false" outlineLevel="0" collapsed="false">
      <c r="A309" s="29" t="n">
        <v>46325</v>
      </c>
      <c r="B309" s="30" t="str">
        <f aca="false">CHOOSE(WEEKDAY(A309),"Sun","Mon","Tue","Wed","Thu","Fri","Sat")</f>
        <v>Fri</v>
      </c>
      <c r="C309" s="30" t="str">
        <f aca="false">IF(IFERROR(INDEX(Holidays!$D$5:$D$60,MATCH(A309,Holidays!$A$5:$A$60,0)),"")="Holiday","Holiday",IF(WEEKDAY(A309)&gt;=6,"Weekend",IF(IFERROR(INDEX(Holidays!$D$5:$D$60,MATCH(A309,Holidays!$A$5:$A$60,0)),"")="Eve","Eve","Workday")))</f>
        <v>Weekend</v>
      </c>
      <c r="D309" s="18" t="str">
        <f aca="false">IFERROR(INDEX(Holidays!$C$5:$C$60,MATCH(A309,Holidays!$A$5:$A$60,0)),"")</f>
        <v/>
      </c>
      <c r="E309" s="31"/>
      <c r="F309" s="32"/>
      <c r="G309" s="32"/>
      <c r="H309" s="32"/>
      <c r="I309" s="32"/>
      <c r="J309" s="31"/>
      <c r="K309" s="33" t="str">
        <f aca="false">IF(E309&lt;&gt;"",E309,IF(U309,"Present",IF(C309="Holiday","Holiday","Weekend")))</f>
        <v>Weekend</v>
      </c>
      <c r="L309" s="34" t="str">
        <f aca="false">IF(OR(K309="Present",K309="Manual Work",K309="Partial Vacation",K309="Partial Sick Leave"),IF(ISNUMBER(F309),F309,IF(AND(K309="Present",U309),Settings!$B$6,"")),"")</f>
        <v/>
      </c>
      <c r="M309" s="34" t="str">
        <f aca="false">IF(OR(K309="Present",K309="Manual Work",K309="Partial Vacation",K309="Partial Sick Leave"),IF(ISNUMBER(G309),G309,IF(AND(K309="Present",U309),V309,"")),"")</f>
        <v/>
      </c>
      <c r="N309" s="14" t="n">
        <f aca="false">IF(AND(ISNUMBER(L309),ISNUMBER(M309)),MAX(0,(M309-L309)*24),0)</f>
        <v>0</v>
      </c>
      <c r="O309" s="14" t="n">
        <f aca="false">IF(NOT(U309),0,IF(K309="Vacation",IF(C309="Eve",Settings!$B$9*Settings!$B$11,W309),IF(K309="Partial Vacation",IF(AND(ISNUMBER(H309),ISNUMBER(I309)),MAX(0,(I309-H309)*24),0),0)))</f>
        <v>0</v>
      </c>
      <c r="P309" s="14" t="n">
        <f aca="false">IF(NOT(U309),0,IF(K309="Sick Leave",W309,IF(K309="Partial Sick Leave",IF(AND(ISNUMBER(H309),ISNUMBER(I309)),MAX(0,(I309-H309)*24),0),0)))</f>
        <v>0</v>
      </c>
      <c r="Q309" s="14" t="n">
        <f aca="false">IF(NOT(U309),0,IF(K309="Vacation",IF(C309="Eve",Settings!$B$11,1),IF(K309="Partial Vacation",O309/Settings!$B$9,0)))</f>
        <v>0</v>
      </c>
      <c r="R309" s="14" t="n">
        <f aca="false">IF(NOT(U309),0,IF(K309="Sick Leave",1,IF(K309="Partial Sick Leave",P309/Settings!$B$9,0)))</f>
        <v>0</v>
      </c>
      <c r="S309" s="35" t="str">
        <f aca="false">IF(AND(OR(E309="Vacation",E309="Sick Leave",E309="Partial Vacation",E309="Partial Sick Leave"),NOT(U309)),"Leave not allowed on this day",IF(AND(E309="Manual Work",OR(NOT(ISNUMBER(F309)),NOT(ISNUMBER(G309)))),"Enter start and end",IF(AND(OR(E309="Partial Vacation",E309="Partial Sick Leave"),OR(NOT(ISNUMBER(H309)),NOT(ISNUMBER(I309)))),"Enter leave from and to",IF(AND(ISNUMBER(F309),ISNUMBER(G309),G309&lt;=F309),"End is before start",IF(AND(ISNUMBER(H309),ISNUMBER(I309),I309&lt;=H309),"Leave end is before start",IF(AND(ISNUMBER(F309),ISNUMBER(G309),ISNUMBER(H309),ISNUMBER(I309),F309&lt;I309,H309&lt;G309),"Work and leave hours overlap",IF(AND(E309&lt;&gt;"",WEEKDAY(A309)=7),"Saturday - administrator only","")))))))</f>
        <v/>
      </c>
      <c r="T309" s="36" t="n">
        <f aca="false">MONTH(A309)</f>
        <v>10</v>
      </c>
      <c r="U309" s="37" t="b">
        <f aca="false">OR(C309="Workday",C309="Eve")</f>
        <v>0</v>
      </c>
      <c r="V309" s="34" t="n">
        <f aca="false">IF(C309="Eve",Settings!$B$8,Settings!$B$7)</f>
        <v>0.6875</v>
      </c>
      <c r="W309" s="14" t="n">
        <f aca="false">IF(U309,(V309-Settings!$B$6)*24,0)</f>
        <v>0</v>
      </c>
    </row>
    <row r="310" customFormat="false" ht="15" hidden="false" customHeight="false" outlineLevel="0" collapsed="false">
      <c r="A310" s="29" t="n">
        <v>46326</v>
      </c>
      <c r="B310" s="30" t="str">
        <f aca="false">CHOOSE(WEEKDAY(A310),"Sun","Mon","Tue","Wed","Thu","Fri","Sat")</f>
        <v>Sat</v>
      </c>
      <c r="C310" s="30" t="str">
        <f aca="false">IF(IFERROR(INDEX(Holidays!$D$5:$D$60,MATCH(A310,Holidays!$A$5:$A$60,0)),"")="Holiday","Holiday",IF(WEEKDAY(A310)&gt;=6,"Weekend",IF(IFERROR(INDEX(Holidays!$D$5:$D$60,MATCH(A310,Holidays!$A$5:$A$60,0)),"")="Eve","Eve","Workday")))</f>
        <v>Weekend</v>
      </c>
      <c r="D310" s="18" t="str">
        <f aca="false">IFERROR(INDEX(Holidays!$C$5:$C$60,MATCH(A310,Holidays!$A$5:$A$60,0)),"")</f>
        <v/>
      </c>
      <c r="E310" s="31"/>
      <c r="F310" s="32"/>
      <c r="G310" s="32"/>
      <c r="H310" s="32"/>
      <c r="I310" s="32"/>
      <c r="J310" s="31"/>
      <c r="K310" s="33" t="str">
        <f aca="false">IF(E310&lt;&gt;"",E310,IF(U310,"Present",IF(C310="Holiday","Holiday","Weekend")))</f>
        <v>Weekend</v>
      </c>
      <c r="L310" s="34" t="str">
        <f aca="false">IF(OR(K310="Present",K310="Manual Work",K310="Partial Vacation",K310="Partial Sick Leave"),IF(ISNUMBER(F310),F310,IF(AND(K310="Present",U310),Settings!$B$6,"")),"")</f>
        <v/>
      </c>
      <c r="M310" s="34" t="str">
        <f aca="false">IF(OR(K310="Present",K310="Manual Work",K310="Partial Vacation",K310="Partial Sick Leave"),IF(ISNUMBER(G310),G310,IF(AND(K310="Present",U310),V310,"")),"")</f>
        <v/>
      </c>
      <c r="N310" s="14" t="n">
        <f aca="false">IF(AND(ISNUMBER(L310),ISNUMBER(M310)),MAX(0,(M310-L310)*24),0)</f>
        <v>0</v>
      </c>
      <c r="O310" s="14" t="n">
        <f aca="false">IF(NOT(U310),0,IF(K310="Vacation",IF(C310="Eve",Settings!$B$9*Settings!$B$11,W310),IF(K310="Partial Vacation",IF(AND(ISNUMBER(H310),ISNUMBER(I310)),MAX(0,(I310-H310)*24),0),0)))</f>
        <v>0</v>
      </c>
      <c r="P310" s="14" t="n">
        <f aca="false">IF(NOT(U310),0,IF(K310="Sick Leave",W310,IF(K310="Partial Sick Leave",IF(AND(ISNUMBER(H310),ISNUMBER(I310)),MAX(0,(I310-H310)*24),0),0)))</f>
        <v>0</v>
      </c>
      <c r="Q310" s="14" t="n">
        <f aca="false">IF(NOT(U310),0,IF(K310="Vacation",IF(C310="Eve",Settings!$B$11,1),IF(K310="Partial Vacation",O310/Settings!$B$9,0)))</f>
        <v>0</v>
      </c>
      <c r="R310" s="14" t="n">
        <f aca="false">IF(NOT(U310),0,IF(K310="Sick Leave",1,IF(K310="Partial Sick Leave",P310/Settings!$B$9,0)))</f>
        <v>0</v>
      </c>
      <c r="S310" s="35" t="str">
        <f aca="false">IF(AND(OR(E310="Vacation",E310="Sick Leave",E310="Partial Vacation",E310="Partial Sick Leave"),NOT(U310)),"Leave not allowed on this day",IF(AND(E310="Manual Work",OR(NOT(ISNUMBER(F310)),NOT(ISNUMBER(G310)))),"Enter start and end",IF(AND(OR(E310="Partial Vacation",E310="Partial Sick Leave"),OR(NOT(ISNUMBER(H310)),NOT(ISNUMBER(I310)))),"Enter leave from and to",IF(AND(ISNUMBER(F310),ISNUMBER(G310),G310&lt;=F310),"End is before start",IF(AND(ISNUMBER(H310),ISNUMBER(I310),I310&lt;=H310),"Leave end is before start",IF(AND(ISNUMBER(F310),ISNUMBER(G310),ISNUMBER(H310),ISNUMBER(I310),F310&lt;I310,H310&lt;G310),"Work and leave hours overlap",IF(AND(E310&lt;&gt;"",WEEKDAY(A310)=7),"Saturday - administrator only","")))))))</f>
        <v/>
      </c>
      <c r="T310" s="36" t="n">
        <f aca="false">MONTH(A310)</f>
        <v>10</v>
      </c>
      <c r="U310" s="37" t="b">
        <f aca="false">OR(C310="Workday",C310="Eve")</f>
        <v>0</v>
      </c>
      <c r="V310" s="34" t="n">
        <f aca="false">IF(C310="Eve",Settings!$B$8,Settings!$B$7)</f>
        <v>0.6875</v>
      </c>
      <c r="W310" s="14" t="n">
        <f aca="false">IF(U310,(V310-Settings!$B$6)*24,0)</f>
        <v>0</v>
      </c>
    </row>
    <row r="311" customFormat="false" ht="15" hidden="false" customHeight="false" outlineLevel="0" collapsed="false">
      <c r="A311" s="29" t="n">
        <v>46327</v>
      </c>
      <c r="B311" s="30" t="str">
        <f aca="false">CHOOSE(WEEKDAY(A311),"Sun","Mon","Tue","Wed","Thu","Fri","Sat")</f>
        <v>Sun</v>
      </c>
      <c r="C311" s="30" t="str">
        <f aca="false">IF(IFERROR(INDEX(Holidays!$D$5:$D$60,MATCH(A311,Holidays!$A$5:$A$60,0)),"")="Holiday","Holiday",IF(WEEKDAY(A311)&gt;=6,"Weekend",IF(IFERROR(INDEX(Holidays!$D$5:$D$60,MATCH(A311,Holidays!$A$5:$A$60,0)),"")="Eve","Eve","Workday")))</f>
        <v>Workday</v>
      </c>
      <c r="D311" s="18" t="str">
        <f aca="false">IFERROR(INDEX(Holidays!$C$5:$C$60,MATCH(A311,Holidays!$A$5:$A$60,0)),"")</f>
        <v/>
      </c>
      <c r="E311" s="31"/>
      <c r="F311" s="32"/>
      <c r="G311" s="32"/>
      <c r="H311" s="32"/>
      <c r="I311" s="32"/>
      <c r="J311" s="31"/>
      <c r="K311" s="33" t="str">
        <f aca="false">IF(E311&lt;&gt;"",E311,IF(U311,"Present",IF(C311="Holiday","Holiday","Weekend")))</f>
        <v>Present</v>
      </c>
      <c r="L311" s="34" t="n">
        <f aca="false">IF(OR(K311="Present",K311="Manual Work",K311="Partial Vacation",K311="Partial Sick Leave"),IF(ISNUMBER(F311),F311,IF(AND(K311="Present",U311),Settings!$B$6,"")),"")</f>
        <v>0.333333333333333</v>
      </c>
      <c r="M311" s="34" t="n">
        <f aca="false">IF(OR(K311="Present",K311="Manual Work",K311="Partial Vacation",K311="Partial Sick Leave"),IF(ISNUMBER(G311),G311,IF(AND(K311="Present",U311),V311,"")),"")</f>
        <v>0.6875</v>
      </c>
      <c r="N311" s="14" t="n">
        <f aca="false">IF(AND(ISNUMBER(L311),ISNUMBER(M311)),MAX(0,(M311-L311)*24),0)</f>
        <v>8.5</v>
      </c>
      <c r="O311" s="14" t="n">
        <f aca="false">IF(NOT(U311),0,IF(K311="Vacation",IF(C311="Eve",Settings!$B$9*Settings!$B$11,W311),IF(K311="Partial Vacation",IF(AND(ISNUMBER(H311),ISNUMBER(I311)),MAX(0,(I311-H311)*24),0),0)))</f>
        <v>0</v>
      </c>
      <c r="P311" s="14" t="n">
        <f aca="false">IF(NOT(U311),0,IF(K311="Sick Leave",W311,IF(K311="Partial Sick Leave",IF(AND(ISNUMBER(H311),ISNUMBER(I311)),MAX(0,(I311-H311)*24),0),0)))</f>
        <v>0</v>
      </c>
      <c r="Q311" s="14" t="n">
        <f aca="false">IF(NOT(U311),0,IF(K311="Vacation",IF(C311="Eve",Settings!$B$11,1),IF(K311="Partial Vacation",O311/Settings!$B$9,0)))</f>
        <v>0</v>
      </c>
      <c r="R311" s="14" t="n">
        <f aca="false">IF(NOT(U311),0,IF(K311="Sick Leave",1,IF(K311="Partial Sick Leave",P311/Settings!$B$9,0)))</f>
        <v>0</v>
      </c>
      <c r="S311" s="35" t="str">
        <f aca="false">IF(AND(OR(E311="Vacation",E311="Sick Leave",E311="Partial Vacation",E311="Partial Sick Leave"),NOT(U311)),"Leave not allowed on this day",IF(AND(E311="Manual Work",OR(NOT(ISNUMBER(F311)),NOT(ISNUMBER(G311)))),"Enter start and end",IF(AND(OR(E311="Partial Vacation",E311="Partial Sick Leave"),OR(NOT(ISNUMBER(H311)),NOT(ISNUMBER(I311)))),"Enter leave from and to",IF(AND(ISNUMBER(F311),ISNUMBER(G311),G311&lt;=F311),"End is before start",IF(AND(ISNUMBER(H311),ISNUMBER(I311),I311&lt;=H311),"Leave end is before start",IF(AND(ISNUMBER(F311),ISNUMBER(G311),ISNUMBER(H311),ISNUMBER(I311),F311&lt;I311,H311&lt;G311),"Work and leave hours overlap",IF(AND(E311&lt;&gt;"",WEEKDAY(A311)=7),"Saturday - administrator only","")))))))</f>
        <v/>
      </c>
      <c r="T311" s="36" t="n">
        <f aca="false">MONTH(A311)</f>
        <v>11</v>
      </c>
      <c r="U311" s="37" t="b">
        <f aca="false">OR(C311="Workday",C311="Eve")</f>
        <v>1</v>
      </c>
      <c r="V311" s="34" t="n">
        <f aca="false">IF(C311="Eve",Settings!$B$8,Settings!$B$7)</f>
        <v>0.6875</v>
      </c>
      <c r="W311" s="14" t="n">
        <f aca="false">IF(U311,(V311-Settings!$B$6)*24,0)</f>
        <v>8.5</v>
      </c>
    </row>
    <row r="312" customFormat="false" ht="15" hidden="false" customHeight="false" outlineLevel="0" collapsed="false">
      <c r="A312" s="29" t="n">
        <v>46328</v>
      </c>
      <c r="B312" s="30" t="str">
        <f aca="false">CHOOSE(WEEKDAY(A312),"Sun","Mon","Tue","Wed","Thu","Fri","Sat")</f>
        <v>Mon</v>
      </c>
      <c r="C312" s="30" t="str">
        <f aca="false">IF(IFERROR(INDEX(Holidays!$D$5:$D$60,MATCH(A312,Holidays!$A$5:$A$60,0)),"")="Holiday","Holiday",IF(WEEKDAY(A312)&gt;=6,"Weekend",IF(IFERROR(INDEX(Holidays!$D$5:$D$60,MATCH(A312,Holidays!$A$5:$A$60,0)),"")="Eve","Eve","Workday")))</f>
        <v>Workday</v>
      </c>
      <c r="D312" s="18" t="str">
        <f aca="false">IFERROR(INDEX(Holidays!$C$5:$C$60,MATCH(A312,Holidays!$A$5:$A$60,0)),"")</f>
        <v/>
      </c>
      <c r="E312" s="31"/>
      <c r="F312" s="32"/>
      <c r="G312" s="32"/>
      <c r="H312" s="32"/>
      <c r="I312" s="32"/>
      <c r="J312" s="31"/>
      <c r="K312" s="33" t="str">
        <f aca="false">IF(E312&lt;&gt;"",E312,IF(U312,"Present",IF(C312="Holiday","Holiday","Weekend")))</f>
        <v>Present</v>
      </c>
      <c r="L312" s="34" t="n">
        <f aca="false">IF(OR(K312="Present",K312="Manual Work",K312="Partial Vacation",K312="Partial Sick Leave"),IF(ISNUMBER(F312),F312,IF(AND(K312="Present",U312),Settings!$B$6,"")),"")</f>
        <v>0.333333333333333</v>
      </c>
      <c r="M312" s="34" t="n">
        <f aca="false">IF(OR(K312="Present",K312="Manual Work",K312="Partial Vacation",K312="Partial Sick Leave"),IF(ISNUMBER(G312),G312,IF(AND(K312="Present",U312),V312,"")),"")</f>
        <v>0.6875</v>
      </c>
      <c r="N312" s="14" t="n">
        <f aca="false">IF(AND(ISNUMBER(L312),ISNUMBER(M312)),MAX(0,(M312-L312)*24),0)</f>
        <v>8.5</v>
      </c>
      <c r="O312" s="14" t="n">
        <f aca="false">IF(NOT(U312),0,IF(K312="Vacation",IF(C312="Eve",Settings!$B$9*Settings!$B$11,W312),IF(K312="Partial Vacation",IF(AND(ISNUMBER(H312),ISNUMBER(I312)),MAX(0,(I312-H312)*24),0),0)))</f>
        <v>0</v>
      </c>
      <c r="P312" s="14" t="n">
        <f aca="false">IF(NOT(U312),0,IF(K312="Sick Leave",W312,IF(K312="Partial Sick Leave",IF(AND(ISNUMBER(H312),ISNUMBER(I312)),MAX(0,(I312-H312)*24),0),0)))</f>
        <v>0</v>
      </c>
      <c r="Q312" s="14" t="n">
        <f aca="false">IF(NOT(U312),0,IF(K312="Vacation",IF(C312="Eve",Settings!$B$11,1),IF(K312="Partial Vacation",O312/Settings!$B$9,0)))</f>
        <v>0</v>
      </c>
      <c r="R312" s="14" t="n">
        <f aca="false">IF(NOT(U312),0,IF(K312="Sick Leave",1,IF(K312="Partial Sick Leave",P312/Settings!$B$9,0)))</f>
        <v>0</v>
      </c>
      <c r="S312" s="35" t="str">
        <f aca="false">IF(AND(OR(E312="Vacation",E312="Sick Leave",E312="Partial Vacation",E312="Partial Sick Leave"),NOT(U312)),"Leave not allowed on this day",IF(AND(E312="Manual Work",OR(NOT(ISNUMBER(F312)),NOT(ISNUMBER(G312)))),"Enter start and end",IF(AND(OR(E312="Partial Vacation",E312="Partial Sick Leave"),OR(NOT(ISNUMBER(H312)),NOT(ISNUMBER(I312)))),"Enter leave from and to",IF(AND(ISNUMBER(F312),ISNUMBER(G312),G312&lt;=F312),"End is before start",IF(AND(ISNUMBER(H312),ISNUMBER(I312),I312&lt;=H312),"Leave end is before start",IF(AND(ISNUMBER(F312),ISNUMBER(G312),ISNUMBER(H312),ISNUMBER(I312),F312&lt;I312,H312&lt;G312),"Work and leave hours overlap",IF(AND(E312&lt;&gt;"",WEEKDAY(A312)=7),"Saturday - administrator only","")))))))</f>
        <v/>
      </c>
      <c r="T312" s="36" t="n">
        <f aca="false">MONTH(A312)</f>
        <v>11</v>
      </c>
      <c r="U312" s="37" t="b">
        <f aca="false">OR(C312="Workday",C312="Eve")</f>
        <v>1</v>
      </c>
      <c r="V312" s="34" t="n">
        <f aca="false">IF(C312="Eve",Settings!$B$8,Settings!$B$7)</f>
        <v>0.6875</v>
      </c>
      <c r="W312" s="14" t="n">
        <f aca="false">IF(U312,(V312-Settings!$B$6)*24,0)</f>
        <v>8.5</v>
      </c>
    </row>
    <row r="313" customFormat="false" ht="15" hidden="false" customHeight="false" outlineLevel="0" collapsed="false">
      <c r="A313" s="29" t="n">
        <v>46329</v>
      </c>
      <c r="B313" s="30" t="str">
        <f aca="false">CHOOSE(WEEKDAY(A313),"Sun","Mon","Tue","Wed","Thu","Fri","Sat")</f>
        <v>Tue</v>
      </c>
      <c r="C313" s="30" t="str">
        <f aca="false">IF(IFERROR(INDEX(Holidays!$D$5:$D$60,MATCH(A313,Holidays!$A$5:$A$60,0)),"")="Holiday","Holiday",IF(WEEKDAY(A313)&gt;=6,"Weekend",IF(IFERROR(INDEX(Holidays!$D$5:$D$60,MATCH(A313,Holidays!$A$5:$A$60,0)),"")="Eve","Eve","Workday")))</f>
        <v>Workday</v>
      </c>
      <c r="D313" s="18" t="str">
        <f aca="false">IFERROR(INDEX(Holidays!$C$5:$C$60,MATCH(A313,Holidays!$A$5:$A$60,0)),"")</f>
        <v/>
      </c>
      <c r="E313" s="31"/>
      <c r="F313" s="32"/>
      <c r="G313" s="32"/>
      <c r="H313" s="32"/>
      <c r="I313" s="32"/>
      <c r="J313" s="31"/>
      <c r="K313" s="33" t="str">
        <f aca="false">IF(E313&lt;&gt;"",E313,IF(U313,"Present",IF(C313="Holiday","Holiday","Weekend")))</f>
        <v>Present</v>
      </c>
      <c r="L313" s="34" t="n">
        <f aca="false">IF(OR(K313="Present",K313="Manual Work",K313="Partial Vacation",K313="Partial Sick Leave"),IF(ISNUMBER(F313),F313,IF(AND(K313="Present",U313),Settings!$B$6,"")),"")</f>
        <v>0.333333333333333</v>
      </c>
      <c r="M313" s="34" t="n">
        <f aca="false">IF(OR(K313="Present",K313="Manual Work",K313="Partial Vacation",K313="Partial Sick Leave"),IF(ISNUMBER(G313),G313,IF(AND(K313="Present",U313),V313,"")),"")</f>
        <v>0.6875</v>
      </c>
      <c r="N313" s="14" t="n">
        <f aca="false">IF(AND(ISNUMBER(L313),ISNUMBER(M313)),MAX(0,(M313-L313)*24),0)</f>
        <v>8.5</v>
      </c>
      <c r="O313" s="14" t="n">
        <f aca="false">IF(NOT(U313),0,IF(K313="Vacation",IF(C313="Eve",Settings!$B$9*Settings!$B$11,W313),IF(K313="Partial Vacation",IF(AND(ISNUMBER(H313),ISNUMBER(I313)),MAX(0,(I313-H313)*24),0),0)))</f>
        <v>0</v>
      </c>
      <c r="P313" s="14" t="n">
        <f aca="false">IF(NOT(U313),0,IF(K313="Sick Leave",W313,IF(K313="Partial Sick Leave",IF(AND(ISNUMBER(H313),ISNUMBER(I313)),MAX(0,(I313-H313)*24),0),0)))</f>
        <v>0</v>
      </c>
      <c r="Q313" s="14" t="n">
        <f aca="false">IF(NOT(U313),0,IF(K313="Vacation",IF(C313="Eve",Settings!$B$11,1),IF(K313="Partial Vacation",O313/Settings!$B$9,0)))</f>
        <v>0</v>
      </c>
      <c r="R313" s="14" t="n">
        <f aca="false">IF(NOT(U313),0,IF(K313="Sick Leave",1,IF(K313="Partial Sick Leave",P313/Settings!$B$9,0)))</f>
        <v>0</v>
      </c>
      <c r="S313" s="35" t="str">
        <f aca="false">IF(AND(OR(E313="Vacation",E313="Sick Leave",E313="Partial Vacation",E313="Partial Sick Leave"),NOT(U313)),"Leave not allowed on this day",IF(AND(E313="Manual Work",OR(NOT(ISNUMBER(F313)),NOT(ISNUMBER(G313)))),"Enter start and end",IF(AND(OR(E313="Partial Vacation",E313="Partial Sick Leave"),OR(NOT(ISNUMBER(H313)),NOT(ISNUMBER(I313)))),"Enter leave from and to",IF(AND(ISNUMBER(F313),ISNUMBER(G313),G313&lt;=F313),"End is before start",IF(AND(ISNUMBER(H313),ISNUMBER(I313),I313&lt;=H313),"Leave end is before start",IF(AND(ISNUMBER(F313),ISNUMBER(G313),ISNUMBER(H313),ISNUMBER(I313),F313&lt;I313,H313&lt;G313),"Work and leave hours overlap",IF(AND(E313&lt;&gt;"",WEEKDAY(A313)=7),"Saturday - administrator only","")))))))</f>
        <v/>
      </c>
      <c r="T313" s="36" t="n">
        <f aca="false">MONTH(A313)</f>
        <v>11</v>
      </c>
      <c r="U313" s="37" t="b">
        <f aca="false">OR(C313="Workday",C313="Eve")</f>
        <v>1</v>
      </c>
      <c r="V313" s="34" t="n">
        <f aca="false">IF(C313="Eve",Settings!$B$8,Settings!$B$7)</f>
        <v>0.6875</v>
      </c>
      <c r="W313" s="14" t="n">
        <f aca="false">IF(U313,(V313-Settings!$B$6)*24,0)</f>
        <v>8.5</v>
      </c>
    </row>
    <row r="314" customFormat="false" ht="15" hidden="false" customHeight="false" outlineLevel="0" collapsed="false">
      <c r="A314" s="29" t="n">
        <v>46330</v>
      </c>
      <c r="B314" s="30" t="str">
        <f aca="false">CHOOSE(WEEKDAY(A314),"Sun","Mon","Tue","Wed","Thu","Fri","Sat")</f>
        <v>Wed</v>
      </c>
      <c r="C314" s="30" t="str">
        <f aca="false">IF(IFERROR(INDEX(Holidays!$D$5:$D$60,MATCH(A314,Holidays!$A$5:$A$60,0)),"")="Holiday","Holiday",IF(WEEKDAY(A314)&gt;=6,"Weekend",IF(IFERROR(INDEX(Holidays!$D$5:$D$60,MATCH(A314,Holidays!$A$5:$A$60,0)),"")="Eve","Eve","Workday")))</f>
        <v>Workday</v>
      </c>
      <c r="D314" s="18" t="str">
        <f aca="false">IFERROR(INDEX(Holidays!$C$5:$C$60,MATCH(A314,Holidays!$A$5:$A$60,0)),"")</f>
        <v/>
      </c>
      <c r="E314" s="31"/>
      <c r="F314" s="32"/>
      <c r="G314" s="32"/>
      <c r="H314" s="32"/>
      <c r="I314" s="32"/>
      <c r="J314" s="31"/>
      <c r="K314" s="33" t="str">
        <f aca="false">IF(E314&lt;&gt;"",E314,IF(U314,"Present",IF(C314="Holiday","Holiday","Weekend")))</f>
        <v>Present</v>
      </c>
      <c r="L314" s="34" t="n">
        <f aca="false">IF(OR(K314="Present",K314="Manual Work",K314="Partial Vacation",K314="Partial Sick Leave"),IF(ISNUMBER(F314),F314,IF(AND(K314="Present",U314),Settings!$B$6,"")),"")</f>
        <v>0.333333333333333</v>
      </c>
      <c r="M314" s="34" t="n">
        <f aca="false">IF(OR(K314="Present",K314="Manual Work",K314="Partial Vacation",K314="Partial Sick Leave"),IF(ISNUMBER(G314),G314,IF(AND(K314="Present",U314),V314,"")),"")</f>
        <v>0.6875</v>
      </c>
      <c r="N314" s="14" t="n">
        <f aca="false">IF(AND(ISNUMBER(L314),ISNUMBER(M314)),MAX(0,(M314-L314)*24),0)</f>
        <v>8.5</v>
      </c>
      <c r="O314" s="14" t="n">
        <f aca="false">IF(NOT(U314),0,IF(K314="Vacation",IF(C314="Eve",Settings!$B$9*Settings!$B$11,W314),IF(K314="Partial Vacation",IF(AND(ISNUMBER(H314),ISNUMBER(I314)),MAX(0,(I314-H314)*24),0),0)))</f>
        <v>0</v>
      </c>
      <c r="P314" s="14" t="n">
        <f aca="false">IF(NOT(U314),0,IF(K314="Sick Leave",W314,IF(K314="Partial Sick Leave",IF(AND(ISNUMBER(H314),ISNUMBER(I314)),MAX(0,(I314-H314)*24),0),0)))</f>
        <v>0</v>
      </c>
      <c r="Q314" s="14" t="n">
        <f aca="false">IF(NOT(U314),0,IF(K314="Vacation",IF(C314="Eve",Settings!$B$11,1),IF(K314="Partial Vacation",O314/Settings!$B$9,0)))</f>
        <v>0</v>
      </c>
      <c r="R314" s="14" t="n">
        <f aca="false">IF(NOT(U314),0,IF(K314="Sick Leave",1,IF(K314="Partial Sick Leave",P314/Settings!$B$9,0)))</f>
        <v>0</v>
      </c>
      <c r="S314" s="35" t="str">
        <f aca="false">IF(AND(OR(E314="Vacation",E314="Sick Leave",E314="Partial Vacation",E314="Partial Sick Leave"),NOT(U314)),"Leave not allowed on this day",IF(AND(E314="Manual Work",OR(NOT(ISNUMBER(F314)),NOT(ISNUMBER(G314)))),"Enter start and end",IF(AND(OR(E314="Partial Vacation",E314="Partial Sick Leave"),OR(NOT(ISNUMBER(H314)),NOT(ISNUMBER(I314)))),"Enter leave from and to",IF(AND(ISNUMBER(F314),ISNUMBER(G314),G314&lt;=F314),"End is before start",IF(AND(ISNUMBER(H314),ISNUMBER(I314),I314&lt;=H314),"Leave end is before start",IF(AND(ISNUMBER(F314),ISNUMBER(G314),ISNUMBER(H314),ISNUMBER(I314),F314&lt;I314,H314&lt;G314),"Work and leave hours overlap",IF(AND(E314&lt;&gt;"",WEEKDAY(A314)=7),"Saturday - administrator only","")))))))</f>
        <v/>
      </c>
      <c r="T314" s="36" t="n">
        <f aca="false">MONTH(A314)</f>
        <v>11</v>
      </c>
      <c r="U314" s="37" t="b">
        <f aca="false">OR(C314="Workday",C314="Eve")</f>
        <v>1</v>
      </c>
      <c r="V314" s="34" t="n">
        <f aca="false">IF(C314="Eve",Settings!$B$8,Settings!$B$7)</f>
        <v>0.6875</v>
      </c>
      <c r="W314" s="14" t="n">
        <f aca="false">IF(U314,(V314-Settings!$B$6)*24,0)</f>
        <v>8.5</v>
      </c>
    </row>
    <row r="315" customFormat="false" ht="15" hidden="false" customHeight="false" outlineLevel="0" collapsed="false">
      <c r="A315" s="29" t="n">
        <v>46331</v>
      </c>
      <c r="B315" s="30" t="str">
        <f aca="false">CHOOSE(WEEKDAY(A315),"Sun","Mon","Tue","Wed","Thu","Fri","Sat")</f>
        <v>Thu</v>
      </c>
      <c r="C315" s="30" t="str">
        <f aca="false">IF(IFERROR(INDEX(Holidays!$D$5:$D$60,MATCH(A315,Holidays!$A$5:$A$60,0)),"")="Holiday","Holiday",IF(WEEKDAY(A315)&gt;=6,"Weekend",IF(IFERROR(INDEX(Holidays!$D$5:$D$60,MATCH(A315,Holidays!$A$5:$A$60,0)),"")="Eve","Eve","Workday")))</f>
        <v>Workday</v>
      </c>
      <c r="D315" s="18" t="str">
        <f aca="false">IFERROR(INDEX(Holidays!$C$5:$C$60,MATCH(A315,Holidays!$A$5:$A$60,0)),"")</f>
        <v/>
      </c>
      <c r="E315" s="31"/>
      <c r="F315" s="32"/>
      <c r="G315" s="32"/>
      <c r="H315" s="32"/>
      <c r="I315" s="32"/>
      <c r="J315" s="31"/>
      <c r="K315" s="33" t="str">
        <f aca="false">IF(E315&lt;&gt;"",E315,IF(U315,"Present",IF(C315="Holiday","Holiday","Weekend")))</f>
        <v>Present</v>
      </c>
      <c r="L315" s="34" t="n">
        <f aca="false">IF(OR(K315="Present",K315="Manual Work",K315="Partial Vacation",K315="Partial Sick Leave"),IF(ISNUMBER(F315),F315,IF(AND(K315="Present",U315),Settings!$B$6,"")),"")</f>
        <v>0.333333333333333</v>
      </c>
      <c r="M315" s="34" t="n">
        <f aca="false">IF(OR(K315="Present",K315="Manual Work",K315="Partial Vacation",K315="Partial Sick Leave"),IF(ISNUMBER(G315),G315,IF(AND(K315="Present",U315),V315,"")),"")</f>
        <v>0.6875</v>
      </c>
      <c r="N315" s="14" t="n">
        <f aca="false">IF(AND(ISNUMBER(L315),ISNUMBER(M315)),MAX(0,(M315-L315)*24),0)</f>
        <v>8.5</v>
      </c>
      <c r="O315" s="14" t="n">
        <f aca="false">IF(NOT(U315),0,IF(K315="Vacation",IF(C315="Eve",Settings!$B$9*Settings!$B$11,W315),IF(K315="Partial Vacation",IF(AND(ISNUMBER(H315),ISNUMBER(I315)),MAX(0,(I315-H315)*24),0),0)))</f>
        <v>0</v>
      </c>
      <c r="P315" s="14" t="n">
        <f aca="false">IF(NOT(U315),0,IF(K315="Sick Leave",W315,IF(K315="Partial Sick Leave",IF(AND(ISNUMBER(H315),ISNUMBER(I315)),MAX(0,(I315-H315)*24),0),0)))</f>
        <v>0</v>
      </c>
      <c r="Q315" s="14" t="n">
        <f aca="false">IF(NOT(U315),0,IF(K315="Vacation",IF(C315="Eve",Settings!$B$11,1),IF(K315="Partial Vacation",O315/Settings!$B$9,0)))</f>
        <v>0</v>
      </c>
      <c r="R315" s="14" t="n">
        <f aca="false">IF(NOT(U315),0,IF(K315="Sick Leave",1,IF(K315="Partial Sick Leave",P315/Settings!$B$9,0)))</f>
        <v>0</v>
      </c>
      <c r="S315" s="35" t="str">
        <f aca="false">IF(AND(OR(E315="Vacation",E315="Sick Leave",E315="Partial Vacation",E315="Partial Sick Leave"),NOT(U315)),"Leave not allowed on this day",IF(AND(E315="Manual Work",OR(NOT(ISNUMBER(F315)),NOT(ISNUMBER(G315)))),"Enter start and end",IF(AND(OR(E315="Partial Vacation",E315="Partial Sick Leave"),OR(NOT(ISNUMBER(H315)),NOT(ISNUMBER(I315)))),"Enter leave from and to",IF(AND(ISNUMBER(F315),ISNUMBER(G315),G315&lt;=F315),"End is before start",IF(AND(ISNUMBER(H315),ISNUMBER(I315),I315&lt;=H315),"Leave end is before start",IF(AND(ISNUMBER(F315),ISNUMBER(G315),ISNUMBER(H315),ISNUMBER(I315),F315&lt;I315,H315&lt;G315),"Work and leave hours overlap",IF(AND(E315&lt;&gt;"",WEEKDAY(A315)=7),"Saturday - administrator only","")))))))</f>
        <v/>
      </c>
      <c r="T315" s="36" t="n">
        <f aca="false">MONTH(A315)</f>
        <v>11</v>
      </c>
      <c r="U315" s="37" t="b">
        <f aca="false">OR(C315="Workday",C315="Eve")</f>
        <v>1</v>
      </c>
      <c r="V315" s="34" t="n">
        <f aca="false">IF(C315="Eve",Settings!$B$8,Settings!$B$7)</f>
        <v>0.6875</v>
      </c>
      <c r="W315" s="14" t="n">
        <f aca="false">IF(U315,(V315-Settings!$B$6)*24,0)</f>
        <v>8.5</v>
      </c>
    </row>
    <row r="316" customFormat="false" ht="15" hidden="false" customHeight="false" outlineLevel="0" collapsed="false">
      <c r="A316" s="29" t="n">
        <v>46332</v>
      </c>
      <c r="B316" s="30" t="str">
        <f aca="false">CHOOSE(WEEKDAY(A316),"Sun","Mon","Tue","Wed","Thu","Fri","Sat")</f>
        <v>Fri</v>
      </c>
      <c r="C316" s="30" t="str">
        <f aca="false">IF(IFERROR(INDEX(Holidays!$D$5:$D$60,MATCH(A316,Holidays!$A$5:$A$60,0)),"")="Holiday","Holiday",IF(WEEKDAY(A316)&gt;=6,"Weekend",IF(IFERROR(INDEX(Holidays!$D$5:$D$60,MATCH(A316,Holidays!$A$5:$A$60,0)),"")="Eve","Eve","Workday")))</f>
        <v>Weekend</v>
      </c>
      <c r="D316" s="18" t="str">
        <f aca="false">IFERROR(INDEX(Holidays!$C$5:$C$60,MATCH(A316,Holidays!$A$5:$A$60,0)),"")</f>
        <v/>
      </c>
      <c r="E316" s="31"/>
      <c r="F316" s="32"/>
      <c r="G316" s="32"/>
      <c r="H316" s="32"/>
      <c r="I316" s="32"/>
      <c r="J316" s="31"/>
      <c r="K316" s="33" t="str">
        <f aca="false">IF(E316&lt;&gt;"",E316,IF(U316,"Present",IF(C316="Holiday","Holiday","Weekend")))</f>
        <v>Weekend</v>
      </c>
      <c r="L316" s="34" t="str">
        <f aca="false">IF(OR(K316="Present",K316="Manual Work",K316="Partial Vacation",K316="Partial Sick Leave"),IF(ISNUMBER(F316),F316,IF(AND(K316="Present",U316),Settings!$B$6,"")),"")</f>
        <v/>
      </c>
      <c r="M316" s="34" t="str">
        <f aca="false">IF(OR(K316="Present",K316="Manual Work",K316="Partial Vacation",K316="Partial Sick Leave"),IF(ISNUMBER(G316),G316,IF(AND(K316="Present",U316),V316,"")),"")</f>
        <v/>
      </c>
      <c r="N316" s="14" t="n">
        <f aca="false">IF(AND(ISNUMBER(L316),ISNUMBER(M316)),MAX(0,(M316-L316)*24),0)</f>
        <v>0</v>
      </c>
      <c r="O316" s="14" t="n">
        <f aca="false">IF(NOT(U316),0,IF(K316="Vacation",IF(C316="Eve",Settings!$B$9*Settings!$B$11,W316),IF(K316="Partial Vacation",IF(AND(ISNUMBER(H316),ISNUMBER(I316)),MAX(0,(I316-H316)*24),0),0)))</f>
        <v>0</v>
      </c>
      <c r="P316" s="14" t="n">
        <f aca="false">IF(NOT(U316),0,IF(K316="Sick Leave",W316,IF(K316="Partial Sick Leave",IF(AND(ISNUMBER(H316),ISNUMBER(I316)),MAX(0,(I316-H316)*24),0),0)))</f>
        <v>0</v>
      </c>
      <c r="Q316" s="14" t="n">
        <f aca="false">IF(NOT(U316),0,IF(K316="Vacation",IF(C316="Eve",Settings!$B$11,1),IF(K316="Partial Vacation",O316/Settings!$B$9,0)))</f>
        <v>0</v>
      </c>
      <c r="R316" s="14" t="n">
        <f aca="false">IF(NOT(U316),0,IF(K316="Sick Leave",1,IF(K316="Partial Sick Leave",P316/Settings!$B$9,0)))</f>
        <v>0</v>
      </c>
      <c r="S316" s="35" t="str">
        <f aca="false">IF(AND(OR(E316="Vacation",E316="Sick Leave",E316="Partial Vacation",E316="Partial Sick Leave"),NOT(U316)),"Leave not allowed on this day",IF(AND(E316="Manual Work",OR(NOT(ISNUMBER(F316)),NOT(ISNUMBER(G316)))),"Enter start and end",IF(AND(OR(E316="Partial Vacation",E316="Partial Sick Leave"),OR(NOT(ISNUMBER(H316)),NOT(ISNUMBER(I316)))),"Enter leave from and to",IF(AND(ISNUMBER(F316),ISNUMBER(G316),G316&lt;=F316),"End is before start",IF(AND(ISNUMBER(H316),ISNUMBER(I316),I316&lt;=H316),"Leave end is before start",IF(AND(ISNUMBER(F316),ISNUMBER(G316),ISNUMBER(H316),ISNUMBER(I316),F316&lt;I316,H316&lt;G316),"Work and leave hours overlap",IF(AND(E316&lt;&gt;"",WEEKDAY(A316)=7),"Saturday - administrator only","")))))))</f>
        <v/>
      </c>
      <c r="T316" s="36" t="n">
        <f aca="false">MONTH(A316)</f>
        <v>11</v>
      </c>
      <c r="U316" s="37" t="b">
        <f aca="false">OR(C316="Workday",C316="Eve")</f>
        <v>0</v>
      </c>
      <c r="V316" s="34" t="n">
        <f aca="false">IF(C316="Eve",Settings!$B$8,Settings!$B$7)</f>
        <v>0.6875</v>
      </c>
      <c r="W316" s="14" t="n">
        <f aca="false">IF(U316,(V316-Settings!$B$6)*24,0)</f>
        <v>0</v>
      </c>
    </row>
    <row r="317" customFormat="false" ht="15" hidden="false" customHeight="false" outlineLevel="0" collapsed="false">
      <c r="A317" s="29" t="n">
        <v>46333</v>
      </c>
      <c r="B317" s="30" t="str">
        <f aca="false">CHOOSE(WEEKDAY(A317),"Sun","Mon","Tue","Wed","Thu","Fri","Sat")</f>
        <v>Sat</v>
      </c>
      <c r="C317" s="30" t="str">
        <f aca="false">IF(IFERROR(INDEX(Holidays!$D$5:$D$60,MATCH(A317,Holidays!$A$5:$A$60,0)),"")="Holiday","Holiday",IF(WEEKDAY(A317)&gt;=6,"Weekend",IF(IFERROR(INDEX(Holidays!$D$5:$D$60,MATCH(A317,Holidays!$A$5:$A$60,0)),"")="Eve","Eve","Workday")))</f>
        <v>Weekend</v>
      </c>
      <c r="D317" s="18" t="str">
        <f aca="false">IFERROR(INDEX(Holidays!$C$5:$C$60,MATCH(A317,Holidays!$A$5:$A$60,0)),"")</f>
        <v/>
      </c>
      <c r="E317" s="31"/>
      <c r="F317" s="32"/>
      <c r="G317" s="32"/>
      <c r="H317" s="32"/>
      <c r="I317" s="32"/>
      <c r="J317" s="31"/>
      <c r="K317" s="33" t="str">
        <f aca="false">IF(E317&lt;&gt;"",E317,IF(U317,"Present",IF(C317="Holiday","Holiday","Weekend")))</f>
        <v>Weekend</v>
      </c>
      <c r="L317" s="34" t="str">
        <f aca="false">IF(OR(K317="Present",K317="Manual Work",K317="Partial Vacation",K317="Partial Sick Leave"),IF(ISNUMBER(F317),F317,IF(AND(K317="Present",U317),Settings!$B$6,"")),"")</f>
        <v/>
      </c>
      <c r="M317" s="34" t="str">
        <f aca="false">IF(OR(K317="Present",K317="Manual Work",K317="Partial Vacation",K317="Partial Sick Leave"),IF(ISNUMBER(G317),G317,IF(AND(K317="Present",U317),V317,"")),"")</f>
        <v/>
      </c>
      <c r="N317" s="14" t="n">
        <f aca="false">IF(AND(ISNUMBER(L317),ISNUMBER(M317)),MAX(0,(M317-L317)*24),0)</f>
        <v>0</v>
      </c>
      <c r="O317" s="14" t="n">
        <f aca="false">IF(NOT(U317),0,IF(K317="Vacation",IF(C317="Eve",Settings!$B$9*Settings!$B$11,W317),IF(K317="Partial Vacation",IF(AND(ISNUMBER(H317),ISNUMBER(I317)),MAX(0,(I317-H317)*24),0),0)))</f>
        <v>0</v>
      </c>
      <c r="P317" s="14" t="n">
        <f aca="false">IF(NOT(U317),0,IF(K317="Sick Leave",W317,IF(K317="Partial Sick Leave",IF(AND(ISNUMBER(H317),ISNUMBER(I317)),MAX(0,(I317-H317)*24),0),0)))</f>
        <v>0</v>
      </c>
      <c r="Q317" s="14" t="n">
        <f aca="false">IF(NOT(U317),0,IF(K317="Vacation",IF(C317="Eve",Settings!$B$11,1),IF(K317="Partial Vacation",O317/Settings!$B$9,0)))</f>
        <v>0</v>
      </c>
      <c r="R317" s="14" t="n">
        <f aca="false">IF(NOT(U317),0,IF(K317="Sick Leave",1,IF(K317="Partial Sick Leave",P317/Settings!$B$9,0)))</f>
        <v>0</v>
      </c>
      <c r="S317" s="35" t="str">
        <f aca="false">IF(AND(OR(E317="Vacation",E317="Sick Leave",E317="Partial Vacation",E317="Partial Sick Leave"),NOT(U317)),"Leave not allowed on this day",IF(AND(E317="Manual Work",OR(NOT(ISNUMBER(F317)),NOT(ISNUMBER(G317)))),"Enter start and end",IF(AND(OR(E317="Partial Vacation",E317="Partial Sick Leave"),OR(NOT(ISNUMBER(H317)),NOT(ISNUMBER(I317)))),"Enter leave from and to",IF(AND(ISNUMBER(F317),ISNUMBER(G317),G317&lt;=F317),"End is before start",IF(AND(ISNUMBER(H317),ISNUMBER(I317),I317&lt;=H317),"Leave end is before start",IF(AND(ISNUMBER(F317),ISNUMBER(G317),ISNUMBER(H317),ISNUMBER(I317),F317&lt;I317,H317&lt;G317),"Work and leave hours overlap",IF(AND(E317&lt;&gt;"",WEEKDAY(A317)=7),"Saturday - administrator only","")))))))</f>
        <v/>
      </c>
      <c r="T317" s="36" t="n">
        <f aca="false">MONTH(A317)</f>
        <v>11</v>
      </c>
      <c r="U317" s="37" t="b">
        <f aca="false">OR(C317="Workday",C317="Eve")</f>
        <v>0</v>
      </c>
      <c r="V317" s="34" t="n">
        <f aca="false">IF(C317="Eve",Settings!$B$8,Settings!$B$7)</f>
        <v>0.6875</v>
      </c>
      <c r="W317" s="14" t="n">
        <f aca="false">IF(U317,(V317-Settings!$B$6)*24,0)</f>
        <v>0</v>
      </c>
    </row>
    <row r="318" customFormat="false" ht="15" hidden="false" customHeight="false" outlineLevel="0" collapsed="false">
      <c r="A318" s="29" t="n">
        <v>46334</v>
      </c>
      <c r="B318" s="30" t="str">
        <f aca="false">CHOOSE(WEEKDAY(A318),"Sun","Mon","Tue","Wed","Thu","Fri","Sat")</f>
        <v>Sun</v>
      </c>
      <c r="C318" s="30" t="str">
        <f aca="false">IF(IFERROR(INDEX(Holidays!$D$5:$D$60,MATCH(A318,Holidays!$A$5:$A$60,0)),"")="Holiday","Holiday",IF(WEEKDAY(A318)&gt;=6,"Weekend",IF(IFERROR(INDEX(Holidays!$D$5:$D$60,MATCH(A318,Holidays!$A$5:$A$60,0)),"")="Eve","Eve","Workday")))</f>
        <v>Workday</v>
      </c>
      <c r="D318" s="18" t="str">
        <f aca="false">IFERROR(INDEX(Holidays!$C$5:$C$60,MATCH(A318,Holidays!$A$5:$A$60,0)),"")</f>
        <v/>
      </c>
      <c r="E318" s="31"/>
      <c r="F318" s="32"/>
      <c r="G318" s="32"/>
      <c r="H318" s="32"/>
      <c r="I318" s="32"/>
      <c r="J318" s="31"/>
      <c r="K318" s="33" t="str">
        <f aca="false">IF(E318&lt;&gt;"",E318,IF(U318,"Present",IF(C318="Holiday","Holiday","Weekend")))</f>
        <v>Present</v>
      </c>
      <c r="L318" s="34" t="n">
        <f aca="false">IF(OR(K318="Present",K318="Manual Work",K318="Partial Vacation",K318="Partial Sick Leave"),IF(ISNUMBER(F318),F318,IF(AND(K318="Present",U318),Settings!$B$6,"")),"")</f>
        <v>0.333333333333333</v>
      </c>
      <c r="M318" s="34" t="n">
        <f aca="false">IF(OR(K318="Present",K318="Manual Work",K318="Partial Vacation",K318="Partial Sick Leave"),IF(ISNUMBER(G318),G318,IF(AND(K318="Present",U318),V318,"")),"")</f>
        <v>0.6875</v>
      </c>
      <c r="N318" s="14" t="n">
        <f aca="false">IF(AND(ISNUMBER(L318),ISNUMBER(M318)),MAX(0,(M318-L318)*24),0)</f>
        <v>8.5</v>
      </c>
      <c r="O318" s="14" t="n">
        <f aca="false">IF(NOT(U318),0,IF(K318="Vacation",IF(C318="Eve",Settings!$B$9*Settings!$B$11,W318),IF(K318="Partial Vacation",IF(AND(ISNUMBER(H318),ISNUMBER(I318)),MAX(0,(I318-H318)*24),0),0)))</f>
        <v>0</v>
      </c>
      <c r="P318" s="14" t="n">
        <f aca="false">IF(NOT(U318),0,IF(K318="Sick Leave",W318,IF(K318="Partial Sick Leave",IF(AND(ISNUMBER(H318),ISNUMBER(I318)),MAX(0,(I318-H318)*24),0),0)))</f>
        <v>0</v>
      </c>
      <c r="Q318" s="14" t="n">
        <f aca="false">IF(NOT(U318),0,IF(K318="Vacation",IF(C318="Eve",Settings!$B$11,1),IF(K318="Partial Vacation",O318/Settings!$B$9,0)))</f>
        <v>0</v>
      </c>
      <c r="R318" s="14" t="n">
        <f aca="false">IF(NOT(U318),0,IF(K318="Sick Leave",1,IF(K318="Partial Sick Leave",P318/Settings!$B$9,0)))</f>
        <v>0</v>
      </c>
      <c r="S318" s="35" t="str">
        <f aca="false">IF(AND(OR(E318="Vacation",E318="Sick Leave",E318="Partial Vacation",E318="Partial Sick Leave"),NOT(U318)),"Leave not allowed on this day",IF(AND(E318="Manual Work",OR(NOT(ISNUMBER(F318)),NOT(ISNUMBER(G318)))),"Enter start and end",IF(AND(OR(E318="Partial Vacation",E318="Partial Sick Leave"),OR(NOT(ISNUMBER(H318)),NOT(ISNUMBER(I318)))),"Enter leave from and to",IF(AND(ISNUMBER(F318),ISNUMBER(G318),G318&lt;=F318),"End is before start",IF(AND(ISNUMBER(H318),ISNUMBER(I318),I318&lt;=H318),"Leave end is before start",IF(AND(ISNUMBER(F318),ISNUMBER(G318),ISNUMBER(H318),ISNUMBER(I318),F318&lt;I318,H318&lt;G318),"Work and leave hours overlap",IF(AND(E318&lt;&gt;"",WEEKDAY(A318)=7),"Saturday - administrator only","")))))))</f>
        <v/>
      </c>
      <c r="T318" s="36" t="n">
        <f aca="false">MONTH(A318)</f>
        <v>11</v>
      </c>
      <c r="U318" s="37" t="b">
        <f aca="false">OR(C318="Workday",C318="Eve")</f>
        <v>1</v>
      </c>
      <c r="V318" s="34" t="n">
        <f aca="false">IF(C318="Eve",Settings!$B$8,Settings!$B$7)</f>
        <v>0.6875</v>
      </c>
      <c r="W318" s="14" t="n">
        <f aca="false">IF(U318,(V318-Settings!$B$6)*24,0)</f>
        <v>8.5</v>
      </c>
    </row>
    <row r="319" customFormat="false" ht="15" hidden="false" customHeight="false" outlineLevel="0" collapsed="false">
      <c r="A319" s="29" t="n">
        <v>46335</v>
      </c>
      <c r="B319" s="30" t="str">
        <f aca="false">CHOOSE(WEEKDAY(A319),"Sun","Mon","Tue","Wed","Thu","Fri","Sat")</f>
        <v>Mon</v>
      </c>
      <c r="C319" s="30" t="str">
        <f aca="false">IF(IFERROR(INDEX(Holidays!$D$5:$D$60,MATCH(A319,Holidays!$A$5:$A$60,0)),"")="Holiday","Holiday",IF(WEEKDAY(A319)&gt;=6,"Weekend",IF(IFERROR(INDEX(Holidays!$D$5:$D$60,MATCH(A319,Holidays!$A$5:$A$60,0)),"")="Eve","Eve","Workday")))</f>
        <v>Workday</v>
      </c>
      <c r="D319" s="18" t="str">
        <f aca="false">IFERROR(INDEX(Holidays!$C$5:$C$60,MATCH(A319,Holidays!$A$5:$A$60,0)),"")</f>
        <v/>
      </c>
      <c r="E319" s="31"/>
      <c r="F319" s="32"/>
      <c r="G319" s="32"/>
      <c r="H319" s="32"/>
      <c r="I319" s="32"/>
      <c r="J319" s="31"/>
      <c r="K319" s="33" t="str">
        <f aca="false">IF(E319&lt;&gt;"",E319,IF(U319,"Present",IF(C319="Holiday","Holiday","Weekend")))</f>
        <v>Present</v>
      </c>
      <c r="L319" s="34" t="n">
        <f aca="false">IF(OR(K319="Present",K319="Manual Work",K319="Partial Vacation",K319="Partial Sick Leave"),IF(ISNUMBER(F319),F319,IF(AND(K319="Present",U319),Settings!$B$6,"")),"")</f>
        <v>0.333333333333333</v>
      </c>
      <c r="M319" s="34" t="n">
        <f aca="false">IF(OR(K319="Present",K319="Manual Work",K319="Partial Vacation",K319="Partial Sick Leave"),IF(ISNUMBER(G319),G319,IF(AND(K319="Present",U319),V319,"")),"")</f>
        <v>0.6875</v>
      </c>
      <c r="N319" s="14" t="n">
        <f aca="false">IF(AND(ISNUMBER(L319),ISNUMBER(M319)),MAX(0,(M319-L319)*24),0)</f>
        <v>8.5</v>
      </c>
      <c r="O319" s="14" t="n">
        <f aca="false">IF(NOT(U319),0,IF(K319="Vacation",IF(C319="Eve",Settings!$B$9*Settings!$B$11,W319),IF(K319="Partial Vacation",IF(AND(ISNUMBER(H319),ISNUMBER(I319)),MAX(0,(I319-H319)*24),0),0)))</f>
        <v>0</v>
      </c>
      <c r="P319" s="14" t="n">
        <f aca="false">IF(NOT(U319),0,IF(K319="Sick Leave",W319,IF(K319="Partial Sick Leave",IF(AND(ISNUMBER(H319),ISNUMBER(I319)),MAX(0,(I319-H319)*24),0),0)))</f>
        <v>0</v>
      </c>
      <c r="Q319" s="14" t="n">
        <f aca="false">IF(NOT(U319),0,IF(K319="Vacation",IF(C319="Eve",Settings!$B$11,1),IF(K319="Partial Vacation",O319/Settings!$B$9,0)))</f>
        <v>0</v>
      </c>
      <c r="R319" s="14" t="n">
        <f aca="false">IF(NOT(U319),0,IF(K319="Sick Leave",1,IF(K319="Partial Sick Leave",P319/Settings!$B$9,0)))</f>
        <v>0</v>
      </c>
      <c r="S319" s="35" t="str">
        <f aca="false">IF(AND(OR(E319="Vacation",E319="Sick Leave",E319="Partial Vacation",E319="Partial Sick Leave"),NOT(U319)),"Leave not allowed on this day",IF(AND(E319="Manual Work",OR(NOT(ISNUMBER(F319)),NOT(ISNUMBER(G319)))),"Enter start and end",IF(AND(OR(E319="Partial Vacation",E319="Partial Sick Leave"),OR(NOT(ISNUMBER(H319)),NOT(ISNUMBER(I319)))),"Enter leave from and to",IF(AND(ISNUMBER(F319),ISNUMBER(G319),G319&lt;=F319),"End is before start",IF(AND(ISNUMBER(H319),ISNUMBER(I319),I319&lt;=H319),"Leave end is before start",IF(AND(ISNUMBER(F319),ISNUMBER(G319),ISNUMBER(H319),ISNUMBER(I319),F319&lt;I319,H319&lt;G319),"Work and leave hours overlap",IF(AND(E319&lt;&gt;"",WEEKDAY(A319)=7),"Saturday - administrator only","")))))))</f>
        <v/>
      </c>
      <c r="T319" s="36" t="n">
        <f aca="false">MONTH(A319)</f>
        <v>11</v>
      </c>
      <c r="U319" s="37" t="b">
        <f aca="false">OR(C319="Workday",C319="Eve")</f>
        <v>1</v>
      </c>
      <c r="V319" s="34" t="n">
        <f aca="false">IF(C319="Eve",Settings!$B$8,Settings!$B$7)</f>
        <v>0.6875</v>
      </c>
      <c r="W319" s="14" t="n">
        <f aca="false">IF(U319,(V319-Settings!$B$6)*24,0)</f>
        <v>8.5</v>
      </c>
    </row>
    <row r="320" customFormat="false" ht="15" hidden="false" customHeight="false" outlineLevel="0" collapsed="false">
      <c r="A320" s="29" t="n">
        <v>46336</v>
      </c>
      <c r="B320" s="30" t="str">
        <f aca="false">CHOOSE(WEEKDAY(A320),"Sun","Mon","Tue","Wed","Thu","Fri","Sat")</f>
        <v>Tue</v>
      </c>
      <c r="C320" s="30" t="str">
        <f aca="false">IF(IFERROR(INDEX(Holidays!$D$5:$D$60,MATCH(A320,Holidays!$A$5:$A$60,0)),"")="Holiday","Holiday",IF(WEEKDAY(A320)&gt;=6,"Weekend",IF(IFERROR(INDEX(Holidays!$D$5:$D$60,MATCH(A320,Holidays!$A$5:$A$60,0)),"")="Eve","Eve","Workday")))</f>
        <v>Workday</v>
      </c>
      <c r="D320" s="18" t="str">
        <f aca="false">IFERROR(INDEX(Holidays!$C$5:$C$60,MATCH(A320,Holidays!$A$5:$A$60,0)),"")</f>
        <v/>
      </c>
      <c r="E320" s="31"/>
      <c r="F320" s="32"/>
      <c r="G320" s="32"/>
      <c r="H320" s="32"/>
      <c r="I320" s="32"/>
      <c r="J320" s="31"/>
      <c r="K320" s="33" t="str">
        <f aca="false">IF(E320&lt;&gt;"",E320,IF(U320,"Present",IF(C320="Holiday","Holiday","Weekend")))</f>
        <v>Present</v>
      </c>
      <c r="L320" s="34" t="n">
        <f aca="false">IF(OR(K320="Present",K320="Manual Work",K320="Partial Vacation",K320="Partial Sick Leave"),IF(ISNUMBER(F320),F320,IF(AND(K320="Present",U320),Settings!$B$6,"")),"")</f>
        <v>0.333333333333333</v>
      </c>
      <c r="M320" s="34" t="n">
        <f aca="false">IF(OR(K320="Present",K320="Manual Work",K320="Partial Vacation",K320="Partial Sick Leave"),IF(ISNUMBER(G320),G320,IF(AND(K320="Present",U320),V320,"")),"")</f>
        <v>0.6875</v>
      </c>
      <c r="N320" s="14" t="n">
        <f aca="false">IF(AND(ISNUMBER(L320),ISNUMBER(M320)),MAX(0,(M320-L320)*24),0)</f>
        <v>8.5</v>
      </c>
      <c r="O320" s="14" t="n">
        <f aca="false">IF(NOT(U320),0,IF(K320="Vacation",IF(C320="Eve",Settings!$B$9*Settings!$B$11,W320),IF(K320="Partial Vacation",IF(AND(ISNUMBER(H320),ISNUMBER(I320)),MAX(0,(I320-H320)*24),0),0)))</f>
        <v>0</v>
      </c>
      <c r="P320" s="14" t="n">
        <f aca="false">IF(NOT(U320),0,IF(K320="Sick Leave",W320,IF(K320="Partial Sick Leave",IF(AND(ISNUMBER(H320),ISNUMBER(I320)),MAX(0,(I320-H320)*24),0),0)))</f>
        <v>0</v>
      </c>
      <c r="Q320" s="14" t="n">
        <f aca="false">IF(NOT(U320),0,IF(K320="Vacation",IF(C320="Eve",Settings!$B$11,1),IF(K320="Partial Vacation",O320/Settings!$B$9,0)))</f>
        <v>0</v>
      </c>
      <c r="R320" s="14" t="n">
        <f aca="false">IF(NOT(U320),0,IF(K320="Sick Leave",1,IF(K320="Partial Sick Leave",P320/Settings!$B$9,0)))</f>
        <v>0</v>
      </c>
      <c r="S320" s="35" t="str">
        <f aca="false">IF(AND(OR(E320="Vacation",E320="Sick Leave",E320="Partial Vacation",E320="Partial Sick Leave"),NOT(U320)),"Leave not allowed on this day",IF(AND(E320="Manual Work",OR(NOT(ISNUMBER(F320)),NOT(ISNUMBER(G320)))),"Enter start and end",IF(AND(OR(E320="Partial Vacation",E320="Partial Sick Leave"),OR(NOT(ISNUMBER(H320)),NOT(ISNUMBER(I320)))),"Enter leave from and to",IF(AND(ISNUMBER(F320),ISNUMBER(G320),G320&lt;=F320),"End is before start",IF(AND(ISNUMBER(H320),ISNUMBER(I320),I320&lt;=H320),"Leave end is before start",IF(AND(ISNUMBER(F320),ISNUMBER(G320),ISNUMBER(H320),ISNUMBER(I320),F320&lt;I320,H320&lt;G320),"Work and leave hours overlap",IF(AND(E320&lt;&gt;"",WEEKDAY(A320)=7),"Saturday - administrator only","")))))))</f>
        <v/>
      </c>
      <c r="T320" s="36" t="n">
        <f aca="false">MONTH(A320)</f>
        <v>11</v>
      </c>
      <c r="U320" s="37" t="b">
        <f aca="false">OR(C320="Workday",C320="Eve")</f>
        <v>1</v>
      </c>
      <c r="V320" s="34" t="n">
        <f aca="false">IF(C320="Eve",Settings!$B$8,Settings!$B$7)</f>
        <v>0.6875</v>
      </c>
      <c r="W320" s="14" t="n">
        <f aca="false">IF(U320,(V320-Settings!$B$6)*24,0)</f>
        <v>8.5</v>
      </c>
    </row>
    <row r="321" customFormat="false" ht="15" hidden="false" customHeight="false" outlineLevel="0" collapsed="false">
      <c r="A321" s="29" t="n">
        <v>46337</v>
      </c>
      <c r="B321" s="30" t="str">
        <f aca="false">CHOOSE(WEEKDAY(A321),"Sun","Mon","Tue","Wed","Thu","Fri","Sat")</f>
        <v>Wed</v>
      </c>
      <c r="C321" s="30" t="str">
        <f aca="false">IF(IFERROR(INDEX(Holidays!$D$5:$D$60,MATCH(A321,Holidays!$A$5:$A$60,0)),"")="Holiday","Holiday",IF(WEEKDAY(A321)&gt;=6,"Weekend",IF(IFERROR(INDEX(Holidays!$D$5:$D$60,MATCH(A321,Holidays!$A$5:$A$60,0)),"")="Eve","Eve","Workday")))</f>
        <v>Workday</v>
      </c>
      <c r="D321" s="18" t="str">
        <f aca="false">IFERROR(INDEX(Holidays!$C$5:$C$60,MATCH(A321,Holidays!$A$5:$A$60,0)),"")</f>
        <v/>
      </c>
      <c r="E321" s="31"/>
      <c r="F321" s="32"/>
      <c r="G321" s="32"/>
      <c r="H321" s="32"/>
      <c r="I321" s="32"/>
      <c r="J321" s="31"/>
      <c r="K321" s="33" t="str">
        <f aca="false">IF(E321&lt;&gt;"",E321,IF(U321,"Present",IF(C321="Holiday","Holiday","Weekend")))</f>
        <v>Present</v>
      </c>
      <c r="L321" s="34" t="n">
        <f aca="false">IF(OR(K321="Present",K321="Manual Work",K321="Partial Vacation",K321="Partial Sick Leave"),IF(ISNUMBER(F321),F321,IF(AND(K321="Present",U321),Settings!$B$6,"")),"")</f>
        <v>0.333333333333333</v>
      </c>
      <c r="M321" s="34" t="n">
        <f aca="false">IF(OR(K321="Present",K321="Manual Work",K321="Partial Vacation",K321="Partial Sick Leave"),IF(ISNUMBER(G321),G321,IF(AND(K321="Present",U321),V321,"")),"")</f>
        <v>0.6875</v>
      </c>
      <c r="N321" s="14" t="n">
        <f aca="false">IF(AND(ISNUMBER(L321),ISNUMBER(M321)),MAX(0,(M321-L321)*24),0)</f>
        <v>8.5</v>
      </c>
      <c r="O321" s="14" t="n">
        <f aca="false">IF(NOT(U321),0,IF(K321="Vacation",IF(C321="Eve",Settings!$B$9*Settings!$B$11,W321),IF(K321="Partial Vacation",IF(AND(ISNUMBER(H321),ISNUMBER(I321)),MAX(0,(I321-H321)*24),0),0)))</f>
        <v>0</v>
      </c>
      <c r="P321" s="14" t="n">
        <f aca="false">IF(NOT(U321),0,IF(K321="Sick Leave",W321,IF(K321="Partial Sick Leave",IF(AND(ISNUMBER(H321),ISNUMBER(I321)),MAX(0,(I321-H321)*24),0),0)))</f>
        <v>0</v>
      </c>
      <c r="Q321" s="14" t="n">
        <f aca="false">IF(NOT(U321),0,IF(K321="Vacation",IF(C321="Eve",Settings!$B$11,1),IF(K321="Partial Vacation",O321/Settings!$B$9,0)))</f>
        <v>0</v>
      </c>
      <c r="R321" s="14" t="n">
        <f aca="false">IF(NOT(U321),0,IF(K321="Sick Leave",1,IF(K321="Partial Sick Leave",P321/Settings!$B$9,0)))</f>
        <v>0</v>
      </c>
      <c r="S321" s="35" t="str">
        <f aca="false">IF(AND(OR(E321="Vacation",E321="Sick Leave",E321="Partial Vacation",E321="Partial Sick Leave"),NOT(U321)),"Leave not allowed on this day",IF(AND(E321="Manual Work",OR(NOT(ISNUMBER(F321)),NOT(ISNUMBER(G321)))),"Enter start and end",IF(AND(OR(E321="Partial Vacation",E321="Partial Sick Leave"),OR(NOT(ISNUMBER(H321)),NOT(ISNUMBER(I321)))),"Enter leave from and to",IF(AND(ISNUMBER(F321),ISNUMBER(G321),G321&lt;=F321),"End is before start",IF(AND(ISNUMBER(H321),ISNUMBER(I321),I321&lt;=H321),"Leave end is before start",IF(AND(ISNUMBER(F321),ISNUMBER(G321),ISNUMBER(H321),ISNUMBER(I321),F321&lt;I321,H321&lt;G321),"Work and leave hours overlap",IF(AND(E321&lt;&gt;"",WEEKDAY(A321)=7),"Saturday - administrator only","")))))))</f>
        <v/>
      </c>
      <c r="T321" s="36" t="n">
        <f aca="false">MONTH(A321)</f>
        <v>11</v>
      </c>
      <c r="U321" s="37" t="b">
        <f aca="false">OR(C321="Workday",C321="Eve")</f>
        <v>1</v>
      </c>
      <c r="V321" s="34" t="n">
        <f aca="false">IF(C321="Eve",Settings!$B$8,Settings!$B$7)</f>
        <v>0.6875</v>
      </c>
      <c r="W321" s="14" t="n">
        <f aca="false">IF(U321,(V321-Settings!$B$6)*24,0)</f>
        <v>8.5</v>
      </c>
    </row>
    <row r="322" customFormat="false" ht="15" hidden="false" customHeight="false" outlineLevel="0" collapsed="false">
      <c r="A322" s="29" t="n">
        <v>46338</v>
      </c>
      <c r="B322" s="30" t="str">
        <f aca="false">CHOOSE(WEEKDAY(A322),"Sun","Mon","Tue","Wed","Thu","Fri","Sat")</f>
        <v>Thu</v>
      </c>
      <c r="C322" s="30" t="str">
        <f aca="false">IF(IFERROR(INDEX(Holidays!$D$5:$D$60,MATCH(A322,Holidays!$A$5:$A$60,0)),"")="Holiday","Holiday",IF(WEEKDAY(A322)&gt;=6,"Weekend",IF(IFERROR(INDEX(Holidays!$D$5:$D$60,MATCH(A322,Holidays!$A$5:$A$60,0)),"")="Eve","Eve","Workday")))</f>
        <v>Workday</v>
      </c>
      <c r="D322" s="18" t="str">
        <f aca="false">IFERROR(INDEX(Holidays!$C$5:$C$60,MATCH(A322,Holidays!$A$5:$A$60,0)),"")</f>
        <v/>
      </c>
      <c r="E322" s="31"/>
      <c r="F322" s="32"/>
      <c r="G322" s="32"/>
      <c r="H322" s="32"/>
      <c r="I322" s="32"/>
      <c r="J322" s="31"/>
      <c r="K322" s="33" t="str">
        <f aca="false">IF(E322&lt;&gt;"",E322,IF(U322,"Present",IF(C322="Holiday","Holiday","Weekend")))</f>
        <v>Present</v>
      </c>
      <c r="L322" s="34" t="n">
        <f aca="false">IF(OR(K322="Present",K322="Manual Work",K322="Partial Vacation",K322="Partial Sick Leave"),IF(ISNUMBER(F322),F322,IF(AND(K322="Present",U322),Settings!$B$6,"")),"")</f>
        <v>0.333333333333333</v>
      </c>
      <c r="M322" s="34" t="n">
        <f aca="false">IF(OR(K322="Present",K322="Manual Work",K322="Partial Vacation",K322="Partial Sick Leave"),IF(ISNUMBER(G322),G322,IF(AND(K322="Present",U322),V322,"")),"")</f>
        <v>0.6875</v>
      </c>
      <c r="N322" s="14" t="n">
        <f aca="false">IF(AND(ISNUMBER(L322),ISNUMBER(M322)),MAX(0,(M322-L322)*24),0)</f>
        <v>8.5</v>
      </c>
      <c r="O322" s="14" t="n">
        <f aca="false">IF(NOT(U322),0,IF(K322="Vacation",IF(C322="Eve",Settings!$B$9*Settings!$B$11,W322),IF(K322="Partial Vacation",IF(AND(ISNUMBER(H322),ISNUMBER(I322)),MAX(0,(I322-H322)*24),0),0)))</f>
        <v>0</v>
      </c>
      <c r="P322" s="14" t="n">
        <f aca="false">IF(NOT(U322),0,IF(K322="Sick Leave",W322,IF(K322="Partial Sick Leave",IF(AND(ISNUMBER(H322),ISNUMBER(I322)),MAX(0,(I322-H322)*24),0),0)))</f>
        <v>0</v>
      </c>
      <c r="Q322" s="14" t="n">
        <f aca="false">IF(NOT(U322),0,IF(K322="Vacation",IF(C322="Eve",Settings!$B$11,1),IF(K322="Partial Vacation",O322/Settings!$B$9,0)))</f>
        <v>0</v>
      </c>
      <c r="R322" s="14" t="n">
        <f aca="false">IF(NOT(U322),0,IF(K322="Sick Leave",1,IF(K322="Partial Sick Leave",P322/Settings!$B$9,0)))</f>
        <v>0</v>
      </c>
      <c r="S322" s="35" t="str">
        <f aca="false">IF(AND(OR(E322="Vacation",E322="Sick Leave",E322="Partial Vacation",E322="Partial Sick Leave"),NOT(U322)),"Leave not allowed on this day",IF(AND(E322="Manual Work",OR(NOT(ISNUMBER(F322)),NOT(ISNUMBER(G322)))),"Enter start and end",IF(AND(OR(E322="Partial Vacation",E322="Partial Sick Leave"),OR(NOT(ISNUMBER(H322)),NOT(ISNUMBER(I322)))),"Enter leave from and to",IF(AND(ISNUMBER(F322),ISNUMBER(G322),G322&lt;=F322),"End is before start",IF(AND(ISNUMBER(H322),ISNUMBER(I322),I322&lt;=H322),"Leave end is before start",IF(AND(ISNUMBER(F322),ISNUMBER(G322),ISNUMBER(H322),ISNUMBER(I322),F322&lt;I322,H322&lt;G322),"Work and leave hours overlap",IF(AND(E322&lt;&gt;"",WEEKDAY(A322)=7),"Saturday - administrator only","")))))))</f>
        <v/>
      </c>
      <c r="T322" s="36" t="n">
        <f aca="false">MONTH(A322)</f>
        <v>11</v>
      </c>
      <c r="U322" s="37" t="b">
        <f aca="false">OR(C322="Workday",C322="Eve")</f>
        <v>1</v>
      </c>
      <c r="V322" s="34" t="n">
        <f aca="false">IF(C322="Eve",Settings!$B$8,Settings!$B$7)</f>
        <v>0.6875</v>
      </c>
      <c r="W322" s="14" t="n">
        <f aca="false">IF(U322,(V322-Settings!$B$6)*24,0)</f>
        <v>8.5</v>
      </c>
    </row>
    <row r="323" customFormat="false" ht="15" hidden="false" customHeight="false" outlineLevel="0" collapsed="false">
      <c r="A323" s="29" t="n">
        <v>46339</v>
      </c>
      <c r="B323" s="30" t="str">
        <f aca="false">CHOOSE(WEEKDAY(A323),"Sun","Mon","Tue","Wed","Thu","Fri","Sat")</f>
        <v>Fri</v>
      </c>
      <c r="C323" s="30" t="str">
        <f aca="false">IF(IFERROR(INDEX(Holidays!$D$5:$D$60,MATCH(A323,Holidays!$A$5:$A$60,0)),"")="Holiday","Holiday",IF(WEEKDAY(A323)&gt;=6,"Weekend",IF(IFERROR(INDEX(Holidays!$D$5:$D$60,MATCH(A323,Holidays!$A$5:$A$60,0)),"")="Eve","Eve","Workday")))</f>
        <v>Weekend</v>
      </c>
      <c r="D323" s="18" t="str">
        <f aca="false">IFERROR(INDEX(Holidays!$C$5:$C$60,MATCH(A323,Holidays!$A$5:$A$60,0)),"")</f>
        <v/>
      </c>
      <c r="E323" s="31"/>
      <c r="F323" s="32"/>
      <c r="G323" s="32"/>
      <c r="H323" s="32"/>
      <c r="I323" s="32"/>
      <c r="J323" s="31"/>
      <c r="K323" s="33" t="str">
        <f aca="false">IF(E323&lt;&gt;"",E323,IF(U323,"Present",IF(C323="Holiday","Holiday","Weekend")))</f>
        <v>Weekend</v>
      </c>
      <c r="L323" s="34" t="str">
        <f aca="false">IF(OR(K323="Present",K323="Manual Work",K323="Partial Vacation",K323="Partial Sick Leave"),IF(ISNUMBER(F323),F323,IF(AND(K323="Present",U323),Settings!$B$6,"")),"")</f>
        <v/>
      </c>
      <c r="M323" s="34" t="str">
        <f aca="false">IF(OR(K323="Present",K323="Manual Work",K323="Partial Vacation",K323="Partial Sick Leave"),IF(ISNUMBER(G323),G323,IF(AND(K323="Present",U323),V323,"")),"")</f>
        <v/>
      </c>
      <c r="N323" s="14" t="n">
        <f aca="false">IF(AND(ISNUMBER(L323),ISNUMBER(M323)),MAX(0,(M323-L323)*24),0)</f>
        <v>0</v>
      </c>
      <c r="O323" s="14" t="n">
        <f aca="false">IF(NOT(U323),0,IF(K323="Vacation",IF(C323="Eve",Settings!$B$9*Settings!$B$11,W323),IF(K323="Partial Vacation",IF(AND(ISNUMBER(H323),ISNUMBER(I323)),MAX(0,(I323-H323)*24),0),0)))</f>
        <v>0</v>
      </c>
      <c r="P323" s="14" t="n">
        <f aca="false">IF(NOT(U323),0,IF(K323="Sick Leave",W323,IF(K323="Partial Sick Leave",IF(AND(ISNUMBER(H323),ISNUMBER(I323)),MAX(0,(I323-H323)*24),0),0)))</f>
        <v>0</v>
      </c>
      <c r="Q323" s="14" t="n">
        <f aca="false">IF(NOT(U323),0,IF(K323="Vacation",IF(C323="Eve",Settings!$B$11,1),IF(K323="Partial Vacation",O323/Settings!$B$9,0)))</f>
        <v>0</v>
      </c>
      <c r="R323" s="14" t="n">
        <f aca="false">IF(NOT(U323),0,IF(K323="Sick Leave",1,IF(K323="Partial Sick Leave",P323/Settings!$B$9,0)))</f>
        <v>0</v>
      </c>
      <c r="S323" s="35" t="str">
        <f aca="false">IF(AND(OR(E323="Vacation",E323="Sick Leave",E323="Partial Vacation",E323="Partial Sick Leave"),NOT(U323)),"Leave not allowed on this day",IF(AND(E323="Manual Work",OR(NOT(ISNUMBER(F323)),NOT(ISNUMBER(G323)))),"Enter start and end",IF(AND(OR(E323="Partial Vacation",E323="Partial Sick Leave"),OR(NOT(ISNUMBER(H323)),NOT(ISNUMBER(I323)))),"Enter leave from and to",IF(AND(ISNUMBER(F323),ISNUMBER(G323),G323&lt;=F323),"End is before start",IF(AND(ISNUMBER(H323),ISNUMBER(I323),I323&lt;=H323),"Leave end is before start",IF(AND(ISNUMBER(F323),ISNUMBER(G323),ISNUMBER(H323),ISNUMBER(I323),F323&lt;I323,H323&lt;G323),"Work and leave hours overlap",IF(AND(E323&lt;&gt;"",WEEKDAY(A323)=7),"Saturday - administrator only","")))))))</f>
        <v/>
      </c>
      <c r="T323" s="36" t="n">
        <f aca="false">MONTH(A323)</f>
        <v>11</v>
      </c>
      <c r="U323" s="37" t="b">
        <f aca="false">OR(C323="Workday",C323="Eve")</f>
        <v>0</v>
      </c>
      <c r="V323" s="34" t="n">
        <f aca="false">IF(C323="Eve",Settings!$B$8,Settings!$B$7)</f>
        <v>0.6875</v>
      </c>
      <c r="W323" s="14" t="n">
        <f aca="false">IF(U323,(V323-Settings!$B$6)*24,0)</f>
        <v>0</v>
      </c>
    </row>
    <row r="324" customFormat="false" ht="15" hidden="false" customHeight="false" outlineLevel="0" collapsed="false">
      <c r="A324" s="29" t="n">
        <v>46340</v>
      </c>
      <c r="B324" s="30" t="str">
        <f aca="false">CHOOSE(WEEKDAY(A324),"Sun","Mon","Tue","Wed","Thu","Fri","Sat")</f>
        <v>Sat</v>
      </c>
      <c r="C324" s="30" t="str">
        <f aca="false">IF(IFERROR(INDEX(Holidays!$D$5:$D$60,MATCH(A324,Holidays!$A$5:$A$60,0)),"")="Holiday","Holiday",IF(WEEKDAY(A324)&gt;=6,"Weekend",IF(IFERROR(INDEX(Holidays!$D$5:$D$60,MATCH(A324,Holidays!$A$5:$A$60,0)),"")="Eve","Eve","Workday")))</f>
        <v>Weekend</v>
      </c>
      <c r="D324" s="18" t="str">
        <f aca="false">IFERROR(INDEX(Holidays!$C$5:$C$60,MATCH(A324,Holidays!$A$5:$A$60,0)),"")</f>
        <v/>
      </c>
      <c r="E324" s="31"/>
      <c r="F324" s="32"/>
      <c r="G324" s="32"/>
      <c r="H324" s="32"/>
      <c r="I324" s="32"/>
      <c r="J324" s="31"/>
      <c r="K324" s="33" t="str">
        <f aca="false">IF(E324&lt;&gt;"",E324,IF(U324,"Present",IF(C324="Holiday","Holiday","Weekend")))</f>
        <v>Weekend</v>
      </c>
      <c r="L324" s="34" t="str">
        <f aca="false">IF(OR(K324="Present",K324="Manual Work",K324="Partial Vacation",K324="Partial Sick Leave"),IF(ISNUMBER(F324),F324,IF(AND(K324="Present",U324),Settings!$B$6,"")),"")</f>
        <v/>
      </c>
      <c r="M324" s="34" t="str">
        <f aca="false">IF(OR(K324="Present",K324="Manual Work",K324="Partial Vacation",K324="Partial Sick Leave"),IF(ISNUMBER(G324),G324,IF(AND(K324="Present",U324),V324,"")),"")</f>
        <v/>
      </c>
      <c r="N324" s="14" t="n">
        <f aca="false">IF(AND(ISNUMBER(L324),ISNUMBER(M324)),MAX(0,(M324-L324)*24),0)</f>
        <v>0</v>
      </c>
      <c r="O324" s="14" t="n">
        <f aca="false">IF(NOT(U324),0,IF(K324="Vacation",IF(C324="Eve",Settings!$B$9*Settings!$B$11,W324),IF(K324="Partial Vacation",IF(AND(ISNUMBER(H324),ISNUMBER(I324)),MAX(0,(I324-H324)*24),0),0)))</f>
        <v>0</v>
      </c>
      <c r="P324" s="14" t="n">
        <f aca="false">IF(NOT(U324),0,IF(K324="Sick Leave",W324,IF(K324="Partial Sick Leave",IF(AND(ISNUMBER(H324),ISNUMBER(I324)),MAX(0,(I324-H324)*24),0),0)))</f>
        <v>0</v>
      </c>
      <c r="Q324" s="14" t="n">
        <f aca="false">IF(NOT(U324),0,IF(K324="Vacation",IF(C324="Eve",Settings!$B$11,1),IF(K324="Partial Vacation",O324/Settings!$B$9,0)))</f>
        <v>0</v>
      </c>
      <c r="R324" s="14" t="n">
        <f aca="false">IF(NOT(U324),0,IF(K324="Sick Leave",1,IF(K324="Partial Sick Leave",P324/Settings!$B$9,0)))</f>
        <v>0</v>
      </c>
      <c r="S324" s="35" t="str">
        <f aca="false">IF(AND(OR(E324="Vacation",E324="Sick Leave",E324="Partial Vacation",E324="Partial Sick Leave"),NOT(U324)),"Leave not allowed on this day",IF(AND(E324="Manual Work",OR(NOT(ISNUMBER(F324)),NOT(ISNUMBER(G324)))),"Enter start and end",IF(AND(OR(E324="Partial Vacation",E324="Partial Sick Leave"),OR(NOT(ISNUMBER(H324)),NOT(ISNUMBER(I324)))),"Enter leave from and to",IF(AND(ISNUMBER(F324),ISNUMBER(G324),G324&lt;=F324),"End is before start",IF(AND(ISNUMBER(H324),ISNUMBER(I324),I324&lt;=H324),"Leave end is before start",IF(AND(ISNUMBER(F324),ISNUMBER(G324),ISNUMBER(H324),ISNUMBER(I324),F324&lt;I324,H324&lt;G324),"Work and leave hours overlap",IF(AND(E324&lt;&gt;"",WEEKDAY(A324)=7),"Saturday - administrator only","")))))))</f>
        <v/>
      </c>
      <c r="T324" s="36" t="n">
        <f aca="false">MONTH(A324)</f>
        <v>11</v>
      </c>
      <c r="U324" s="37" t="b">
        <f aca="false">OR(C324="Workday",C324="Eve")</f>
        <v>0</v>
      </c>
      <c r="V324" s="34" t="n">
        <f aca="false">IF(C324="Eve",Settings!$B$8,Settings!$B$7)</f>
        <v>0.6875</v>
      </c>
      <c r="W324" s="14" t="n">
        <f aca="false">IF(U324,(V324-Settings!$B$6)*24,0)</f>
        <v>0</v>
      </c>
    </row>
    <row r="325" customFormat="false" ht="15" hidden="false" customHeight="false" outlineLevel="0" collapsed="false">
      <c r="A325" s="29" t="n">
        <v>46341</v>
      </c>
      <c r="B325" s="30" t="str">
        <f aca="false">CHOOSE(WEEKDAY(A325),"Sun","Mon","Tue","Wed","Thu","Fri","Sat")</f>
        <v>Sun</v>
      </c>
      <c r="C325" s="30" t="str">
        <f aca="false">IF(IFERROR(INDEX(Holidays!$D$5:$D$60,MATCH(A325,Holidays!$A$5:$A$60,0)),"")="Holiday","Holiday",IF(WEEKDAY(A325)&gt;=6,"Weekend",IF(IFERROR(INDEX(Holidays!$D$5:$D$60,MATCH(A325,Holidays!$A$5:$A$60,0)),"")="Eve","Eve","Workday")))</f>
        <v>Workday</v>
      </c>
      <c r="D325" s="18" t="str">
        <f aca="false">IFERROR(INDEX(Holidays!$C$5:$C$60,MATCH(A325,Holidays!$A$5:$A$60,0)),"")</f>
        <v/>
      </c>
      <c r="E325" s="31"/>
      <c r="F325" s="32"/>
      <c r="G325" s="32"/>
      <c r="H325" s="32"/>
      <c r="I325" s="32"/>
      <c r="J325" s="31"/>
      <c r="K325" s="33" t="str">
        <f aca="false">IF(E325&lt;&gt;"",E325,IF(U325,"Present",IF(C325="Holiday","Holiday","Weekend")))</f>
        <v>Present</v>
      </c>
      <c r="L325" s="34" t="n">
        <f aca="false">IF(OR(K325="Present",K325="Manual Work",K325="Partial Vacation",K325="Partial Sick Leave"),IF(ISNUMBER(F325),F325,IF(AND(K325="Present",U325),Settings!$B$6,"")),"")</f>
        <v>0.333333333333333</v>
      </c>
      <c r="M325" s="34" t="n">
        <f aca="false">IF(OR(K325="Present",K325="Manual Work",K325="Partial Vacation",K325="Partial Sick Leave"),IF(ISNUMBER(G325),G325,IF(AND(K325="Present",U325),V325,"")),"")</f>
        <v>0.6875</v>
      </c>
      <c r="N325" s="14" t="n">
        <f aca="false">IF(AND(ISNUMBER(L325),ISNUMBER(M325)),MAX(0,(M325-L325)*24),0)</f>
        <v>8.5</v>
      </c>
      <c r="O325" s="14" t="n">
        <f aca="false">IF(NOT(U325),0,IF(K325="Vacation",IF(C325="Eve",Settings!$B$9*Settings!$B$11,W325),IF(K325="Partial Vacation",IF(AND(ISNUMBER(H325),ISNUMBER(I325)),MAX(0,(I325-H325)*24),0),0)))</f>
        <v>0</v>
      </c>
      <c r="P325" s="14" t="n">
        <f aca="false">IF(NOT(U325),0,IF(K325="Sick Leave",W325,IF(K325="Partial Sick Leave",IF(AND(ISNUMBER(H325),ISNUMBER(I325)),MAX(0,(I325-H325)*24),0),0)))</f>
        <v>0</v>
      </c>
      <c r="Q325" s="14" t="n">
        <f aca="false">IF(NOT(U325),0,IF(K325="Vacation",IF(C325="Eve",Settings!$B$11,1),IF(K325="Partial Vacation",O325/Settings!$B$9,0)))</f>
        <v>0</v>
      </c>
      <c r="R325" s="14" t="n">
        <f aca="false">IF(NOT(U325),0,IF(K325="Sick Leave",1,IF(K325="Partial Sick Leave",P325/Settings!$B$9,0)))</f>
        <v>0</v>
      </c>
      <c r="S325" s="35" t="str">
        <f aca="false">IF(AND(OR(E325="Vacation",E325="Sick Leave",E325="Partial Vacation",E325="Partial Sick Leave"),NOT(U325)),"Leave not allowed on this day",IF(AND(E325="Manual Work",OR(NOT(ISNUMBER(F325)),NOT(ISNUMBER(G325)))),"Enter start and end",IF(AND(OR(E325="Partial Vacation",E325="Partial Sick Leave"),OR(NOT(ISNUMBER(H325)),NOT(ISNUMBER(I325)))),"Enter leave from and to",IF(AND(ISNUMBER(F325),ISNUMBER(G325),G325&lt;=F325),"End is before start",IF(AND(ISNUMBER(H325),ISNUMBER(I325),I325&lt;=H325),"Leave end is before start",IF(AND(ISNUMBER(F325),ISNUMBER(G325),ISNUMBER(H325),ISNUMBER(I325),F325&lt;I325,H325&lt;G325),"Work and leave hours overlap",IF(AND(E325&lt;&gt;"",WEEKDAY(A325)=7),"Saturday - administrator only","")))))))</f>
        <v/>
      </c>
      <c r="T325" s="36" t="n">
        <f aca="false">MONTH(A325)</f>
        <v>11</v>
      </c>
      <c r="U325" s="37" t="b">
        <f aca="false">OR(C325="Workday",C325="Eve")</f>
        <v>1</v>
      </c>
      <c r="V325" s="34" t="n">
        <f aca="false">IF(C325="Eve",Settings!$B$8,Settings!$B$7)</f>
        <v>0.6875</v>
      </c>
      <c r="W325" s="14" t="n">
        <f aca="false">IF(U325,(V325-Settings!$B$6)*24,0)</f>
        <v>8.5</v>
      </c>
    </row>
    <row r="326" customFormat="false" ht="15" hidden="false" customHeight="false" outlineLevel="0" collapsed="false">
      <c r="A326" s="29" t="n">
        <v>46342</v>
      </c>
      <c r="B326" s="30" t="str">
        <f aca="false">CHOOSE(WEEKDAY(A326),"Sun","Mon","Tue","Wed","Thu","Fri","Sat")</f>
        <v>Mon</v>
      </c>
      <c r="C326" s="30" t="str">
        <f aca="false">IF(IFERROR(INDEX(Holidays!$D$5:$D$60,MATCH(A326,Holidays!$A$5:$A$60,0)),"")="Holiday","Holiday",IF(WEEKDAY(A326)&gt;=6,"Weekend",IF(IFERROR(INDEX(Holidays!$D$5:$D$60,MATCH(A326,Holidays!$A$5:$A$60,0)),"")="Eve","Eve","Workday")))</f>
        <v>Workday</v>
      </c>
      <c r="D326" s="18" t="str">
        <f aca="false">IFERROR(INDEX(Holidays!$C$5:$C$60,MATCH(A326,Holidays!$A$5:$A$60,0)),"")</f>
        <v/>
      </c>
      <c r="E326" s="31"/>
      <c r="F326" s="32"/>
      <c r="G326" s="32"/>
      <c r="H326" s="32"/>
      <c r="I326" s="32"/>
      <c r="J326" s="31"/>
      <c r="K326" s="33" t="str">
        <f aca="false">IF(E326&lt;&gt;"",E326,IF(U326,"Present",IF(C326="Holiday","Holiday","Weekend")))</f>
        <v>Present</v>
      </c>
      <c r="L326" s="34" t="n">
        <f aca="false">IF(OR(K326="Present",K326="Manual Work",K326="Partial Vacation",K326="Partial Sick Leave"),IF(ISNUMBER(F326),F326,IF(AND(K326="Present",U326),Settings!$B$6,"")),"")</f>
        <v>0.333333333333333</v>
      </c>
      <c r="M326" s="34" t="n">
        <f aca="false">IF(OR(K326="Present",K326="Manual Work",K326="Partial Vacation",K326="Partial Sick Leave"),IF(ISNUMBER(G326),G326,IF(AND(K326="Present",U326),V326,"")),"")</f>
        <v>0.6875</v>
      </c>
      <c r="N326" s="14" t="n">
        <f aca="false">IF(AND(ISNUMBER(L326),ISNUMBER(M326)),MAX(0,(M326-L326)*24),0)</f>
        <v>8.5</v>
      </c>
      <c r="O326" s="14" t="n">
        <f aca="false">IF(NOT(U326),0,IF(K326="Vacation",IF(C326="Eve",Settings!$B$9*Settings!$B$11,W326),IF(K326="Partial Vacation",IF(AND(ISNUMBER(H326),ISNUMBER(I326)),MAX(0,(I326-H326)*24),0),0)))</f>
        <v>0</v>
      </c>
      <c r="P326" s="14" t="n">
        <f aca="false">IF(NOT(U326),0,IF(K326="Sick Leave",W326,IF(K326="Partial Sick Leave",IF(AND(ISNUMBER(H326),ISNUMBER(I326)),MAX(0,(I326-H326)*24),0),0)))</f>
        <v>0</v>
      </c>
      <c r="Q326" s="14" t="n">
        <f aca="false">IF(NOT(U326),0,IF(K326="Vacation",IF(C326="Eve",Settings!$B$11,1),IF(K326="Partial Vacation",O326/Settings!$B$9,0)))</f>
        <v>0</v>
      </c>
      <c r="R326" s="14" t="n">
        <f aca="false">IF(NOT(U326),0,IF(K326="Sick Leave",1,IF(K326="Partial Sick Leave",P326/Settings!$B$9,0)))</f>
        <v>0</v>
      </c>
      <c r="S326" s="35" t="str">
        <f aca="false">IF(AND(OR(E326="Vacation",E326="Sick Leave",E326="Partial Vacation",E326="Partial Sick Leave"),NOT(U326)),"Leave not allowed on this day",IF(AND(E326="Manual Work",OR(NOT(ISNUMBER(F326)),NOT(ISNUMBER(G326)))),"Enter start and end",IF(AND(OR(E326="Partial Vacation",E326="Partial Sick Leave"),OR(NOT(ISNUMBER(H326)),NOT(ISNUMBER(I326)))),"Enter leave from and to",IF(AND(ISNUMBER(F326),ISNUMBER(G326),G326&lt;=F326),"End is before start",IF(AND(ISNUMBER(H326),ISNUMBER(I326),I326&lt;=H326),"Leave end is before start",IF(AND(ISNUMBER(F326),ISNUMBER(G326),ISNUMBER(H326),ISNUMBER(I326),F326&lt;I326,H326&lt;G326),"Work and leave hours overlap",IF(AND(E326&lt;&gt;"",WEEKDAY(A326)=7),"Saturday - administrator only","")))))))</f>
        <v/>
      </c>
      <c r="T326" s="36" t="n">
        <f aca="false">MONTH(A326)</f>
        <v>11</v>
      </c>
      <c r="U326" s="37" t="b">
        <f aca="false">OR(C326="Workday",C326="Eve")</f>
        <v>1</v>
      </c>
      <c r="V326" s="34" t="n">
        <f aca="false">IF(C326="Eve",Settings!$B$8,Settings!$B$7)</f>
        <v>0.6875</v>
      </c>
      <c r="W326" s="14" t="n">
        <f aca="false">IF(U326,(V326-Settings!$B$6)*24,0)</f>
        <v>8.5</v>
      </c>
    </row>
    <row r="327" customFormat="false" ht="15" hidden="false" customHeight="false" outlineLevel="0" collapsed="false">
      <c r="A327" s="29" t="n">
        <v>46343</v>
      </c>
      <c r="B327" s="30" t="str">
        <f aca="false">CHOOSE(WEEKDAY(A327),"Sun","Mon","Tue","Wed","Thu","Fri","Sat")</f>
        <v>Tue</v>
      </c>
      <c r="C327" s="30" t="str">
        <f aca="false">IF(IFERROR(INDEX(Holidays!$D$5:$D$60,MATCH(A327,Holidays!$A$5:$A$60,0)),"")="Holiday","Holiday",IF(WEEKDAY(A327)&gt;=6,"Weekend",IF(IFERROR(INDEX(Holidays!$D$5:$D$60,MATCH(A327,Holidays!$A$5:$A$60,0)),"")="Eve","Eve","Workday")))</f>
        <v>Workday</v>
      </c>
      <c r="D327" s="18" t="str">
        <f aca="false">IFERROR(INDEX(Holidays!$C$5:$C$60,MATCH(A327,Holidays!$A$5:$A$60,0)),"")</f>
        <v/>
      </c>
      <c r="E327" s="31"/>
      <c r="F327" s="32"/>
      <c r="G327" s="32"/>
      <c r="H327" s="32"/>
      <c r="I327" s="32"/>
      <c r="J327" s="31"/>
      <c r="K327" s="33" t="str">
        <f aca="false">IF(E327&lt;&gt;"",E327,IF(U327,"Present",IF(C327="Holiday","Holiday","Weekend")))</f>
        <v>Present</v>
      </c>
      <c r="L327" s="34" t="n">
        <f aca="false">IF(OR(K327="Present",K327="Manual Work",K327="Partial Vacation",K327="Partial Sick Leave"),IF(ISNUMBER(F327),F327,IF(AND(K327="Present",U327),Settings!$B$6,"")),"")</f>
        <v>0.333333333333333</v>
      </c>
      <c r="M327" s="34" t="n">
        <f aca="false">IF(OR(K327="Present",K327="Manual Work",K327="Partial Vacation",K327="Partial Sick Leave"),IF(ISNUMBER(G327),G327,IF(AND(K327="Present",U327),V327,"")),"")</f>
        <v>0.6875</v>
      </c>
      <c r="N327" s="14" t="n">
        <f aca="false">IF(AND(ISNUMBER(L327),ISNUMBER(M327)),MAX(0,(M327-L327)*24),0)</f>
        <v>8.5</v>
      </c>
      <c r="O327" s="14" t="n">
        <f aca="false">IF(NOT(U327),0,IF(K327="Vacation",IF(C327="Eve",Settings!$B$9*Settings!$B$11,W327),IF(K327="Partial Vacation",IF(AND(ISNUMBER(H327),ISNUMBER(I327)),MAX(0,(I327-H327)*24),0),0)))</f>
        <v>0</v>
      </c>
      <c r="P327" s="14" t="n">
        <f aca="false">IF(NOT(U327),0,IF(K327="Sick Leave",W327,IF(K327="Partial Sick Leave",IF(AND(ISNUMBER(H327),ISNUMBER(I327)),MAX(0,(I327-H327)*24),0),0)))</f>
        <v>0</v>
      </c>
      <c r="Q327" s="14" t="n">
        <f aca="false">IF(NOT(U327),0,IF(K327="Vacation",IF(C327="Eve",Settings!$B$11,1),IF(K327="Partial Vacation",O327/Settings!$B$9,0)))</f>
        <v>0</v>
      </c>
      <c r="R327" s="14" t="n">
        <f aca="false">IF(NOT(U327),0,IF(K327="Sick Leave",1,IF(K327="Partial Sick Leave",P327/Settings!$B$9,0)))</f>
        <v>0</v>
      </c>
      <c r="S327" s="35" t="str">
        <f aca="false">IF(AND(OR(E327="Vacation",E327="Sick Leave",E327="Partial Vacation",E327="Partial Sick Leave"),NOT(U327)),"Leave not allowed on this day",IF(AND(E327="Manual Work",OR(NOT(ISNUMBER(F327)),NOT(ISNUMBER(G327)))),"Enter start and end",IF(AND(OR(E327="Partial Vacation",E327="Partial Sick Leave"),OR(NOT(ISNUMBER(H327)),NOT(ISNUMBER(I327)))),"Enter leave from and to",IF(AND(ISNUMBER(F327),ISNUMBER(G327),G327&lt;=F327),"End is before start",IF(AND(ISNUMBER(H327),ISNUMBER(I327),I327&lt;=H327),"Leave end is before start",IF(AND(ISNUMBER(F327),ISNUMBER(G327),ISNUMBER(H327),ISNUMBER(I327),F327&lt;I327,H327&lt;G327),"Work and leave hours overlap",IF(AND(E327&lt;&gt;"",WEEKDAY(A327)=7),"Saturday - administrator only","")))))))</f>
        <v/>
      </c>
      <c r="T327" s="36" t="n">
        <f aca="false">MONTH(A327)</f>
        <v>11</v>
      </c>
      <c r="U327" s="37" t="b">
        <f aca="false">OR(C327="Workday",C327="Eve")</f>
        <v>1</v>
      </c>
      <c r="V327" s="34" t="n">
        <f aca="false">IF(C327="Eve",Settings!$B$8,Settings!$B$7)</f>
        <v>0.6875</v>
      </c>
      <c r="W327" s="14" t="n">
        <f aca="false">IF(U327,(V327-Settings!$B$6)*24,0)</f>
        <v>8.5</v>
      </c>
    </row>
    <row r="328" customFormat="false" ht="15" hidden="false" customHeight="false" outlineLevel="0" collapsed="false">
      <c r="A328" s="29" t="n">
        <v>46344</v>
      </c>
      <c r="B328" s="30" t="str">
        <f aca="false">CHOOSE(WEEKDAY(A328),"Sun","Mon","Tue","Wed","Thu","Fri","Sat")</f>
        <v>Wed</v>
      </c>
      <c r="C328" s="30" t="str">
        <f aca="false">IF(IFERROR(INDEX(Holidays!$D$5:$D$60,MATCH(A328,Holidays!$A$5:$A$60,0)),"")="Holiday","Holiday",IF(WEEKDAY(A328)&gt;=6,"Weekend",IF(IFERROR(INDEX(Holidays!$D$5:$D$60,MATCH(A328,Holidays!$A$5:$A$60,0)),"")="Eve","Eve","Workday")))</f>
        <v>Workday</v>
      </c>
      <c r="D328" s="18" t="str">
        <f aca="false">IFERROR(INDEX(Holidays!$C$5:$C$60,MATCH(A328,Holidays!$A$5:$A$60,0)),"")</f>
        <v/>
      </c>
      <c r="E328" s="31"/>
      <c r="F328" s="32"/>
      <c r="G328" s="32"/>
      <c r="H328" s="32"/>
      <c r="I328" s="32"/>
      <c r="J328" s="31"/>
      <c r="K328" s="33" t="str">
        <f aca="false">IF(E328&lt;&gt;"",E328,IF(U328,"Present",IF(C328="Holiday","Holiday","Weekend")))</f>
        <v>Present</v>
      </c>
      <c r="L328" s="34" t="n">
        <f aca="false">IF(OR(K328="Present",K328="Manual Work",K328="Partial Vacation",K328="Partial Sick Leave"),IF(ISNUMBER(F328),F328,IF(AND(K328="Present",U328),Settings!$B$6,"")),"")</f>
        <v>0.333333333333333</v>
      </c>
      <c r="M328" s="34" t="n">
        <f aca="false">IF(OR(K328="Present",K328="Manual Work",K328="Partial Vacation",K328="Partial Sick Leave"),IF(ISNUMBER(G328),G328,IF(AND(K328="Present",U328),V328,"")),"")</f>
        <v>0.6875</v>
      </c>
      <c r="N328" s="14" t="n">
        <f aca="false">IF(AND(ISNUMBER(L328),ISNUMBER(M328)),MAX(0,(M328-L328)*24),0)</f>
        <v>8.5</v>
      </c>
      <c r="O328" s="14" t="n">
        <f aca="false">IF(NOT(U328),0,IF(K328="Vacation",IF(C328="Eve",Settings!$B$9*Settings!$B$11,W328),IF(K328="Partial Vacation",IF(AND(ISNUMBER(H328),ISNUMBER(I328)),MAX(0,(I328-H328)*24),0),0)))</f>
        <v>0</v>
      </c>
      <c r="P328" s="14" t="n">
        <f aca="false">IF(NOT(U328),0,IF(K328="Sick Leave",W328,IF(K328="Partial Sick Leave",IF(AND(ISNUMBER(H328),ISNUMBER(I328)),MAX(0,(I328-H328)*24),0),0)))</f>
        <v>0</v>
      </c>
      <c r="Q328" s="14" t="n">
        <f aca="false">IF(NOT(U328),0,IF(K328="Vacation",IF(C328="Eve",Settings!$B$11,1),IF(K328="Partial Vacation",O328/Settings!$B$9,0)))</f>
        <v>0</v>
      </c>
      <c r="R328" s="14" t="n">
        <f aca="false">IF(NOT(U328),0,IF(K328="Sick Leave",1,IF(K328="Partial Sick Leave",P328/Settings!$B$9,0)))</f>
        <v>0</v>
      </c>
      <c r="S328" s="35" t="str">
        <f aca="false">IF(AND(OR(E328="Vacation",E328="Sick Leave",E328="Partial Vacation",E328="Partial Sick Leave"),NOT(U328)),"Leave not allowed on this day",IF(AND(E328="Manual Work",OR(NOT(ISNUMBER(F328)),NOT(ISNUMBER(G328)))),"Enter start and end",IF(AND(OR(E328="Partial Vacation",E328="Partial Sick Leave"),OR(NOT(ISNUMBER(H328)),NOT(ISNUMBER(I328)))),"Enter leave from and to",IF(AND(ISNUMBER(F328),ISNUMBER(G328),G328&lt;=F328),"End is before start",IF(AND(ISNUMBER(H328),ISNUMBER(I328),I328&lt;=H328),"Leave end is before start",IF(AND(ISNUMBER(F328),ISNUMBER(G328),ISNUMBER(H328),ISNUMBER(I328),F328&lt;I328,H328&lt;G328),"Work and leave hours overlap",IF(AND(E328&lt;&gt;"",WEEKDAY(A328)=7),"Saturday - administrator only","")))))))</f>
        <v/>
      </c>
      <c r="T328" s="36" t="n">
        <f aca="false">MONTH(A328)</f>
        <v>11</v>
      </c>
      <c r="U328" s="37" t="b">
        <f aca="false">OR(C328="Workday",C328="Eve")</f>
        <v>1</v>
      </c>
      <c r="V328" s="34" t="n">
        <f aca="false">IF(C328="Eve",Settings!$B$8,Settings!$B$7)</f>
        <v>0.6875</v>
      </c>
      <c r="W328" s="14" t="n">
        <f aca="false">IF(U328,(V328-Settings!$B$6)*24,0)</f>
        <v>8.5</v>
      </c>
    </row>
    <row r="329" customFormat="false" ht="15" hidden="false" customHeight="false" outlineLevel="0" collapsed="false">
      <c r="A329" s="29" t="n">
        <v>46345</v>
      </c>
      <c r="B329" s="30" t="str">
        <f aca="false">CHOOSE(WEEKDAY(A329),"Sun","Mon","Tue","Wed","Thu","Fri","Sat")</f>
        <v>Thu</v>
      </c>
      <c r="C329" s="30" t="str">
        <f aca="false">IF(IFERROR(INDEX(Holidays!$D$5:$D$60,MATCH(A329,Holidays!$A$5:$A$60,0)),"")="Holiday","Holiday",IF(WEEKDAY(A329)&gt;=6,"Weekend",IF(IFERROR(INDEX(Holidays!$D$5:$D$60,MATCH(A329,Holidays!$A$5:$A$60,0)),"")="Eve","Eve","Workday")))</f>
        <v>Workday</v>
      </c>
      <c r="D329" s="18" t="str">
        <f aca="false">IFERROR(INDEX(Holidays!$C$5:$C$60,MATCH(A329,Holidays!$A$5:$A$60,0)),"")</f>
        <v/>
      </c>
      <c r="E329" s="31"/>
      <c r="F329" s="32"/>
      <c r="G329" s="32"/>
      <c r="H329" s="32"/>
      <c r="I329" s="32"/>
      <c r="J329" s="31"/>
      <c r="K329" s="33" t="str">
        <f aca="false">IF(E329&lt;&gt;"",E329,IF(U329,"Present",IF(C329="Holiday","Holiday","Weekend")))</f>
        <v>Present</v>
      </c>
      <c r="L329" s="34" t="n">
        <f aca="false">IF(OR(K329="Present",K329="Manual Work",K329="Partial Vacation",K329="Partial Sick Leave"),IF(ISNUMBER(F329),F329,IF(AND(K329="Present",U329),Settings!$B$6,"")),"")</f>
        <v>0.333333333333333</v>
      </c>
      <c r="M329" s="34" t="n">
        <f aca="false">IF(OR(K329="Present",K329="Manual Work",K329="Partial Vacation",K329="Partial Sick Leave"),IF(ISNUMBER(G329),G329,IF(AND(K329="Present",U329),V329,"")),"")</f>
        <v>0.6875</v>
      </c>
      <c r="N329" s="14" t="n">
        <f aca="false">IF(AND(ISNUMBER(L329),ISNUMBER(M329)),MAX(0,(M329-L329)*24),0)</f>
        <v>8.5</v>
      </c>
      <c r="O329" s="14" t="n">
        <f aca="false">IF(NOT(U329),0,IF(K329="Vacation",IF(C329="Eve",Settings!$B$9*Settings!$B$11,W329),IF(K329="Partial Vacation",IF(AND(ISNUMBER(H329),ISNUMBER(I329)),MAX(0,(I329-H329)*24),0),0)))</f>
        <v>0</v>
      </c>
      <c r="P329" s="14" t="n">
        <f aca="false">IF(NOT(U329),0,IF(K329="Sick Leave",W329,IF(K329="Partial Sick Leave",IF(AND(ISNUMBER(H329),ISNUMBER(I329)),MAX(0,(I329-H329)*24),0),0)))</f>
        <v>0</v>
      </c>
      <c r="Q329" s="14" t="n">
        <f aca="false">IF(NOT(U329),0,IF(K329="Vacation",IF(C329="Eve",Settings!$B$11,1),IF(K329="Partial Vacation",O329/Settings!$B$9,0)))</f>
        <v>0</v>
      </c>
      <c r="R329" s="14" t="n">
        <f aca="false">IF(NOT(U329),0,IF(K329="Sick Leave",1,IF(K329="Partial Sick Leave",P329/Settings!$B$9,0)))</f>
        <v>0</v>
      </c>
      <c r="S329" s="35" t="str">
        <f aca="false">IF(AND(OR(E329="Vacation",E329="Sick Leave",E329="Partial Vacation",E329="Partial Sick Leave"),NOT(U329)),"Leave not allowed on this day",IF(AND(E329="Manual Work",OR(NOT(ISNUMBER(F329)),NOT(ISNUMBER(G329)))),"Enter start and end",IF(AND(OR(E329="Partial Vacation",E329="Partial Sick Leave"),OR(NOT(ISNUMBER(H329)),NOT(ISNUMBER(I329)))),"Enter leave from and to",IF(AND(ISNUMBER(F329),ISNUMBER(G329),G329&lt;=F329),"End is before start",IF(AND(ISNUMBER(H329),ISNUMBER(I329),I329&lt;=H329),"Leave end is before start",IF(AND(ISNUMBER(F329),ISNUMBER(G329),ISNUMBER(H329),ISNUMBER(I329),F329&lt;I329,H329&lt;G329),"Work and leave hours overlap",IF(AND(E329&lt;&gt;"",WEEKDAY(A329)=7),"Saturday - administrator only","")))))))</f>
        <v/>
      </c>
      <c r="T329" s="36" t="n">
        <f aca="false">MONTH(A329)</f>
        <v>11</v>
      </c>
      <c r="U329" s="37" t="b">
        <f aca="false">OR(C329="Workday",C329="Eve")</f>
        <v>1</v>
      </c>
      <c r="V329" s="34" t="n">
        <f aca="false">IF(C329="Eve",Settings!$B$8,Settings!$B$7)</f>
        <v>0.6875</v>
      </c>
      <c r="W329" s="14" t="n">
        <f aca="false">IF(U329,(V329-Settings!$B$6)*24,0)</f>
        <v>8.5</v>
      </c>
    </row>
    <row r="330" customFormat="false" ht="15" hidden="false" customHeight="false" outlineLevel="0" collapsed="false">
      <c r="A330" s="29" t="n">
        <v>46346</v>
      </c>
      <c r="B330" s="30" t="str">
        <f aca="false">CHOOSE(WEEKDAY(A330),"Sun","Mon","Tue","Wed","Thu","Fri","Sat")</f>
        <v>Fri</v>
      </c>
      <c r="C330" s="30" t="str">
        <f aca="false">IF(IFERROR(INDEX(Holidays!$D$5:$D$60,MATCH(A330,Holidays!$A$5:$A$60,0)),"")="Holiday","Holiday",IF(WEEKDAY(A330)&gt;=6,"Weekend",IF(IFERROR(INDEX(Holidays!$D$5:$D$60,MATCH(A330,Holidays!$A$5:$A$60,0)),"")="Eve","Eve","Workday")))</f>
        <v>Weekend</v>
      </c>
      <c r="D330" s="18" t="str">
        <f aca="false">IFERROR(INDEX(Holidays!$C$5:$C$60,MATCH(A330,Holidays!$A$5:$A$60,0)),"")</f>
        <v/>
      </c>
      <c r="E330" s="31"/>
      <c r="F330" s="32"/>
      <c r="G330" s="32"/>
      <c r="H330" s="32"/>
      <c r="I330" s="32"/>
      <c r="J330" s="31"/>
      <c r="K330" s="33" t="str">
        <f aca="false">IF(E330&lt;&gt;"",E330,IF(U330,"Present",IF(C330="Holiday","Holiday","Weekend")))</f>
        <v>Weekend</v>
      </c>
      <c r="L330" s="34" t="str">
        <f aca="false">IF(OR(K330="Present",K330="Manual Work",K330="Partial Vacation",K330="Partial Sick Leave"),IF(ISNUMBER(F330),F330,IF(AND(K330="Present",U330),Settings!$B$6,"")),"")</f>
        <v/>
      </c>
      <c r="M330" s="34" t="str">
        <f aca="false">IF(OR(K330="Present",K330="Manual Work",K330="Partial Vacation",K330="Partial Sick Leave"),IF(ISNUMBER(G330),G330,IF(AND(K330="Present",U330),V330,"")),"")</f>
        <v/>
      </c>
      <c r="N330" s="14" t="n">
        <f aca="false">IF(AND(ISNUMBER(L330),ISNUMBER(M330)),MAX(0,(M330-L330)*24),0)</f>
        <v>0</v>
      </c>
      <c r="O330" s="14" t="n">
        <f aca="false">IF(NOT(U330),0,IF(K330="Vacation",IF(C330="Eve",Settings!$B$9*Settings!$B$11,W330),IF(K330="Partial Vacation",IF(AND(ISNUMBER(H330),ISNUMBER(I330)),MAX(0,(I330-H330)*24),0),0)))</f>
        <v>0</v>
      </c>
      <c r="P330" s="14" t="n">
        <f aca="false">IF(NOT(U330),0,IF(K330="Sick Leave",W330,IF(K330="Partial Sick Leave",IF(AND(ISNUMBER(H330),ISNUMBER(I330)),MAX(0,(I330-H330)*24),0),0)))</f>
        <v>0</v>
      </c>
      <c r="Q330" s="14" t="n">
        <f aca="false">IF(NOT(U330),0,IF(K330="Vacation",IF(C330="Eve",Settings!$B$11,1),IF(K330="Partial Vacation",O330/Settings!$B$9,0)))</f>
        <v>0</v>
      </c>
      <c r="R330" s="14" t="n">
        <f aca="false">IF(NOT(U330),0,IF(K330="Sick Leave",1,IF(K330="Partial Sick Leave",P330/Settings!$B$9,0)))</f>
        <v>0</v>
      </c>
      <c r="S330" s="35" t="str">
        <f aca="false">IF(AND(OR(E330="Vacation",E330="Sick Leave",E330="Partial Vacation",E330="Partial Sick Leave"),NOT(U330)),"Leave not allowed on this day",IF(AND(E330="Manual Work",OR(NOT(ISNUMBER(F330)),NOT(ISNUMBER(G330)))),"Enter start and end",IF(AND(OR(E330="Partial Vacation",E330="Partial Sick Leave"),OR(NOT(ISNUMBER(H330)),NOT(ISNUMBER(I330)))),"Enter leave from and to",IF(AND(ISNUMBER(F330),ISNUMBER(G330),G330&lt;=F330),"End is before start",IF(AND(ISNUMBER(H330),ISNUMBER(I330),I330&lt;=H330),"Leave end is before start",IF(AND(ISNUMBER(F330),ISNUMBER(G330),ISNUMBER(H330),ISNUMBER(I330),F330&lt;I330,H330&lt;G330),"Work and leave hours overlap",IF(AND(E330&lt;&gt;"",WEEKDAY(A330)=7),"Saturday - administrator only","")))))))</f>
        <v/>
      </c>
      <c r="T330" s="36" t="n">
        <f aca="false">MONTH(A330)</f>
        <v>11</v>
      </c>
      <c r="U330" s="37" t="b">
        <f aca="false">OR(C330="Workday",C330="Eve")</f>
        <v>0</v>
      </c>
      <c r="V330" s="34" t="n">
        <f aca="false">IF(C330="Eve",Settings!$B$8,Settings!$B$7)</f>
        <v>0.6875</v>
      </c>
      <c r="W330" s="14" t="n">
        <f aca="false">IF(U330,(V330-Settings!$B$6)*24,0)</f>
        <v>0</v>
      </c>
    </row>
    <row r="331" customFormat="false" ht="15" hidden="false" customHeight="false" outlineLevel="0" collapsed="false">
      <c r="A331" s="29" t="n">
        <v>46347</v>
      </c>
      <c r="B331" s="30" t="str">
        <f aca="false">CHOOSE(WEEKDAY(A331),"Sun","Mon","Tue","Wed","Thu","Fri","Sat")</f>
        <v>Sat</v>
      </c>
      <c r="C331" s="30" t="str">
        <f aca="false">IF(IFERROR(INDEX(Holidays!$D$5:$D$60,MATCH(A331,Holidays!$A$5:$A$60,0)),"")="Holiday","Holiday",IF(WEEKDAY(A331)&gt;=6,"Weekend",IF(IFERROR(INDEX(Holidays!$D$5:$D$60,MATCH(A331,Holidays!$A$5:$A$60,0)),"")="Eve","Eve","Workday")))</f>
        <v>Weekend</v>
      </c>
      <c r="D331" s="18" t="str">
        <f aca="false">IFERROR(INDEX(Holidays!$C$5:$C$60,MATCH(A331,Holidays!$A$5:$A$60,0)),"")</f>
        <v/>
      </c>
      <c r="E331" s="31"/>
      <c r="F331" s="32"/>
      <c r="G331" s="32"/>
      <c r="H331" s="32"/>
      <c r="I331" s="32"/>
      <c r="J331" s="31"/>
      <c r="K331" s="33" t="str">
        <f aca="false">IF(E331&lt;&gt;"",E331,IF(U331,"Present",IF(C331="Holiday","Holiday","Weekend")))</f>
        <v>Weekend</v>
      </c>
      <c r="L331" s="34" t="str">
        <f aca="false">IF(OR(K331="Present",K331="Manual Work",K331="Partial Vacation",K331="Partial Sick Leave"),IF(ISNUMBER(F331),F331,IF(AND(K331="Present",U331),Settings!$B$6,"")),"")</f>
        <v/>
      </c>
      <c r="M331" s="34" t="str">
        <f aca="false">IF(OR(K331="Present",K331="Manual Work",K331="Partial Vacation",K331="Partial Sick Leave"),IF(ISNUMBER(G331),G331,IF(AND(K331="Present",U331),V331,"")),"")</f>
        <v/>
      </c>
      <c r="N331" s="14" t="n">
        <f aca="false">IF(AND(ISNUMBER(L331),ISNUMBER(M331)),MAX(0,(M331-L331)*24),0)</f>
        <v>0</v>
      </c>
      <c r="O331" s="14" t="n">
        <f aca="false">IF(NOT(U331),0,IF(K331="Vacation",IF(C331="Eve",Settings!$B$9*Settings!$B$11,W331),IF(K331="Partial Vacation",IF(AND(ISNUMBER(H331),ISNUMBER(I331)),MAX(0,(I331-H331)*24),0),0)))</f>
        <v>0</v>
      </c>
      <c r="P331" s="14" t="n">
        <f aca="false">IF(NOT(U331),0,IF(K331="Sick Leave",W331,IF(K331="Partial Sick Leave",IF(AND(ISNUMBER(H331),ISNUMBER(I331)),MAX(0,(I331-H331)*24),0),0)))</f>
        <v>0</v>
      </c>
      <c r="Q331" s="14" t="n">
        <f aca="false">IF(NOT(U331),0,IF(K331="Vacation",IF(C331="Eve",Settings!$B$11,1),IF(K331="Partial Vacation",O331/Settings!$B$9,0)))</f>
        <v>0</v>
      </c>
      <c r="R331" s="14" t="n">
        <f aca="false">IF(NOT(U331),0,IF(K331="Sick Leave",1,IF(K331="Partial Sick Leave",P331/Settings!$B$9,0)))</f>
        <v>0</v>
      </c>
      <c r="S331" s="35" t="str">
        <f aca="false">IF(AND(OR(E331="Vacation",E331="Sick Leave",E331="Partial Vacation",E331="Partial Sick Leave"),NOT(U331)),"Leave not allowed on this day",IF(AND(E331="Manual Work",OR(NOT(ISNUMBER(F331)),NOT(ISNUMBER(G331)))),"Enter start and end",IF(AND(OR(E331="Partial Vacation",E331="Partial Sick Leave"),OR(NOT(ISNUMBER(H331)),NOT(ISNUMBER(I331)))),"Enter leave from and to",IF(AND(ISNUMBER(F331),ISNUMBER(G331),G331&lt;=F331),"End is before start",IF(AND(ISNUMBER(H331),ISNUMBER(I331),I331&lt;=H331),"Leave end is before start",IF(AND(ISNUMBER(F331),ISNUMBER(G331),ISNUMBER(H331),ISNUMBER(I331),F331&lt;I331,H331&lt;G331),"Work and leave hours overlap",IF(AND(E331&lt;&gt;"",WEEKDAY(A331)=7),"Saturday - administrator only","")))))))</f>
        <v/>
      </c>
      <c r="T331" s="36" t="n">
        <f aca="false">MONTH(A331)</f>
        <v>11</v>
      </c>
      <c r="U331" s="37" t="b">
        <f aca="false">OR(C331="Workday",C331="Eve")</f>
        <v>0</v>
      </c>
      <c r="V331" s="34" t="n">
        <f aca="false">IF(C331="Eve",Settings!$B$8,Settings!$B$7)</f>
        <v>0.6875</v>
      </c>
      <c r="W331" s="14" t="n">
        <f aca="false">IF(U331,(V331-Settings!$B$6)*24,0)</f>
        <v>0</v>
      </c>
    </row>
    <row r="332" customFormat="false" ht="15" hidden="false" customHeight="false" outlineLevel="0" collapsed="false">
      <c r="A332" s="29" t="n">
        <v>46348</v>
      </c>
      <c r="B332" s="30" t="str">
        <f aca="false">CHOOSE(WEEKDAY(A332),"Sun","Mon","Tue","Wed","Thu","Fri","Sat")</f>
        <v>Sun</v>
      </c>
      <c r="C332" s="30" t="str">
        <f aca="false">IF(IFERROR(INDEX(Holidays!$D$5:$D$60,MATCH(A332,Holidays!$A$5:$A$60,0)),"")="Holiday","Holiday",IF(WEEKDAY(A332)&gt;=6,"Weekend",IF(IFERROR(INDEX(Holidays!$D$5:$D$60,MATCH(A332,Holidays!$A$5:$A$60,0)),"")="Eve","Eve","Workday")))</f>
        <v>Workday</v>
      </c>
      <c r="D332" s="18" t="str">
        <f aca="false">IFERROR(INDEX(Holidays!$C$5:$C$60,MATCH(A332,Holidays!$A$5:$A$60,0)),"")</f>
        <v/>
      </c>
      <c r="E332" s="31"/>
      <c r="F332" s="32"/>
      <c r="G332" s="32"/>
      <c r="H332" s="32"/>
      <c r="I332" s="32"/>
      <c r="J332" s="31"/>
      <c r="K332" s="33" t="str">
        <f aca="false">IF(E332&lt;&gt;"",E332,IF(U332,"Present",IF(C332="Holiday","Holiday","Weekend")))</f>
        <v>Present</v>
      </c>
      <c r="L332" s="34" t="n">
        <f aca="false">IF(OR(K332="Present",K332="Manual Work",K332="Partial Vacation",K332="Partial Sick Leave"),IF(ISNUMBER(F332),F332,IF(AND(K332="Present",U332),Settings!$B$6,"")),"")</f>
        <v>0.333333333333333</v>
      </c>
      <c r="M332" s="34" t="n">
        <f aca="false">IF(OR(K332="Present",K332="Manual Work",K332="Partial Vacation",K332="Partial Sick Leave"),IF(ISNUMBER(G332),G332,IF(AND(K332="Present",U332),V332,"")),"")</f>
        <v>0.6875</v>
      </c>
      <c r="N332" s="14" t="n">
        <f aca="false">IF(AND(ISNUMBER(L332),ISNUMBER(M332)),MAX(0,(M332-L332)*24),0)</f>
        <v>8.5</v>
      </c>
      <c r="O332" s="14" t="n">
        <f aca="false">IF(NOT(U332),0,IF(K332="Vacation",IF(C332="Eve",Settings!$B$9*Settings!$B$11,W332),IF(K332="Partial Vacation",IF(AND(ISNUMBER(H332),ISNUMBER(I332)),MAX(0,(I332-H332)*24),0),0)))</f>
        <v>0</v>
      </c>
      <c r="P332" s="14" t="n">
        <f aca="false">IF(NOT(U332),0,IF(K332="Sick Leave",W332,IF(K332="Partial Sick Leave",IF(AND(ISNUMBER(H332),ISNUMBER(I332)),MAX(0,(I332-H332)*24),0),0)))</f>
        <v>0</v>
      </c>
      <c r="Q332" s="14" t="n">
        <f aca="false">IF(NOT(U332),0,IF(K332="Vacation",IF(C332="Eve",Settings!$B$11,1),IF(K332="Partial Vacation",O332/Settings!$B$9,0)))</f>
        <v>0</v>
      </c>
      <c r="R332" s="14" t="n">
        <f aca="false">IF(NOT(U332),0,IF(K332="Sick Leave",1,IF(K332="Partial Sick Leave",P332/Settings!$B$9,0)))</f>
        <v>0</v>
      </c>
      <c r="S332" s="35" t="str">
        <f aca="false">IF(AND(OR(E332="Vacation",E332="Sick Leave",E332="Partial Vacation",E332="Partial Sick Leave"),NOT(U332)),"Leave not allowed on this day",IF(AND(E332="Manual Work",OR(NOT(ISNUMBER(F332)),NOT(ISNUMBER(G332)))),"Enter start and end",IF(AND(OR(E332="Partial Vacation",E332="Partial Sick Leave"),OR(NOT(ISNUMBER(H332)),NOT(ISNUMBER(I332)))),"Enter leave from and to",IF(AND(ISNUMBER(F332),ISNUMBER(G332),G332&lt;=F332),"End is before start",IF(AND(ISNUMBER(H332),ISNUMBER(I332),I332&lt;=H332),"Leave end is before start",IF(AND(ISNUMBER(F332),ISNUMBER(G332),ISNUMBER(H332),ISNUMBER(I332),F332&lt;I332,H332&lt;G332),"Work and leave hours overlap",IF(AND(E332&lt;&gt;"",WEEKDAY(A332)=7),"Saturday - administrator only","")))))))</f>
        <v/>
      </c>
      <c r="T332" s="36" t="n">
        <f aca="false">MONTH(A332)</f>
        <v>11</v>
      </c>
      <c r="U332" s="37" t="b">
        <f aca="false">OR(C332="Workday",C332="Eve")</f>
        <v>1</v>
      </c>
      <c r="V332" s="34" t="n">
        <f aca="false">IF(C332="Eve",Settings!$B$8,Settings!$B$7)</f>
        <v>0.6875</v>
      </c>
      <c r="W332" s="14" t="n">
        <f aca="false">IF(U332,(V332-Settings!$B$6)*24,0)</f>
        <v>8.5</v>
      </c>
    </row>
    <row r="333" customFormat="false" ht="15" hidden="false" customHeight="false" outlineLevel="0" collapsed="false">
      <c r="A333" s="29" t="n">
        <v>46349</v>
      </c>
      <c r="B333" s="30" t="str">
        <f aca="false">CHOOSE(WEEKDAY(A333),"Sun","Mon","Tue","Wed","Thu","Fri","Sat")</f>
        <v>Mon</v>
      </c>
      <c r="C333" s="30" t="str">
        <f aca="false">IF(IFERROR(INDEX(Holidays!$D$5:$D$60,MATCH(A333,Holidays!$A$5:$A$60,0)),"")="Holiday","Holiday",IF(WEEKDAY(A333)&gt;=6,"Weekend",IF(IFERROR(INDEX(Holidays!$D$5:$D$60,MATCH(A333,Holidays!$A$5:$A$60,0)),"")="Eve","Eve","Workday")))</f>
        <v>Workday</v>
      </c>
      <c r="D333" s="18" t="str">
        <f aca="false">IFERROR(INDEX(Holidays!$C$5:$C$60,MATCH(A333,Holidays!$A$5:$A$60,0)),"")</f>
        <v/>
      </c>
      <c r="E333" s="31"/>
      <c r="F333" s="32"/>
      <c r="G333" s="32"/>
      <c r="H333" s="32"/>
      <c r="I333" s="32"/>
      <c r="J333" s="31"/>
      <c r="K333" s="33" t="str">
        <f aca="false">IF(E333&lt;&gt;"",E333,IF(U333,"Present",IF(C333="Holiday","Holiday","Weekend")))</f>
        <v>Present</v>
      </c>
      <c r="L333" s="34" t="n">
        <f aca="false">IF(OR(K333="Present",K333="Manual Work",K333="Partial Vacation",K333="Partial Sick Leave"),IF(ISNUMBER(F333),F333,IF(AND(K333="Present",U333),Settings!$B$6,"")),"")</f>
        <v>0.333333333333333</v>
      </c>
      <c r="M333" s="34" t="n">
        <f aca="false">IF(OR(K333="Present",K333="Manual Work",K333="Partial Vacation",K333="Partial Sick Leave"),IF(ISNUMBER(G333),G333,IF(AND(K333="Present",U333),V333,"")),"")</f>
        <v>0.6875</v>
      </c>
      <c r="N333" s="14" t="n">
        <f aca="false">IF(AND(ISNUMBER(L333),ISNUMBER(M333)),MAX(0,(M333-L333)*24),0)</f>
        <v>8.5</v>
      </c>
      <c r="O333" s="14" t="n">
        <f aca="false">IF(NOT(U333),0,IF(K333="Vacation",IF(C333="Eve",Settings!$B$9*Settings!$B$11,W333),IF(K333="Partial Vacation",IF(AND(ISNUMBER(H333),ISNUMBER(I333)),MAX(0,(I333-H333)*24),0),0)))</f>
        <v>0</v>
      </c>
      <c r="P333" s="14" t="n">
        <f aca="false">IF(NOT(U333),0,IF(K333="Sick Leave",W333,IF(K333="Partial Sick Leave",IF(AND(ISNUMBER(H333),ISNUMBER(I333)),MAX(0,(I333-H333)*24),0),0)))</f>
        <v>0</v>
      </c>
      <c r="Q333" s="14" t="n">
        <f aca="false">IF(NOT(U333),0,IF(K333="Vacation",IF(C333="Eve",Settings!$B$11,1),IF(K333="Partial Vacation",O333/Settings!$B$9,0)))</f>
        <v>0</v>
      </c>
      <c r="R333" s="14" t="n">
        <f aca="false">IF(NOT(U333),0,IF(K333="Sick Leave",1,IF(K333="Partial Sick Leave",P333/Settings!$B$9,0)))</f>
        <v>0</v>
      </c>
      <c r="S333" s="35" t="str">
        <f aca="false">IF(AND(OR(E333="Vacation",E333="Sick Leave",E333="Partial Vacation",E333="Partial Sick Leave"),NOT(U333)),"Leave not allowed on this day",IF(AND(E333="Manual Work",OR(NOT(ISNUMBER(F333)),NOT(ISNUMBER(G333)))),"Enter start and end",IF(AND(OR(E333="Partial Vacation",E333="Partial Sick Leave"),OR(NOT(ISNUMBER(H333)),NOT(ISNUMBER(I333)))),"Enter leave from and to",IF(AND(ISNUMBER(F333),ISNUMBER(G333),G333&lt;=F333),"End is before start",IF(AND(ISNUMBER(H333),ISNUMBER(I333),I333&lt;=H333),"Leave end is before start",IF(AND(ISNUMBER(F333),ISNUMBER(G333),ISNUMBER(H333),ISNUMBER(I333),F333&lt;I333,H333&lt;G333),"Work and leave hours overlap",IF(AND(E333&lt;&gt;"",WEEKDAY(A333)=7),"Saturday - administrator only","")))))))</f>
        <v/>
      </c>
      <c r="T333" s="36" t="n">
        <f aca="false">MONTH(A333)</f>
        <v>11</v>
      </c>
      <c r="U333" s="37" t="b">
        <f aca="false">OR(C333="Workday",C333="Eve")</f>
        <v>1</v>
      </c>
      <c r="V333" s="34" t="n">
        <f aca="false">IF(C333="Eve",Settings!$B$8,Settings!$B$7)</f>
        <v>0.6875</v>
      </c>
      <c r="W333" s="14" t="n">
        <f aca="false">IF(U333,(V333-Settings!$B$6)*24,0)</f>
        <v>8.5</v>
      </c>
    </row>
    <row r="334" customFormat="false" ht="15" hidden="false" customHeight="false" outlineLevel="0" collapsed="false">
      <c r="A334" s="29" t="n">
        <v>46350</v>
      </c>
      <c r="B334" s="30" t="str">
        <f aca="false">CHOOSE(WEEKDAY(A334),"Sun","Mon","Tue","Wed","Thu","Fri","Sat")</f>
        <v>Tue</v>
      </c>
      <c r="C334" s="30" t="str">
        <f aca="false">IF(IFERROR(INDEX(Holidays!$D$5:$D$60,MATCH(A334,Holidays!$A$5:$A$60,0)),"")="Holiday","Holiday",IF(WEEKDAY(A334)&gt;=6,"Weekend",IF(IFERROR(INDEX(Holidays!$D$5:$D$60,MATCH(A334,Holidays!$A$5:$A$60,0)),"")="Eve","Eve","Workday")))</f>
        <v>Workday</v>
      </c>
      <c r="D334" s="18" t="str">
        <f aca="false">IFERROR(INDEX(Holidays!$C$5:$C$60,MATCH(A334,Holidays!$A$5:$A$60,0)),"")</f>
        <v/>
      </c>
      <c r="E334" s="31"/>
      <c r="F334" s="32"/>
      <c r="G334" s="32"/>
      <c r="H334" s="32"/>
      <c r="I334" s="32"/>
      <c r="J334" s="31"/>
      <c r="K334" s="33" t="str">
        <f aca="false">IF(E334&lt;&gt;"",E334,IF(U334,"Present",IF(C334="Holiday","Holiday","Weekend")))</f>
        <v>Present</v>
      </c>
      <c r="L334" s="34" t="n">
        <f aca="false">IF(OR(K334="Present",K334="Manual Work",K334="Partial Vacation",K334="Partial Sick Leave"),IF(ISNUMBER(F334),F334,IF(AND(K334="Present",U334),Settings!$B$6,"")),"")</f>
        <v>0.333333333333333</v>
      </c>
      <c r="M334" s="34" t="n">
        <f aca="false">IF(OR(K334="Present",K334="Manual Work",K334="Partial Vacation",K334="Partial Sick Leave"),IF(ISNUMBER(G334),G334,IF(AND(K334="Present",U334),V334,"")),"")</f>
        <v>0.6875</v>
      </c>
      <c r="N334" s="14" t="n">
        <f aca="false">IF(AND(ISNUMBER(L334),ISNUMBER(M334)),MAX(0,(M334-L334)*24),0)</f>
        <v>8.5</v>
      </c>
      <c r="O334" s="14" t="n">
        <f aca="false">IF(NOT(U334),0,IF(K334="Vacation",IF(C334="Eve",Settings!$B$9*Settings!$B$11,W334),IF(K334="Partial Vacation",IF(AND(ISNUMBER(H334),ISNUMBER(I334)),MAX(0,(I334-H334)*24),0),0)))</f>
        <v>0</v>
      </c>
      <c r="P334" s="14" t="n">
        <f aca="false">IF(NOT(U334),0,IF(K334="Sick Leave",W334,IF(K334="Partial Sick Leave",IF(AND(ISNUMBER(H334),ISNUMBER(I334)),MAX(0,(I334-H334)*24),0),0)))</f>
        <v>0</v>
      </c>
      <c r="Q334" s="14" t="n">
        <f aca="false">IF(NOT(U334),0,IF(K334="Vacation",IF(C334="Eve",Settings!$B$11,1),IF(K334="Partial Vacation",O334/Settings!$B$9,0)))</f>
        <v>0</v>
      </c>
      <c r="R334" s="14" t="n">
        <f aca="false">IF(NOT(U334),0,IF(K334="Sick Leave",1,IF(K334="Partial Sick Leave",P334/Settings!$B$9,0)))</f>
        <v>0</v>
      </c>
      <c r="S334" s="35" t="str">
        <f aca="false">IF(AND(OR(E334="Vacation",E334="Sick Leave",E334="Partial Vacation",E334="Partial Sick Leave"),NOT(U334)),"Leave not allowed on this day",IF(AND(E334="Manual Work",OR(NOT(ISNUMBER(F334)),NOT(ISNUMBER(G334)))),"Enter start and end",IF(AND(OR(E334="Partial Vacation",E334="Partial Sick Leave"),OR(NOT(ISNUMBER(H334)),NOT(ISNUMBER(I334)))),"Enter leave from and to",IF(AND(ISNUMBER(F334),ISNUMBER(G334),G334&lt;=F334),"End is before start",IF(AND(ISNUMBER(H334),ISNUMBER(I334),I334&lt;=H334),"Leave end is before start",IF(AND(ISNUMBER(F334),ISNUMBER(G334),ISNUMBER(H334),ISNUMBER(I334),F334&lt;I334,H334&lt;G334),"Work and leave hours overlap",IF(AND(E334&lt;&gt;"",WEEKDAY(A334)=7),"Saturday - administrator only","")))))))</f>
        <v/>
      </c>
      <c r="T334" s="36" t="n">
        <f aca="false">MONTH(A334)</f>
        <v>11</v>
      </c>
      <c r="U334" s="37" t="b">
        <f aca="false">OR(C334="Workday",C334="Eve")</f>
        <v>1</v>
      </c>
      <c r="V334" s="34" t="n">
        <f aca="false">IF(C334="Eve",Settings!$B$8,Settings!$B$7)</f>
        <v>0.6875</v>
      </c>
      <c r="W334" s="14" t="n">
        <f aca="false">IF(U334,(V334-Settings!$B$6)*24,0)</f>
        <v>8.5</v>
      </c>
    </row>
    <row r="335" customFormat="false" ht="15" hidden="false" customHeight="false" outlineLevel="0" collapsed="false">
      <c r="A335" s="29" t="n">
        <v>46351</v>
      </c>
      <c r="B335" s="30" t="str">
        <f aca="false">CHOOSE(WEEKDAY(A335),"Sun","Mon","Tue","Wed","Thu","Fri","Sat")</f>
        <v>Wed</v>
      </c>
      <c r="C335" s="30" t="str">
        <f aca="false">IF(IFERROR(INDEX(Holidays!$D$5:$D$60,MATCH(A335,Holidays!$A$5:$A$60,0)),"")="Holiday","Holiday",IF(WEEKDAY(A335)&gt;=6,"Weekend",IF(IFERROR(INDEX(Holidays!$D$5:$D$60,MATCH(A335,Holidays!$A$5:$A$60,0)),"")="Eve","Eve","Workday")))</f>
        <v>Workday</v>
      </c>
      <c r="D335" s="18" t="str">
        <f aca="false">IFERROR(INDEX(Holidays!$C$5:$C$60,MATCH(A335,Holidays!$A$5:$A$60,0)),"")</f>
        <v/>
      </c>
      <c r="E335" s="31"/>
      <c r="F335" s="32"/>
      <c r="G335" s="32"/>
      <c r="H335" s="32"/>
      <c r="I335" s="32"/>
      <c r="J335" s="31"/>
      <c r="K335" s="33" t="str">
        <f aca="false">IF(E335&lt;&gt;"",E335,IF(U335,"Present",IF(C335="Holiday","Holiday","Weekend")))</f>
        <v>Present</v>
      </c>
      <c r="L335" s="34" t="n">
        <f aca="false">IF(OR(K335="Present",K335="Manual Work",K335="Partial Vacation",K335="Partial Sick Leave"),IF(ISNUMBER(F335),F335,IF(AND(K335="Present",U335),Settings!$B$6,"")),"")</f>
        <v>0.333333333333333</v>
      </c>
      <c r="M335" s="34" t="n">
        <f aca="false">IF(OR(K335="Present",K335="Manual Work",K335="Partial Vacation",K335="Partial Sick Leave"),IF(ISNUMBER(G335),G335,IF(AND(K335="Present",U335),V335,"")),"")</f>
        <v>0.6875</v>
      </c>
      <c r="N335" s="14" t="n">
        <f aca="false">IF(AND(ISNUMBER(L335),ISNUMBER(M335)),MAX(0,(M335-L335)*24),0)</f>
        <v>8.5</v>
      </c>
      <c r="O335" s="14" t="n">
        <f aca="false">IF(NOT(U335),0,IF(K335="Vacation",IF(C335="Eve",Settings!$B$9*Settings!$B$11,W335),IF(K335="Partial Vacation",IF(AND(ISNUMBER(H335),ISNUMBER(I335)),MAX(0,(I335-H335)*24),0),0)))</f>
        <v>0</v>
      </c>
      <c r="P335" s="14" t="n">
        <f aca="false">IF(NOT(U335),0,IF(K335="Sick Leave",W335,IF(K335="Partial Sick Leave",IF(AND(ISNUMBER(H335),ISNUMBER(I335)),MAX(0,(I335-H335)*24),0),0)))</f>
        <v>0</v>
      </c>
      <c r="Q335" s="14" t="n">
        <f aca="false">IF(NOT(U335),0,IF(K335="Vacation",IF(C335="Eve",Settings!$B$11,1),IF(K335="Partial Vacation",O335/Settings!$B$9,0)))</f>
        <v>0</v>
      </c>
      <c r="R335" s="14" t="n">
        <f aca="false">IF(NOT(U335),0,IF(K335="Sick Leave",1,IF(K335="Partial Sick Leave",P335/Settings!$B$9,0)))</f>
        <v>0</v>
      </c>
      <c r="S335" s="35" t="str">
        <f aca="false">IF(AND(OR(E335="Vacation",E335="Sick Leave",E335="Partial Vacation",E335="Partial Sick Leave"),NOT(U335)),"Leave not allowed on this day",IF(AND(E335="Manual Work",OR(NOT(ISNUMBER(F335)),NOT(ISNUMBER(G335)))),"Enter start and end",IF(AND(OR(E335="Partial Vacation",E335="Partial Sick Leave"),OR(NOT(ISNUMBER(H335)),NOT(ISNUMBER(I335)))),"Enter leave from and to",IF(AND(ISNUMBER(F335),ISNUMBER(G335),G335&lt;=F335),"End is before start",IF(AND(ISNUMBER(H335),ISNUMBER(I335),I335&lt;=H335),"Leave end is before start",IF(AND(ISNUMBER(F335),ISNUMBER(G335),ISNUMBER(H335),ISNUMBER(I335),F335&lt;I335,H335&lt;G335),"Work and leave hours overlap",IF(AND(E335&lt;&gt;"",WEEKDAY(A335)=7),"Saturday - administrator only","")))))))</f>
        <v/>
      </c>
      <c r="T335" s="36" t="n">
        <f aca="false">MONTH(A335)</f>
        <v>11</v>
      </c>
      <c r="U335" s="37" t="b">
        <f aca="false">OR(C335="Workday",C335="Eve")</f>
        <v>1</v>
      </c>
      <c r="V335" s="34" t="n">
        <f aca="false">IF(C335="Eve",Settings!$B$8,Settings!$B$7)</f>
        <v>0.6875</v>
      </c>
      <c r="W335" s="14" t="n">
        <f aca="false">IF(U335,(V335-Settings!$B$6)*24,0)</f>
        <v>8.5</v>
      </c>
    </row>
    <row r="336" customFormat="false" ht="15" hidden="false" customHeight="false" outlineLevel="0" collapsed="false">
      <c r="A336" s="29" t="n">
        <v>46352</v>
      </c>
      <c r="B336" s="30" t="str">
        <f aca="false">CHOOSE(WEEKDAY(A336),"Sun","Mon","Tue","Wed","Thu","Fri","Sat")</f>
        <v>Thu</v>
      </c>
      <c r="C336" s="30" t="str">
        <f aca="false">IF(IFERROR(INDEX(Holidays!$D$5:$D$60,MATCH(A336,Holidays!$A$5:$A$60,0)),"")="Holiday","Holiday",IF(WEEKDAY(A336)&gt;=6,"Weekend",IF(IFERROR(INDEX(Holidays!$D$5:$D$60,MATCH(A336,Holidays!$A$5:$A$60,0)),"")="Eve","Eve","Workday")))</f>
        <v>Workday</v>
      </c>
      <c r="D336" s="18" t="str">
        <f aca="false">IFERROR(INDEX(Holidays!$C$5:$C$60,MATCH(A336,Holidays!$A$5:$A$60,0)),"")</f>
        <v/>
      </c>
      <c r="E336" s="31"/>
      <c r="F336" s="32"/>
      <c r="G336" s="32"/>
      <c r="H336" s="32"/>
      <c r="I336" s="32"/>
      <c r="J336" s="31"/>
      <c r="K336" s="33" t="str">
        <f aca="false">IF(E336&lt;&gt;"",E336,IF(U336,"Present",IF(C336="Holiday","Holiday","Weekend")))</f>
        <v>Present</v>
      </c>
      <c r="L336" s="34" t="n">
        <f aca="false">IF(OR(K336="Present",K336="Manual Work",K336="Partial Vacation",K336="Partial Sick Leave"),IF(ISNUMBER(F336),F336,IF(AND(K336="Present",U336),Settings!$B$6,"")),"")</f>
        <v>0.333333333333333</v>
      </c>
      <c r="M336" s="34" t="n">
        <f aca="false">IF(OR(K336="Present",K336="Manual Work",K336="Partial Vacation",K336="Partial Sick Leave"),IF(ISNUMBER(G336),G336,IF(AND(K336="Present",U336),V336,"")),"")</f>
        <v>0.6875</v>
      </c>
      <c r="N336" s="14" t="n">
        <f aca="false">IF(AND(ISNUMBER(L336),ISNUMBER(M336)),MAX(0,(M336-L336)*24),0)</f>
        <v>8.5</v>
      </c>
      <c r="O336" s="14" t="n">
        <f aca="false">IF(NOT(U336),0,IF(K336="Vacation",IF(C336="Eve",Settings!$B$9*Settings!$B$11,W336),IF(K336="Partial Vacation",IF(AND(ISNUMBER(H336),ISNUMBER(I336)),MAX(0,(I336-H336)*24),0),0)))</f>
        <v>0</v>
      </c>
      <c r="P336" s="14" t="n">
        <f aca="false">IF(NOT(U336),0,IF(K336="Sick Leave",W336,IF(K336="Partial Sick Leave",IF(AND(ISNUMBER(H336),ISNUMBER(I336)),MAX(0,(I336-H336)*24),0),0)))</f>
        <v>0</v>
      </c>
      <c r="Q336" s="14" t="n">
        <f aca="false">IF(NOT(U336),0,IF(K336="Vacation",IF(C336="Eve",Settings!$B$11,1),IF(K336="Partial Vacation",O336/Settings!$B$9,0)))</f>
        <v>0</v>
      </c>
      <c r="R336" s="14" t="n">
        <f aca="false">IF(NOT(U336),0,IF(K336="Sick Leave",1,IF(K336="Partial Sick Leave",P336/Settings!$B$9,0)))</f>
        <v>0</v>
      </c>
      <c r="S336" s="35" t="str">
        <f aca="false">IF(AND(OR(E336="Vacation",E336="Sick Leave",E336="Partial Vacation",E336="Partial Sick Leave"),NOT(U336)),"Leave not allowed on this day",IF(AND(E336="Manual Work",OR(NOT(ISNUMBER(F336)),NOT(ISNUMBER(G336)))),"Enter start and end",IF(AND(OR(E336="Partial Vacation",E336="Partial Sick Leave"),OR(NOT(ISNUMBER(H336)),NOT(ISNUMBER(I336)))),"Enter leave from and to",IF(AND(ISNUMBER(F336),ISNUMBER(G336),G336&lt;=F336),"End is before start",IF(AND(ISNUMBER(H336),ISNUMBER(I336),I336&lt;=H336),"Leave end is before start",IF(AND(ISNUMBER(F336),ISNUMBER(G336),ISNUMBER(H336),ISNUMBER(I336),F336&lt;I336,H336&lt;G336),"Work and leave hours overlap",IF(AND(E336&lt;&gt;"",WEEKDAY(A336)=7),"Saturday - administrator only","")))))))</f>
        <v/>
      </c>
      <c r="T336" s="36" t="n">
        <f aca="false">MONTH(A336)</f>
        <v>11</v>
      </c>
      <c r="U336" s="37" t="b">
        <f aca="false">OR(C336="Workday",C336="Eve")</f>
        <v>1</v>
      </c>
      <c r="V336" s="34" t="n">
        <f aca="false">IF(C336="Eve",Settings!$B$8,Settings!$B$7)</f>
        <v>0.6875</v>
      </c>
      <c r="W336" s="14" t="n">
        <f aca="false">IF(U336,(V336-Settings!$B$6)*24,0)</f>
        <v>8.5</v>
      </c>
    </row>
    <row r="337" customFormat="false" ht="15" hidden="false" customHeight="false" outlineLevel="0" collapsed="false">
      <c r="A337" s="29" t="n">
        <v>46353</v>
      </c>
      <c r="B337" s="30" t="str">
        <f aca="false">CHOOSE(WEEKDAY(A337),"Sun","Mon","Tue","Wed","Thu","Fri","Sat")</f>
        <v>Fri</v>
      </c>
      <c r="C337" s="30" t="str">
        <f aca="false">IF(IFERROR(INDEX(Holidays!$D$5:$D$60,MATCH(A337,Holidays!$A$5:$A$60,0)),"")="Holiday","Holiday",IF(WEEKDAY(A337)&gt;=6,"Weekend",IF(IFERROR(INDEX(Holidays!$D$5:$D$60,MATCH(A337,Holidays!$A$5:$A$60,0)),"")="Eve","Eve","Workday")))</f>
        <v>Weekend</v>
      </c>
      <c r="D337" s="18" t="str">
        <f aca="false">IFERROR(INDEX(Holidays!$C$5:$C$60,MATCH(A337,Holidays!$A$5:$A$60,0)),"")</f>
        <v/>
      </c>
      <c r="E337" s="31"/>
      <c r="F337" s="32"/>
      <c r="G337" s="32"/>
      <c r="H337" s="32"/>
      <c r="I337" s="32"/>
      <c r="J337" s="31"/>
      <c r="K337" s="33" t="str">
        <f aca="false">IF(E337&lt;&gt;"",E337,IF(U337,"Present",IF(C337="Holiday","Holiday","Weekend")))</f>
        <v>Weekend</v>
      </c>
      <c r="L337" s="34" t="str">
        <f aca="false">IF(OR(K337="Present",K337="Manual Work",K337="Partial Vacation",K337="Partial Sick Leave"),IF(ISNUMBER(F337),F337,IF(AND(K337="Present",U337),Settings!$B$6,"")),"")</f>
        <v/>
      </c>
      <c r="M337" s="34" t="str">
        <f aca="false">IF(OR(K337="Present",K337="Manual Work",K337="Partial Vacation",K337="Partial Sick Leave"),IF(ISNUMBER(G337),G337,IF(AND(K337="Present",U337),V337,"")),"")</f>
        <v/>
      </c>
      <c r="N337" s="14" t="n">
        <f aca="false">IF(AND(ISNUMBER(L337),ISNUMBER(M337)),MAX(0,(M337-L337)*24),0)</f>
        <v>0</v>
      </c>
      <c r="O337" s="14" t="n">
        <f aca="false">IF(NOT(U337),0,IF(K337="Vacation",IF(C337="Eve",Settings!$B$9*Settings!$B$11,W337),IF(K337="Partial Vacation",IF(AND(ISNUMBER(H337),ISNUMBER(I337)),MAX(0,(I337-H337)*24),0),0)))</f>
        <v>0</v>
      </c>
      <c r="P337" s="14" t="n">
        <f aca="false">IF(NOT(U337),0,IF(K337="Sick Leave",W337,IF(K337="Partial Sick Leave",IF(AND(ISNUMBER(H337),ISNUMBER(I337)),MAX(0,(I337-H337)*24),0),0)))</f>
        <v>0</v>
      </c>
      <c r="Q337" s="14" t="n">
        <f aca="false">IF(NOT(U337),0,IF(K337="Vacation",IF(C337="Eve",Settings!$B$11,1),IF(K337="Partial Vacation",O337/Settings!$B$9,0)))</f>
        <v>0</v>
      </c>
      <c r="R337" s="14" t="n">
        <f aca="false">IF(NOT(U337),0,IF(K337="Sick Leave",1,IF(K337="Partial Sick Leave",P337/Settings!$B$9,0)))</f>
        <v>0</v>
      </c>
      <c r="S337" s="35" t="str">
        <f aca="false">IF(AND(OR(E337="Vacation",E337="Sick Leave",E337="Partial Vacation",E337="Partial Sick Leave"),NOT(U337)),"Leave not allowed on this day",IF(AND(E337="Manual Work",OR(NOT(ISNUMBER(F337)),NOT(ISNUMBER(G337)))),"Enter start and end",IF(AND(OR(E337="Partial Vacation",E337="Partial Sick Leave"),OR(NOT(ISNUMBER(H337)),NOT(ISNUMBER(I337)))),"Enter leave from and to",IF(AND(ISNUMBER(F337),ISNUMBER(G337),G337&lt;=F337),"End is before start",IF(AND(ISNUMBER(H337),ISNUMBER(I337),I337&lt;=H337),"Leave end is before start",IF(AND(ISNUMBER(F337),ISNUMBER(G337),ISNUMBER(H337),ISNUMBER(I337),F337&lt;I337,H337&lt;G337),"Work and leave hours overlap",IF(AND(E337&lt;&gt;"",WEEKDAY(A337)=7),"Saturday - administrator only","")))))))</f>
        <v/>
      </c>
      <c r="T337" s="36" t="n">
        <f aca="false">MONTH(A337)</f>
        <v>11</v>
      </c>
      <c r="U337" s="37" t="b">
        <f aca="false">OR(C337="Workday",C337="Eve")</f>
        <v>0</v>
      </c>
      <c r="V337" s="34" t="n">
        <f aca="false">IF(C337="Eve",Settings!$B$8,Settings!$B$7)</f>
        <v>0.6875</v>
      </c>
      <c r="W337" s="14" t="n">
        <f aca="false">IF(U337,(V337-Settings!$B$6)*24,0)</f>
        <v>0</v>
      </c>
    </row>
    <row r="338" customFormat="false" ht="15" hidden="false" customHeight="false" outlineLevel="0" collapsed="false">
      <c r="A338" s="29" t="n">
        <v>46354</v>
      </c>
      <c r="B338" s="30" t="str">
        <f aca="false">CHOOSE(WEEKDAY(A338),"Sun","Mon","Tue","Wed","Thu","Fri","Sat")</f>
        <v>Sat</v>
      </c>
      <c r="C338" s="30" t="str">
        <f aca="false">IF(IFERROR(INDEX(Holidays!$D$5:$D$60,MATCH(A338,Holidays!$A$5:$A$60,0)),"")="Holiday","Holiday",IF(WEEKDAY(A338)&gt;=6,"Weekend",IF(IFERROR(INDEX(Holidays!$D$5:$D$60,MATCH(A338,Holidays!$A$5:$A$60,0)),"")="Eve","Eve","Workday")))</f>
        <v>Weekend</v>
      </c>
      <c r="D338" s="18" t="str">
        <f aca="false">IFERROR(INDEX(Holidays!$C$5:$C$60,MATCH(A338,Holidays!$A$5:$A$60,0)),"")</f>
        <v/>
      </c>
      <c r="E338" s="31"/>
      <c r="F338" s="32"/>
      <c r="G338" s="32"/>
      <c r="H338" s="32"/>
      <c r="I338" s="32"/>
      <c r="J338" s="31"/>
      <c r="K338" s="33" t="str">
        <f aca="false">IF(E338&lt;&gt;"",E338,IF(U338,"Present",IF(C338="Holiday","Holiday","Weekend")))</f>
        <v>Weekend</v>
      </c>
      <c r="L338" s="34" t="str">
        <f aca="false">IF(OR(K338="Present",K338="Manual Work",K338="Partial Vacation",K338="Partial Sick Leave"),IF(ISNUMBER(F338),F338,IF(AND(K338="Present",U338),Settings!$B$6,"")),"")</f>
        <v/>
      </c>
      <c r="M338" s="34" t="str">
        <f aca="false">IF(OR(K338="Present",K338="Manual Work",K338="Partial Vacation",K338="Partial Sick Leave"),IF(ISNUMBER(G338),G338,IF(AND(K338="Present",U338),V338,"")),"")</f>
        <v/>
      </c>
      <c r="N338" s="14" t="n">
        <f aca="false">IF(AND(ISNUMBER(L338),ISNUMBER(M338)),MAX(0,(M338-L338)*24),0)</f>
        <v>0</v>
      </c>
      <c r="O338" s="14" t="n">
        <f aca="false">IF(NOT(U338),0,IF(K338="Vacation",IF(C338="Eve",Settings!$B$9*Settings!$B$11,W338),IF(K338="Partial Vacation",IF(AND(ISNUMBER(H338),ISNUMBER(I338)),MAX(0,(I338-H338)*24),0),0)))</f>
        <v>0</v>
      </c>
      <c r="P338" s="14" t="n">
        <f aca="false">IF(NOT(U338),0,IF(K338="Sick Leave",W338,IF(K338="Partial Sick Leave",IF(AND(ISNUMBER(H338),ISNUMBER(I338)),MAX(0,(I338-H338)*24),0),0)))</f>
        <v>0</v>
      </c>
      <c r="Q338" s="14" t="n">
        <f aca="false">IF(NOT(U338),0,IF(K338="Vacation",IF(C338="Eve",Settings!$B$11,1),IF(K338="Partial Vacation",O338/Settings!$B$9,0)))</f>
        <v>0</v>
      </c>
      <c r="R338" s="14" t="n">
        <f aca="false">IF(NOT(U338),0,IF(K338="Sick Leave",1,IF(K338="Partial Sick Leave",P338/Settings!$B$9,0)))</f>
        <v>0</v>
      </c>
      <c r="S338" s="35" t="str">
        <f aca="false">IF(AND(OR(E338="Vacation",E338="Sick Leave",E338="Partial Vacation",E338="Partial Sick Leave"),NOT(U338)),"Leave not allowed on this day",IF(AND(E338="Manual Work",OR(NOT(ISNUMBER(F338)),NOT(ISNUMBER(G338)))),"Enter start and end",IF(AND(OR(E338="Partial Vacation",E338="Partial Sick Leave"),OR(NOT(ISNUMBER(H338)),NOT(ISNUMBER(I338)))),"Enter leave from and to",IF(AND(ISNUMBER(F338),ISNUMBER(G338),G338&lt;=F338),"End is before start",IF(AND(ISNUMBER(H338),ISNUMBER(I338),I338&lt;=H338),"Leave end is before start",IF(AND(ISNUMBER(F338),ISNUMBER(G338),ISNUMBER(H338),ISNUMBER(I338),F338&lt;I338,H338&lt;G338),"Work and leave hours overlap",IF(AND(E338&lt;&gt;"",WEEKDAY(A338)=7),"Saturday - administrator only","")))))))</f>
        <v/>
      </c>
      <c r="T338" s="36" t="n">
        <f aca="false">MONTH(A338)</f>
        <v>11</v>
      </c>
      <c r="U338" s="37" t="b">
        <f aca="false">OR(C338="Workday",C338="Eve")</f>
        <v>0</v>
      </c>
      <c r="V338" s="34" t="n">
        <f aca="false">IF(C338="Eve",Settings!$B$8,Settings!$B$7)</f>
        <v>0.6875</v>
      </c>
      <c r="W338" s="14" t="n">
        <f aca="false">IF(U338,(V338-Settings!$B$6)*24,0)</f>
        <v>0</v>
      </c>
    </row>
    <row r="339" customFormat="false" ht="15" hidden="false" customHeight="false" outlineLevel="0" collapsed="false">
      <c r="A339" s="29" t="n">
        <v>46355</v>
      </c>
      <c r="B339" s="30" t="str">
        <f aca="false">CHOOSE(WEEKDAY(A339),"Sun","Mon","Tue","Wed","Thu","Fri","Sat")</f>
        <v>Sun</v>
      </c>
      <c r="C339" s="30" t="str">
        <f aca="false">IF(IFERROR(INDEX(Holidays!$D$5:$D$60,MATCH(A339,Holidays!$A$5:$A$60,0)),"")="Holiday","Holiday",IF(WEEKDAY(A339)&gt;=6,"Weekend",IF(IFERROR(INDEX(Holidays!$D$5:$D$60,MATCH(A339,Holidays!$A$5:$A$60,0)),"")="Eve","Eve","Workday")))</f>
        <v>Workday</v>
      </c>
      <c r="D339" s="18" t="str">
        <f aca="false">IFERROR(INDEX(Holidays!$C$5:$C$60,MATCH(A339,Holidays!$A$5:$A$60,0)),"")</f>
        <v/>
      </c>
      <c r="E339" s="31"/>
      <c r="F339" s="32"/>
      <c r="G339" s="32"/>
      <c r="H339" s="32"/>
      <c r="I339" s="32"/>
      <c r="J339" s="31"/>
      <c r="K339" s="33" t="str">
        <f aca="false">IF(E339&lt;&gt;"",E339,IF(U339,"Present",IF(C339="Holiday","Holiday","Weekend")))</f>
        <v>Present</v>
      </c>
      <c r="L339" s="34" t="n">
        <f aca="false">IF(OR(K339="Present",K339="Manual Work",K339="Partial Vacation",K339="Partial Sick Leave"),IF(ISNUMBER(F339),F339,IF(AND(K339="Present",U339),Settings!$B$6,"")),"")</f>
        <v>0.333333333333333</v>
      </c>
      <c r="M339" s="34" t="n">
        <f aca="false">IF(OR(K339="Present",K339="Manual Work",K339="Partial Vacation",K339="Partial Sick Leave"),IF(ISNUMBER(G339),G339,IF(AND(K339="Present",U339),V339,"")),"")</f>
        <v>0.6875</v>
      </c>
      <c r="N339" s="14" t="n">
        <f aca="false">IF(AND(ISNUMBER(L339),ISNUMBER(M339)),MAX(0,(M339-L339)*24),0)</f>
        <v>8.5</v>
      </c>
      <c r="O339" s="14" t="n">
        <f aca="false">IF(NOT(U339),0,IF(K339="Vacation",IF(C339="Eve",Settings!$B$9*Settings!$B$11,W339),IF(K339="Partial Vacation",IF(AND(ISNUMBER(H339),ISNUMBER(I339)),MAX(0,(I339-H339)*24),0),0)))</f>
        <v>0</v>
      </c>
      <c r="P339" s="14" t="n">
        <f aca="false">IF(NOT(U339),0,IF(K339="Sick Leave",W339,IF(K339="Partial Sick Leave",IF(AND(ISNUMBER(H339),ISNUMBER(I339)),MAX(0,(I339-H339)*24),0),0)))</f>
        <v>0</v>
      </c>
      <c r="Q339" s="14" t="n">
        <f aca="false">IF(NOT(U339),0,IF(K339="Vacation",IF(C339="Eve",Settings!$B$11,1),IF(K339="Partial Vacation",O339/Settings!$B$9,0)))</f>
        <v>0</v>
      </c>
      <c r="R339" s="14" t="n">
        <f aca="false">IF(NOT(U339),0,IF(K339="Sick Leave",1,IF(K339="Partial Sick Leave",P339/Settings!$B$9,0)))</f>
        <v>0</v>
      </c>
      <c r="S339" s="35" t="str">
        <f aca="false">IF(AND(OR(E339="Vacation",E339="Sick Leave",E339="Partial Vacation",E339="Partial Sick Leave"),NOT(U339)),"Leave not allowed on this day",IF(AND(E339="Manual Work",OR(NOT(ISNUMBER(F339)),NOT(ISNUMBER(G339)))),"Enter start and end",IF(AND(OR(E339="Partial Vacation",E339="Partial Sick Leave"),OR(NOT(ISNUMBER(H339)),NOT(ISNUMBER(I339)))),"Enter leave from and to",IF(AND(ISNUMBER(F339),ISNUMBER(G339),G339&lt;=F339),"End is before start",IF(AND(ISNUMBER(H339),ISNUMBER(I339),I339&lt;=H339),"Leave end is before start",IF(AND(ISNUMBER(F339),ISNUMBER(G339),ISNUMBER(H339),ISNUMBER(I339),F339&lt;I339,H339&lt;G339),"Work and leave hours overlap",IF(AND(E339&lt;&gt;"",WEEKDAY(A339)=7),"Saturday - administrator only","")))))))</f>
        <v/>
      </c>
      <c r="T339" s="36" t="n">
        <f aca="false">MONTH(A339)</f>
        <v>11</v>
      </c>
      <c r="U339" s="37" t="b">
        <f aca="false">OR(C339="Workday",C339="Eve")</f>
        <v>1</v>
      </c>
      <c r="V339" s="34" t="n">
        <f aca="false">IF(C339="Eve",Settings!$B$8,Settings!$B$7)</f>
        <v>0.6875</v>
      </c>
      <c r="W339" s="14" t="n">
        <f aca="false">IF(U339,(V339-Settings!$B$6)*24,0)</f>
        <v>8.5</v>
      </c>
    </row>
    <row r="340" customFormat="false" ht="15" hidden="false" customHeight="false" outlineLevel="0" collapsed="false">
      <c r="A340" s="29" t="n">
        <v>46356</v>
      </c>
      <c r="B340" s="30" t="str">
        <f aca="false">CHOOSE(WEEKDAY(A340),"Sun","Mon","Tue","Wed","Thu","Fri","Sat")</f>
        <v>Mon</v>
      </c>
      <c r="C340" s="30" t="str">
        <f aca="false">IF(IFERROR(INDEX(Holidays!$D$5:$D$60,MATCH(A340,Holidays!$A$5:$A$60,0)),"")="Holiday","Holiday",IF(WEEKDAY(A340)&gt;=6,"Weekend",IF(IFERROR(INDEX(Holidays!$D$5:$D$60,MATCH(A340,Holidays!$A$5:$A$60,0)),"")="Eve","Eve","Workday")))</f>
        <v>Workday</v>
      </c>
      <c r="D340" s="18" t="str">
        <f aca="false">IFERROR(INDEX(Holidays!$C$5:$C$60,MATCH(A340,Holidays!$A$5:$A$60,0)),"")</f>
        <v/>
      </c>
      <c r="E340" s="31"/>
      <c r="F340" s="32"/>
      <c r="G340" s="32"/>
      <c r="H340" s="32"/>
      <c r="I340" s="32"/>
      <c r="J340" s="31"/>
      <c r="K340" s="33" t="str">
        <f aca="false">IF(E340&lt;&gt;"",E340,IF(U340,"Present",IF(C340="Holiday","Holiday","Weekend")))</f>
        <v>Present</v>
      </c>
      <c r="L340" s="34" t="n">
        <f aca="false">IF(OR(K340="Present",K340="Manual Work",K340="Partial Vacation",K340="Partial Sick Leave"),IF(ISNUMBER(F340),F340,IF(AND(K340="Present",U340),Settings!$B$6,"")),"")</f>
        <v>0.333333333333333</v>
      </c>
      <c r="M340" s="34" t="n">
        <f aca="false">IF(OR(K340="Present",K340="Manual Work",K340="Partial Vacation",K340="Partial Sick Leave"),IF(ISNUMBER(G340),G340,IF(AND(K340="Present",U340),V340,"")),"")</f>
        <v>0.6875</v>
      </c>
      <c r="N340" s="14" t="n">
        <f aca="false">IF(AND(ISNUMBER(L340),ISNUMBER(M340)),MAX(0,(M340-L340)*24),0)</f>
        <v>8.5</v>
      </c>
      <c r="O340" s="14" t="n">
        <f aca="false">IF(NOT(U340),0,IF(K340="Vacation",IF(C340="Eve",Settings!$B$9*Settings!$B$11,W340),IF(K340="Partial Vacation",IF(AND(ISNUMBER(H340),ISNUMBER(I340)),MAX(0,(I340-H340)*24),0),0)))</f>
        <v>0</v>
      </c>
      <c r="P340" s="14" t="n">
        <f aca="false">IF(NOT(U340),0,IF(K340="Sick Leave",W340,IF(K340="Partial Sick Leave",IF(AND(ISNUMBER(H340),ISNUMBER(I340)),MAX(0,(I340-H340)*24),0),0)))</f>
        <v>0</v>
      </c>
      <c r="Q340" s="14" t="n">
        <f aca="false">IF(NOT(U340),0,IF(K340="Vacation",IF(C340="Eve",Settings!$B$11,1),IF(K340="Partial Vacation",O340/Settings!$B$9,0)))</f>
        <v>0</v>
      </c>
      <c r="R340" s="14" t="n">
        <f aca="false">IF(NOT(U340),0,IF(K340="Sick Leave",1,IF(K340="Partial Sick Leave",P340/Settings!$B$9,0)))</f>
        <v>0</v>
      </c>
      <c r="S340" s="35" t="str">
        <f aca="false">IF(AND(OR(E340="Vacation",E340="Sick Leave",E340="Partial Vacation",E340="Partial Sick Leave"),NOT(U340)),"Leave not allowed on this day",IF(AND(E340="Manual Work",OR(NOT(ISNUMBER(F340)),NOT(ISNUMBER(G340)))),"Enter start and end",IF(AND(OR(E340="Partial Vacation",E340="Partial Sick Leave"),OR(NOT(ISNUMBER(H340)),NOT(ISNUMBER(I340)))),"Enter leave from and to",IF(AND(ISNUMBER(F340),ISNUMBER(G340),G340&lt;=F340),"End is before start",IF(AND(ISNUMBER(H340),ISNUMBER(I340),I340&lt;=H340),"Leave end is before start",IF(AND(ISNUMBER(F340),ISNUMBER(G340),ISNUMBER(H340),ISNUMBER(I340),F340&lt;I340,H340&lt;G340),"Work and leave hours overlap",IF(AND(E340&lt;&gt;"",WEEKDAY(A340)=7),"Saturday - administrator only","")))))))</f>
        <v/>
      </c>
      <c r="T340" s="36" t="n">
        <f aca="false">MONTH(A340)</f>
        <v>11</v>
      </c>
      <c r="U340" s="37" t="b">
        <f aca="false">OR(C340="Workday",C340="Eve")</f>
        <v>1</v>
      </c>
      <c r="V340" s="34" t="n">
        <f aca="false">IF(C340="Eve",Settings!$B$8,Settings!$B$7)</f>
        <v>0.6875</v>
      </c>
      <c r="W340" s="14" t="n">
        <f aca="false">IF(U340,(V340-Settings!$B$6)*24,0)</f>
        <v>8.5</v>
      </c>
    </row>
    <row r="341" customFormat="false" ht="15" hidden="false" customHeight="false" outlineLevel="0" collapsed="false">
      <c r="A341" s="29" t="n">
        <v>46357</v>
      </c>
      <c r="B341" s="30" t="str">
        <f aca="false">CHOOSE(WEEKDAY(A341),"Sun","Mon","Tue","Wed","Thu","Fri","Sat")</f>
        <v>Tue</v>
      </c>
      <c r="C341" s="30" t="str">
        <f aca="false">IF(IFERROR(INDEX(Holidays!$D$5:$D$60,MATCH(A341,Holidays!$A$5:$A$60,0)),"")="Holiday","Holiday",IF(WEEKDAY(A341)&gt;=6,"Weekend",IF(IFERROR(INDEX(Holidays!$D$5:$D$60,MATCH(A341,Holidays!$A$5:$A$60,0)),"")="Eve","Eve","Workday")))</f>
        <v>Workday</v>
      </c>
      <c r="D341" s="18" t="str">
        <f aca="false">IFERROR(INDEX(Holidays!$C$5:$C$60,MATCH(A341,Holidays!$A$5:$A$60,0)),"")</f>
        <v/>
      </c>
      <c r="E341" s="31"/>
      <c r="F341" s="32"/>
      <c r="G341" s="32"/>
      <c r="H341" s="32"/>
      <c r="I341" s="32"/>
      <c r="J341" s="31"/>
      <c r="K341" s="33" t="str">
        <f aca="false">IF(E341&lt;&gt;"",E341,IF(U341,"Present",IF(C341="Holiday","Holiday","Weekend")))</f>
        <v>Present</v>
      </c>
      <c r="L341" s="34" t="n">
        <f aca="false">IF(OR(K341="Present",K341="Manual Work",K341="Partial Vacation",K341="Partial Sick Leave"),IF(ISNUMBER(F341),F341,IF(AND(K341="Present",U341),Settings!$B$6,"")),"")</f>
        <v>0.333333333333333</v>
      </c>
      <c r="M341" s="34" t="n">
        <f aca="false">IF(OR(K341="Present",K341="Manual Work",K341="Partial Vacation",K341="Partial Sick Leave"),IF(ISNUMBER(G341),G341,IF(AND(K341="Present",U341),V341,"")),"")</f>
        <v>0.6875</v>
      </c>
      <c r="N341" s="14" t="n">
        <f aca="false">IF(AND(ISNUMBER(L341),ISNUMBER(M341)),MAX(0,(M341-L341)*24),0)</f>
        <v>8.5</v>
      </c>
      <c r="O341" s="14" t="n">
        <f aca="false">IF(NOT(U341),0,IF(K341="Vacation",IF(C341="Eve",Settings!$B$9*Settings!$B$11,W341),IF(K341="Partial Vacation",IF(AND(ISNUMBER(H341),ISNUMBER(I341)),MAX(0,(I341-H341)*24),0),0)))</f>
        <v>0</v>
      </c>
      <c r="P341" s="14" t="n">
        <f aca="false">IF(NOT(U341),0,IF(K341="Sick Leave",W341,IF(K341="Partial Sick Leave",IF(AND(ISNUMBER(H341),ISNUMBER(I341)),MAX(0,(I341-H341)*24),0),0)))</f>
        <v>0</v>
      </c>
      <c r="Q341" s="14" t="n">
        <f aca="false">IF(NOT(U341),0,IF(K341="Vacation",IF(C341="Eve",Settings!$B$11,1),IF(K341="Partial Vacation",O341/Settings!$B$9,0)))</f>
        <v>0</v>
      </c>
      <c r="R341" s="14" t="n">
        <f aca="false">IF(NOT(U341),0,IF(K341="Sick Leave",1,IF(K341="Partial Sick Leave",P341/Settings!$B$9,0)))</f>
        <v>0</v>
      </c>
      <c r="S341" s="35" t="str">
        <f aca="false">IF(AND(OR(E341="Vacation",E341="Sick Leave",E341="Partial Vacation",E341="Partial Sick Leave"),NOT(U341)),"Leave not allowed on this day",IF(AND(E341="Manual Work",OR(NOT(ISNUMBER(F341)),NOT(ISNUMBER(G341)))),"Enter start and end",IF(AND(OR(E341="Partial Vacation",E341="Partial Sick Leave"),OR(NOT(ISNUMBER(H341)),NOT(ISNUMBER(I341)))),"Enter leave from and to",IF(AND(ISNUMBER(F341),ISNUMBER(G341),G341&lt;=F341),"End is before start",IF(AND(ISNUMBER(H341),ISNUMBER(I341),I341&lt;=H341),"Leave end is before start",IF(AND(ISNUMBER(F341),ISNUMBER(G341),ISNUMBER(H341),ISNUMBER(I341),F341&lt;I341,H341&lt;G341),"Work and leave hours overlap",IF(AND(E341&lt;&gt;"",WEEKDAY(A341)=7),"Saturday - administrator only","")))))))</f>
        <v/>
      </c>
      <c r="T341" s="36" t="n">
        <f aca="false">MONTH(A341)</f>
        <v>12</v>
      </c>
      <c r="U341" s="37" t="b">
        <f aca="false">OR(C341="Workday",C341="Eve")</f>
        <v>1</v>
      </c>
      <c r="V341" s="34" t="n">
        <f aca="false">IF(C341="Eve",Settings!$B$8,Settings!$B$7)</f>
        <v>0.6875</v>
      </c>
      <c r="W341" s="14" t="n">
        <f aca="false">IF(U341,(V341-Settings!$B$6)*24,0)</f>
        <v>8.5</v>
      </c>
    </row>
    <row r="342" customFormat="false" ht="15" hidden="false" customHeight="false" outlineLevel="0" collapsed="false">
      <c r="A342" s="29" t="n">
        <v>46358</v>
      </c>
      <c r="B342" s="30" t="str">
        <f aca="false">CHOOSE(WEEKDAY(A342),"Sun","Mon","Tue","Wed","Thu","Fri","Sat")</f>
        <v>Wed</v>
      </c>
      <c r="C342" s="30" t="str">
        <f aca="false">IF(IFERROR(INDEX(Holidays!$D$5:$D$60,MATCH(A342,Holidays!$A$5:$A$60,0)),"")="Holiday","Holiday",IF(WEEKDAY(A342)&gt;=6,"Weekend",IF(IFERROR(INDEX(Holidays!$D$5:$D$60,MATCH(A342,Holidays!$A$5:$A$60,0)),"")="Eve","Eve","Workday")))</f>
        <v>Workday</v>
      </c>
      <c r="D342" s="18" t="str">
        <f aca="false">IFERROR(INDEX(Holidays!$C$5:$C$60,MATCH(A342,Holidays!$A$5:$A$60,0)),"")</f>
        <v/>
      </c>
      <c r="E342" s="31"/>
      <c r="F342" s="32"/>
      <c r="G342" s="32"/>
      <c r="H342" s="32"/>
      <c r="I342" s="32"/>
      <c r="J342" s="31"/>
      <c r="K342" s="33" t="str">
        <f aca="false">IF(E342&lt;&gt;"",E342,IF(U342,"Present",IF(C342="Holiday","Holiday","Weekend")))</f>
        <v>Present</v>
      </c>
      <c r="L342" s="34" t="n">
        <f aca="false">IF(OR(K342="Present",K342="Manual Work",K342="Partial Vacation",K342="Partial Sick Leave"),IF(ISNUMBER(F342),F342,IF(AND(K342="Present",U342),Settings!$B$6,"")),"")</f>
        <v>0.333333333333333</v>
      </c>
      <c r="M342" s="34" t="n">
        <f aca="false">IF(OR(K342="Present",K342="Manual Work",K342="Partial Vacation",K342="Partial Sick Leave"),IF(ISNUMBER(G342),G342,IF(AND(K342="Present",U342),V342,"")),"")</f>
        <v>0.6875</v>
      </c>
      <c r="N342" s="14" t="n">
        <f aca="false">IF(AND(ISNUMBER(L342),ISNUMBER(M342)),MAX(0,(M342-L342)*24),0)</f>
        <v>8.5</v>
      </c>
      <c r="O342" s="14" t="n">
        <f aca="false">IF(NOT(U342),0,IF(K342="Vacation",IF(C342="Eve",Settings!$B$9*Settings!$B$11,W342),IF(K342="Partial Vacation",IF(AND(ISNUMBER(H342),ISNUMBER(I342)),MAX(0,(I342-H342)*24),0),0)))</f>
        <v>0</v>
      </c>
      <c r="P342" s="14" t="n">
        <f aca="false">IF(NOT(U342),0,IF(K342="Sick Leave",W342,IF(K342="Partial Sick Leave",IF(AND(ISNUMBER(H342),ISNUMBER(I342)),MAX(0,(I342-H342)*24),0),0)))</f>
        <v>0</v>
      </c>
      <c r="Q342" s="14" t="n">
        <f aca="false">IF(NOT(U342),0,IF(K342="Vacation",IF(C342="Eve",Settings!$B$11,1),IF(K342="Partial Vacation",O342/Settings!$B$9,0)))</f>
        <v>0</v>
      </c>
      <c r="R342" s="14" t="n">
        <f aca="false">IF(NOT(U342),0,IF(K342="Sick Leave",1,IF(K342="Partial Sick Leave",P342/Settings!$B$9,0)))</f>
        <v>0</v>
      </c>
      <c r="S342" s="35" t="str">
        <f aca="false">IF(AND(OR(E342="Vacation",E342="Sick Leave",E342="Partial Vacation",E342="Partial Sick Leave"),NOT(U342)),"Leave not allowed on this day",IF(AND(E342="Manual Work",OR(NOT(ISNUMBER(F342)),NOT(ISNUMBER(G342)))),"Enter start and end",IF(AND(OR(E342="Partial Vacation",E342="Partial Sick Leave"),OR(NOT(ISNUMBER(H342)),NOT(ISNUMBER(I342)))),"Enter leave from and to",IF(AND(ISNUMBER(F342),ISNUMBER(G342),G342&lt;=F342),"End is before start",IF(AND(ISNUMBER(H342),ISNUMBER(I342),I342&lt;=H342),"Leave end is before start",IF(AND(ISNUMBER(F342),ISNUMBER(G342),ISNUMBER(H342),ISNUMBER(I342),F342&lt;I342,H342&lt;G342),"Work and leave hours overlap",IF(AND(E342&lt;&gt;"",WEEKDAY(A342)=7),"Saturday - administrator only","")))))))</f>
        <v/>
      </c>
      <c r="T342" s="36" t="n">
        <f aca="false">MONTH(A342)</f>
        <v>12</v>
      </c>
      <c r="U342" s="37" t="b">
        <f aca="false">OR(C342="Workday",C342="Eve")</f>
        <v>1</v>
      </c>
      <c r="V342" s="34" t="n">
        <f aca="false">IF(C342="Eve",Settings!$B$8,Settings!$B$7)</f>
        <v>0.6875</v>
      </c>
      <c r="W342" s="14" t="n">
        <f aca="false">IF(U342,(V342-Settings!$B$6)*24,0)</f>
        <v>8.5</v>
      </c>
    </row>
    <row r="343" customFormat="false" ht="15" hidden="false" customHeight="false" outlineLevel="0" collapsed="false">
      <c r="A343" s="29" t="n">
        <v>46359</v>
      </c>
      <c r="B343" s="30" t="str">
        <f aca="false">CHOOSE(WEEKDAY(A343),"Sun","Mon","Tue","Wed","Thu","Fri","Sat")</f>
        <v>Thu</v>
      </c>
      <c r="C343" s="30" t="str">
        <f aca="false">IF(IFERROR(INDEX(Holidays!$D$5:$D$60,MATCH(A343,Holidays!$A$5:$A$60,0)),"")="Holiday","Holiday",IF(WEEKDAY(A343)&gt;=6,"Weekend",IF(IFERROR(INDEX(Holidays!$D$5:$D$60,MATCH(A343,Holidays!$A$5:$A$60,0)),"")="Eve","Eve","Workday")))</f>
        <v>Workday</v>
      </c>
      <c r="D343" s="18" t="str">
        <f aca="false">IFERROR(INDEX(Holidays!$C$5:$C$60,MATCH(A343,Holidays!$A$5:$A$60,0)),"")</f>
        <v/>
      </c>
      <c r="E343" s="31"/>
      <c r="F343" s="32"/>
      <c r="G343" s="32"/>
      <c r="H343" s="32"/>
      <c r="I343" s="32"/>
      <c r="J343" s="31"/>
      <c r="K343" s="33" t="str">
        <f aca="false">IF(E343&lt;&gt;"",E343,IF(U343,"Present",IF(C343="Holiday","Holiday","Weekend")))</f>
        <v>Present</v>
      </c>
      <c r="L343" s="34" t="n">
        <f aca="false">IF(OR(K343="Present",K343="Manual Work",K343="Partial Vacation",K343="Partial Sick Leave"),IF(ISNUMBER(F343),F343,IF(AND(K343="Present",U343),Settings!$B$6,"")),"")</f>
        <v>0.333333333333333</v>
      </c>
      <c r="M343" s="34" t="n">
        <f aca="false">IF(OR(K343="Present",K343="Manual Work",K343="Partial Vacation",K343="Partial Sick Leave"),IF(ISNUMBER(G343),G343,IF(AND(K343="Present",U343),V343,"")),"")</f>
        <v>0.6875</v>
      </c>
      <c r="N343" s="14" t="n">
        <f aca="false">IF(AND(ISNUMBER(L343),ISNUMBER(M343)),MAX(0,(M343-L343)*24),0)</f>
        <v>8.5</v>
      </c>
      <c r="O343" s="14" t="n">
        <f aca="false">IF(NOT(U343),0,IF(K343="Vacation",IF(C343="Eve",Settings!$B$9*Settings!$B$11,W343),IF(K343="Partial Vacation",IF(AND(ISNUMBER(H343),ISNUMBER(I343)),MAX(0,(I343-H343)*24),0),0)))</f>
        <v>0</v>
      </c>
      <c r="P343" s="14" t="n">
        <f aca="false">IF(NOT(U343),0,IF(K343="Sick Leave",W343,IF(K343="Partial Sick Leave",IF(AND(ISNUMBER(H343),ISNUMBER(I343)),MAX(0,(I343-H343)*24),0),0)))</f>
        <v>0</v>
      </c>
      <c r="Q343" s="14" t="n">
        <f aca="false">IF(NOT(U343),0,IF(K343="Vacation",IF(C343="Eve",Settings!$B$11,1),IF(K343="Partial Vacation",O343/Settings!$B$9,0)))</f>
        <v>0</v>
      </c>
      <c r="R343" s="14" t="n">
        <f aca="false">IF(NOT(U343),0,IF(K343="Sick Leave",1,IF(K343="Partial Sick Leave",P343/Settings!$B$9,0)))</f>
        <v>0</v>
      </c>
      <c r="S343" s="35" t="str">
        <f aca="false">IF(AND(OR(E343="Vacation",E343="Sick Leave",E343="Partial Vacation",E343="Partial Sick Leave"),NOT(U343)),"Leave not allowed on this day",IF(AND(E343="Manual Work",OR(NOT(ISNUMBER(F343)),NOT(ISNUMBER(G343)))),"Enter start and end",IF(AND(OR(E343="Partial Vacation",E343="Partial Sick Leave"),OR(NOT(ISNUMBER(H343)),NOT(ISNUMBER(I343)))),"Enter leave from and to",IF(AND(ISNUMBER(F343),ISNUMBER(G343),G343&lt;=F343),"End is before start",IF(AND(ISNUMBER(H343),ISNUMBER(I343),I343&lt;=H343),"Leave end is before start",IF(AND(ISNUMBER(F343),ISNUMBER(G343),ISNUMBER(H343),ISNUMBER(I343),F343&lt;I343,H343&lt;G343),"Work and leave hours overlap",IF(AND(E343&lt;&gt;"",WEEKDAY(A343)=7),"Saturday - administrator only","")))))))</f>
        <v/>
      </c>
      <c r="T343" s="36" t="n">
        <f aca="false">MONTH(A343)</f>
        <v>12</v>
      </c>
      <c r="U343" s="37" t="b">
        <f aca="false">OR(C343="Workday",C343="Eve")</f>
        <v>1</v>
      </c>
      <c r="V343" s="34" t="n">
        <f aca="false">IF(C343="Eve",Settings!$B$8,Settings!$B$7)</f>
        <v>0.6875</v>
      </c>
      <c r="W343" s="14" t="n">
        <f aca="false">IF(U343,(V343-Settings!$B$6)*24,0)</f>
        <v>8.5</v>
      </c>
    </row>
    <row r="344" customFormat="false" ht="15" hidden="false" customHeight="false" outlineLevel="0" collapsed="false">
      <c r="A344" s="29" t="n">
        <v>46360</v>
      </c>
      <c r="B344" s="30" t="str">
        <f aca="false">CHOOSE(WEEKDAY(A344),"Sun","Mon","Tue","Wed","Thu","Fri","Sat")</f>
        <v>Fri</v>
      </c>
      <c r="C344" s="30" t="str">
        <f aca="false">IF(IFERROR(INDEX(Holidays!$D$5:$D$60,MATCH(A344,Holidays!$A$5:$A$60,0)),"")="Holiday","Holiday",IF(WEEKDAY(A344)&gt;=6,"Weekend",IF(IFERROR(INDEX(Holidays!$D$5:$D$60,MATCH(A344,Holidays!$A$5:$A$60,0)),"")="Eve","Eve","Workday")))</f>
        <v>Weekend</v>
      </c>
      <c r="D344" s="18" t="str">
        <f aca="false">IFERROR(INDEX(Holidays!$C$5:$C$60,MATCH(A344,Holidays!$A$5:$A$60,0)),"")</f>
        <v/>
      </c>
      <c r="E344" s="31"/>
      <c r="F344" s="32"/>
      <c r="G344" s="32"/>
      <c r="H344" s="32"/>
      <c r="I344" s="32"/>
      <c r="J344" s="31"/>
      <c r="K344" s="33" t="str">
        <f aca="false">IF(E344&lt;&gt;"",E344,IF(U344,"Present",IF(C344="Holiday","Holiday","Weekend")))</f>
        <v>Weekend</v>
      </c>
      <c r="L344" s="34" t="str">
        <f aca="false">IF(OR(K344="Present",K344="Manual Work",K344="Partial Vacation",K344="Partial Sick Leave"),IF(ISNUMBER(F344),F344,IF(AND(K344="Present",U344),Settings!$B$6,"")),"")</f>
        <v/>
      </c>
      <c r="M344" s="34" t="str">
        <f aca="false">IF(OR(K344="Present",K344="Manual Work",K344="Partial Vacation",K344="Partial Sick Leave"),IF(ISNUMBER(G344),G344,IF(AND(K344="Present",U344),V344,"")),"")</f>
        <v/>
      </c>
      <c r="N344" s="14" t="n">
        <f aca="false">IF(AND(ISNUMBER(L344),ISNUMBER(M344)),MAX(0,(M344-L344)*24),0)</f>
        <v>0</v>
      </c>
      <c r="O344" s="14" t="n">
        <f aca="false">IF(NOT(U344),0,IF(K344="Vacation",IF(C344="Eve",Settings!$B$9*Settings!$B$11,W344),IF(K344="Partial Vacation",IF(AND(ISNUMBER(H344),ISNUMBER(I344)),MAX(0,(I344-H344)*24),0),0)))</f>
        <v>0</v>
      </c>
      <c r="P344" s="14" t="n">
        <f aca="false">IF(NOT(U344),0,IF(K344="Sick Leave",W344,IF(K344="Partial Sick Leave",IF(AND(ISNUMBER(H344),ISNUMBER(I344)),MAX(0,(I344-H344)*24),0),0)))</f>
        <v>0</v>
      </c>
      <c r="Q344" s="14" t="n">
        <f aca="false">IF(NOT(U344),0,IF(K344="Vacation",IF(C344="Eve",Settings!$B$11,1),IF(K344="Partial Vacation",O344/Settings!$B$9,0)))</f>
        <v>0</v>
      </c>
      <c r="R344" s="14" t="n">
        <f aca="false">IF(NOT(U344),0,IF(K344="Sick Leave",1,IF(K344="Partial Sick Leave",P344/Settings!$B$9,0)))</f>
        <v>0</v>
      </c>
      <c r="S344" s="35" t="str">
        <f aca="false">IF(AND(OR(E344="Vacation",E344="Sick Leave",E344="Partial Vacation",E344="Partial Sick Leave"),NOT(U344)),"Leave not allowed on this day",IF(AND(E344="Manual Work",OR(NOT(ISNUMBER(F344)),NOT(ISNUMBER(G344)))),"Enter start and end",IF(AND(OR(E344="Partial Vacation",E344="Partial Sick Leave"),OR(NOT(ISNUMBER(H344)),NOT(ISNUMBER(I344)))),"Enter leave from and to",IF(AND(ISNUMBER(F344),ISNUMBER(G344),G344&lt;=F344),"End is before start",IF(AND(ISNUMBER(H344),ISNUMBER(I344),I344&lt;=H344),"Leave end is before start",IF(AND(ISNUMBER(F344),ISNUMBER(G344),ISNUMBER(H344),ISNUMBER(I344),F344&lt;I344,H344&lt;G344),"Work and leave hours overlap",IF(AND(E344&lt;&gt;"",WEEKDAY(A344)=7),"Saturday - administrator only","")))))))</f>
        <v/>
      </c>
      <c r="T344" s="36" t="n">
        <f aca="false">MONTH(A344)</f>
        <v>12</v>
      </c>
      <c r="U344" s="37" t="b">
        <f aca="false">OR(C344="Workday",C344="Eve")</f>
        <v>0</v>
      </c>
      <c r="V344" s="34" t="n">
        <f aca="false">IF(C344="Eve",Settings!$B$8,Settings!$B$7)</f>
        <v>0.6875</v>
      </c>
      <c r="W344" s="14" t="n">
        <f aca="false">IF(U344,(V344-Settings!$B$6)*24,0)</f>
        <v>0</v>
      </c>
    </row>
    <row r="345" customFormat="false" ht="15" hidden="false" customHeight="false" outlineLevel="0" collapsed="false">
      <c r="A345" s="29" t="n">
        <v>46361</v>
      </c>
      <c r="B345" s="30" t="str">
        <f aca="false">CHOOSE(WEEKDAY(A345),"Sun","Mon","Tue","Wed","Thu","Fri","Sat")</f>
        <v>Sat</v>
      </c>
      <c r="C345" s="30" t="str">
        <f aca="false">IF(IFERROR(INDEX(Holidays!$D$5:$D$60,MATCH(A345,Holidays!$A$5:$A$60,0)),"")="Holiday","Holiday",IF(WEEKDAY(A345)&gt;=6,"Weekend",IF(IFERROR(INDEX(Holidays!$D$5:$D$60,MATCH(A345,Holidays!$A$5:$A$60,0)),"")="Eve","Eve","Workday")))</f>
        <v>Weekend</v>
      </c>
      <c r="D345" s="18" t="str">
        <f aca="false">IFERROR(INDEX(Holidays!$C$5:$C$60,MATCH(A345,Holidays!$A$5:$A$60,0)),"")</f>
        <v/>
      </c>
      <c r="E345" s="31"/>
      <c r="F345" s="32"/>
      <c r="G345" s="32"/>
      <c r="H345" s="32"/>
      <c r="I345" s="32"/>
      <c r="J345" s="31"/>
      <c r="K345" s="33" t="str">
        <f aca="false">IF(E345&lt;&gt;"",E345,IF(U345,"Present",IF(C345="Holiday","Holiday","Weekend")))</f>
        <v>Weekend</v>
      </c>
      <c r="L345" s="34" t="str">
        <f aca="false">IF(OR(K345="Present",K345="Manual Work",K345="Partial Vacation",K345="Partial Sick Leave"),IF(ISNUMBER(F345),F345,IF(AND(K345="Present",U345),Settings!$B$6,"")),"")</f>
        <v/>
      </c>
      <c r="M345" s="34" t="str">
        <f aca="false">IF(OR(K345="Present",K345="Manual Work",K345="Partial Vacation",K345="Partial Sick Leave"),IF(ISNUMBER(G345),G345,IF(AND(K345="Present",U345),V345,"")),"")</f>
        <v/>
      </c>
      <c r="N345" s="14" t="n">
        <f aca="false">IF(AND(ISNUMBER(L345),ISNUMBER(M345)),MAX(0,(M345-L345)*24),0)</f>
        <v>0</v>
      </c>
      <c r="O345" s="14" t="n">
        <f aca="false">IF(NOT(U345),0,IF(K345="Vacation",IF(C345="Eve",Settings!$B$9*Settings!$B$11,W345),IF(K345="Partial Vacation",IF(AND(ISNUMBER(H345),ISNUMBER(I345)),MAX(0,(I345-H345)*24),0),0)))</f>
        <v>0</v>
      </c>
      <c r="P345" s="14" t="n">
        <f aca="false">IF(NOT(U345),0,IF(K345="Sick Leave",W345,IF(K345="Partial Sick Leave",IF(AND(ISNUMBER(H345),ISNUMBER(I345)),MAX(0,(I345-H345)*24),0),0)))</f>
        <v>0</v>
      </c>
      <c r="Q345" s="14" t="n">
        <f aca="false">IF(NOT(U345),0,IF(K345="Vacation",IF(C345="Eve",Settings!$B$11,1),IF(K345="Partial Vacation",O345/Settings!$B$9,0)))</f>
        <v>0</v>
      </c>
      <c r="R345" s="14" t="n">
        <f aca="false">IF(NOT(U345),0,IF(K345="Sick Leave",1,IF(K345="Partial Sick Leave",P345/Settings!$B$9,0)))</f>
        <v>0</v>
      </c>
      <c r="S345" s="35" t="str">
        <f aca="false">IF(AND(OR(E345="Vacation",E345="Sick Leave",E345="Partial Vacation",E345="Partial Sick Leave"),NOT(U345)),"Leave not allowed on this day",IF(AND(E345="Manual Work",OR(NOT(ISNUMBER(F345)),NOT(ISNUMBER(G345)))),"Enter start and end",IF(AND(OR(E345="Partial Vacation",E345="Partial Sick Leave"),OR(NOT(ISNUMBER(H345)),NOT(ISNUMBER(I345)))),"Enter leave from and to",IF(AND(ISNUMBER(F345),ISNUMBER(G345),G345&lt;=F345),"End is before start",IF(AND(ISNUMBER(H345),ISNUMBER(I345),I345&lt;=H345),"Leave end is before start",IF(AND(ISNUMBER(F345),ISNUMBER(G345),ISNUMBER(H345),ISNUMBER(I345),F345&lt;I345,H345&lt;G345),"Work and leave hours overlap",IF(AND(E345&lt;&gt;"",WEEKDAY(A345)=7),"Saturday - administrator only","")))))))</f>
        <v/>
      </c>
      <c r="T345" s="36" t="n">
        <f aca="false">MONTH(A345)</f>
        <v>12</v>
      </c>
      <c r="U345" s="37" t="b">
        <f aca="false">OR(C345="Workday",C345="Eve")</f>
        <v>0</v>
      </c>
      <c r="V345" s="34" t="n">
        <f aca="false">IF(C345="Eve",Settings!$B$8,Settings!$B$7)</f>
        <v>0.6875</v>
      </c>
      <c r="W345" s="14" t="n">
        <f aca="false">IF(U345,(V345-Settings!$B$6)*24,0)</f>
        <v>0</v>
      </c>
    </row>
    <row r="346" customFormat="false" ht="15" hidden="false" customHeight="false" outlineLevel="0" collapsed="false">
      <c r="A346" s="29" t="n">
        <v>46362</v>
      </c>
      <c r="B346" s="30" t="str">
        <f aca="false">CHOOSE(WEEKDAY(A346),"Sun","Mon","Tue","Wed","Thu","Fri","Sat")</f>
        <v>Sun</v>
      </c>
      <c r="C346" s="30" t="str">
        <f aca="false">IF(IFERROR(INDEX(Holidays!$D$5:$D$60,MATCH(A346,Holidays!$A$5:$A$60,0)),"")="Holiday","Holiday",IF(WEEKDAY(A346)&gt;=6,"Weekend",IF(IFERROR(INDEX(Holidays!$D$5:$D$60,MATCH(A346,Holidays!$A$5:$A$60,0)),"")="Eve","Eve","Workday")))</f>
        <v>Workday</v>
      </c>
      <c r="D346" s="18" t="str">
        <f aca="false">IFERROR(INDEX(Holidays!$C$5:$C$60,MATCH(A346,Holidays!$A$5:$A$60,0)),"")</f>
        <v/>
      </c>
      <c r="E346" s="31"/>
      <c r="F346" s="32"/>
      <c r="G346" s="32"/>
      <c r="H346" s="32"/>
      <c r="I346" s="32"/>
      <c r="J346" s="31"/>
      <c r="K346" s="33" t="str">
        <f aca="false">IF(E346&lt;&gt;"",E346,IF(U346,"Present",IF(C346="Holiday","Holiday","Weekend")))</f>
        <v>Present</v>
      </c>
      <c r="L346" s="34" t="n">
        <f aca="false">IF(OR(K346="Present",K346="Manual Work",K346="Partial Vacation",K346="Partial Sick Leave"),IF(ISNUMBER(F346),F346,IF(AND(K346="Present",U346),Settings!$B$6,"")),"")</f>
        <v>0.333333333333333</v>
      </c>
      <c r="M346" s="34" t="n">
        <f aca="false">IF(OR(K346="Present",K346="Manual Work",K346="Partial Vacation",K346="Partial Sick Leave"),IF(ISNUMBER(G346),G346,IF(AND(K346="Present",U346),V346,"")),"")</f>
        <v>0.6875</v>
      </c>
      <c r="N346" s="14" t="n">
        <f aca="false">IF(AND(ISNUMBER(L346),ISNUMBER(M346)),MAX(0,(M346-L346)*24),0)</f>
        <v>8.5</v>
      </c>
      <c r="O346" s="14" t="n">
        <f aca="false">IF(NOT(U346),0,IF(K346="Vacation",IF(C346="Eve",Settings!$B$9*Settings!$B$11,W346),IF(K346="Partial Vacation",IF(AND(ISNUMBER(H346),ISNUMBER(I346)),MAX(0,(I346-H346)*24),0),0)))</f>
        <v>0</v>
      </c>
      <c r="P346" s="14" t="n">
        <f aca="false">IF(NOT(U346),0,IF(K346="Sick Leave",W346,IF(K346="Partial Sick Leave",IF(AND(ISNUMBER(H346),ISNUMBER(I346)),MAX(0,(I346-H346)*24),0),0)))</f>
        <v>0</v>
      </c>
      <c r="Q346" s="14" t="n">
        <f aca="false">IF(NOT(U346),0,IF(K346="Vacation",IF(C346="Eve",Settings!$B$11,1),IF(K346="Partial Vacation",O346/Settings!$B$9,0)))</f>
        <v>0</v>
      </c>
      <c r="R346" s="14" t="n">
        <f aca="false">IF(NOT(U346),0,IF(K346="Sick Leave",1,IF(K346="Partial Sick Leave",P346/Settings!$B$9,0)))</f>
        <v>0</v>
      </c>
      <c r="S346" s="35" t="str">
        <f aca="false">IF(AND(OR(E346="Vacation",E346="Sick Leave",E346="Partial Vacation",E346="Partial Sick Leave"),NOT(U346)),"Leave not allowed on this day",IF(AND(E346="Manual Work",OR(NOT(ISNUMBER(F346)),NOT(ISNUMBER(G346)))),"Enter start and end",IF(AND(OR(E346="Partial Vacation",E346="Partial Sick Leave"),OR(NOT(ISNUMBER(H346)),NOT(ISNUMBER(I346)))),"Enter leave from and to",IF(AND(ISNUMBER(F346),ISNUMBER(G346),G346&lt;=F346),"End is before start",IF(AND(ISNUMBER(H346),ISNUMBER(I346),I346&lt;=H346),"Leave end is before start",IF(AND(ISNUMBER(F346),ISNUMBER(G346),ISNUMBER(H346),ISNUMBER(I346),F346&lt;I346,H346&lt;G346),"Work and leave hours overlap",IF(AND(E346&lt;&gt;"",WEEKDAY(A346)=7),"Saturday - administrator only","")))))))</f>
        <v/>
      </c>
      <c r="T346" s="36" t="n">
        <f aca="false">MONTH(A346)</f>
        <v>12</v>
      </c>
      <c r="U346" s="37" t="b">
        <f aca="false">OR(C346="Workday",C346="Eve")</f>
        <v>1</v>
      </c>
      <c r="V346" s="34" t="n">
        <f aca="false">IF(C346="Eve",Settings!$B$8,Settings!$B$7)</f>
        <v>0.6875</v>
      </c>
      <c r="W346" s="14" t="n">
        <f aca="false">IF(U346,(V346-Settings!$B$6)*24,0)</f>
        <v>8.5</v>
      </c>
    </row>
    <row r="347" customFormat="false" ht="15" hidden="false" customHeight="false" outlineLevel="0" collapsed="false">
      <c r="A347" s="29" t="n">
        <v>46363</v>
      </c>
      <c r="B347" s="30" t="str">
        <f aca="false">CHOOSE(WEEKDAY(A347),"Sun","Mon","Tue","Wed","Thu","Fri","Sat")</f>
        <v>Mon</v>
      </c>
      <c r="C347" s="30" t="str">
        <f aca="false">IF(IFERROR(INDEX(Holidays!$D$5:$D$60,MATCH(A347,Holidays!$A$5:$A$60,0)),"")="Holiday","Holiday",IF(WEEKDAY(A347)&gt;=6,"Weekend",IF(IFERROR(INDEX(Holidays!$D$5:$D$60,MATCH(A347,Holidays!$A$5:$A$60,0)),"")="Eve","Eve","Workday")))</f>
        <v>Workday</v>
      </c>
      <c r="D347" s="18" t="str">
        <f aca="false">IFERROR(INDEX(Holidays!$C$5:$C$60,MATCH(A347,Holidays!$A$5:$A$60,0)),"")</f>
        <v/>
      </c>
      <c r="E347" s="31"/>
      <c r="F347" s="32"/>
      <c r="G347" s="32"/>
      <c r="H347" s="32"/>
      <c r="I347" s="32"/>
      <c r="J347" s="31"/>
      <c r="K347" s="33" t="str">
        <f aca="false">IF(E347&lt;&gt;"",E347,IF(U347,"Present",IF(C347="Holiday","Holiday","Weekend")))</f>
        <v>Present</v>
      </c>
      <c r="L347" s="34" t="n">
        <f aca="false">IF(OR(K347="Present",K347="Manual Work",K347="Partial Vacation",K347="Partial Sick Leave"),IF(ISNUMBER(F347),F347,IF(AND(K347="Present",U347),Settings!$B$6,"")),"")</f>
        <v>0.333333333333333</v>
      </c>
      <c r="M347" s="34" t="n">
        <f aca="false">IF(OR(K347="Present",K347="Manual Work",K347="Partial Vacation",K347="Partial Sick Leave"),IF(ISNUMBER(G347),G347,IF(AND(K347="Present",U347),V347,"")),"")</f>
        <v>0.6875</v>
      </c>
      <c r="N347" s="14" t="n">
        <f aca="false">IF(AND(ISNUMBER(L347),ISNUMBER(M347)),MAX(0,(M347-L347)*24),0)</f>
        <v>8.5</v>
      </c>
      <c r="O347" s="14" t="n">
        <f aca="false">IF(NOT(U347),0,IF(K347="Vacation",IF(C347="Eve",Settings!$B$9*Settings!$B$11,W347),IF(K347="Partial Vacation",IF(AND(ISNUMBER(H347),ISNUMBER(I347)),MAX(0,(I347-H347)*24),0),0)))</f>
        <v>0</v>
      </c>
      <c r="P347" s="14" t="n">
        <f aca="false">IF(NOT(U347),0,IF(K347="Sick Leave",W347,IF(K347="Partial Sick Leave",IF(AND(ISNUMBER(H347),ISNUMBER(I347)),MAX(0,(I347-H347)*24),0),0)))</f>
        <v>0</v>
      </c>
      <c r="Q347" s="14" t="n">
        <f aca="false">IF(NOT(U347),0,IF(K347="Vacation",IF(C347="Eve",Settings!$B$11,1),IF(K347="Partial Vacation",O347/Settings!$B$9,0)))</f>
        <v>0</v>
      </c>
      <c r="R347" s="14" t="n">
        <f aca="false">IF(NOT(U347),0,IF(K347="Sick Leave",1,IF(K347="Partial Sick Leave",P347/Settings!$B$9,0)))</f>
        <v>0</v>
      </c>
      <c r="S347" s="35" t="str">
        <f aca="false">IF(AND(OR(E347="Vacation",E347="Sick Leave",E347="Partial Vacation",E347="Partial Sick Leave"),NOT(U347)),"Leave not allowed on this day",IF(AND(E347="Manual Work",OR(NOT(ISNUMBER(F347)),NOT(ISNUMBER(G347)))),"Enter start and end",IF(AND(OR(E347="Partial Vacation",E347="Partial Sick Leave"),OR(NOT(ISNUMBER(H347)),NOT(ISNUMBER(I347)))),"Enter leave from and to",IF(AND(ISNUMBER(F347),ISNUMBER(G347),G347&lt;=F347),"End is before start",IF(AND(ISNUMBER(H347),ISNUMBER(I347),I347&lt;=H347),"Leave end is before start",IF(AND(ISNUMBER(F347),ISNUMBER(G347),ISNUMBER(H347),ISNUMBER(I347),F347&lt;I347,H347&lt;G347),"Work and leave hours overlap",IF(AND(E347&lt;&gt;"",WEEKDAY(A347)=7),"Saturday - administrator only","")))))))</f>
        <v/>
      </c>
      <c r="T347" s="36" t="n">
        <f aca="false">MONTH(A347)</f>
        <v>12</v>
      </c>
      <c r="U347" s="37" t="b">
        <f aca="false">OR(C347="Workday",C347="Eve")</f>
        <v>1</v>
      </c>
      <c r="V347" s="34" t="n">
        <f aca="false">IF(C347="Eve",Settings!$B$8,Settings!$B$7)</f>
        <v>0.6875</v>
      </c>
      <c r="W347" s="14" t="n">
        <f aca="false">IF(U347,(V347-Settings!$B$6)*24,0)</f>
        <v>8.5</v>
      </c>
    </row>
    <row r="348" customFormat="false" ht="15" hidden="false" customHeight="false" outlineLevel="0" collapsed="false">
      <c r="A348" s="29" t="n">
        <v>46364</v>
      </c>
      <c r="B348" s="30" t="str">
        <f aca="false">CHOOSE(WEEKDAY(A348),"Sun","Mon","Tue","Wed","Thu","Fri","Sat")</f>
        <v>Tue</v>
      </c>
      <c r="C348" s="30" t="str">
        <f aca="false">IF(IFERROR(INDEX(Holidays!$D$5:$D$60,MATCH(A348,Holidays!$A$5:$A$60,0)),"")="Holiday","Holiday",IF(WEEKDAY(A348)&gt;=6,"Weekend",IF(IFERROR(INDEX(Holidays!$D$5:$D$60,MATCH(A348,Holidays!$A$5:$A$60,0)),"")="Eve","Eve","Workday")))</f>
        <v>Workday</v>
      </c>
      <c r="D348" s="18" t="str">
        <f aca="false">IFERROR(INDEX(Holidays!$C$5:$C$60,MATCH(A348,Holidays!$A$5:$A$60,0)),"")</f>
        <v/>
      </c>
      <c r="E348" s="31"/>
      <c r="F348" s="32"/>
      <c r="G348" s="32"/>
      <c r="H348" s="32"/>
      <c r="I348" s="32"/>
      <c r="J348" s="31"/>
      <c r="K348" s="33" t="str">
        <f aca="false">IF(E348&lt;&gt;"",E348,IF(U348,"Present",IF(C348="Holiday","Holiday","Weekend")))</f>
        <v>Present</v>
      </c>
      <c r="L348" s="34" t="n">
        <f aca="false">IF(OR(K348="Present",K348="Manual Work",K348="Partial Vacation",K348="Partial Sick Leave"),IF(ISNUMBER(F348),F348,IF(AND(K348="Present",U348),Settings!$B$6,"")),"")</f>
        <v>0.333333333333333</v>
      </c>
      <c r="M348" s="34" t="n">
        <f aca="false">IF(OR(K348="Present",K348="Manual Work",K348="Partial Vacation",K348="Partial Sick Leave"),IF(ISNUMBER(G348),G348,IF(AND(K348="Present",U348),V348,"")),"")</f>
        <v>0.6875</v>
      </c>
      <c r="N348" s="14" t="n">
        <f aca="false">IF(AND(ISNUMBER(L348),ISNUMBER(M348)),MAX(0,(M348-L348)*24),0)</f>
        <v>8.5</v>
      </c>
      <c r="O348" s="14" t="n">
        <f aca="false">IF(NOT(U348),0,IF(K348="Vacation",IF(C348="Eve",Settings!$B$9*Settings!$B$11,W348),IF(K348="Partial Vacation",IF(AND(ISNUMBER(H348),ISNUMBER(I348)),MAX(0,(I348-H348)*24),0),0)))</f>
        <v>0</v>
      </c>
      <c r="P348" s="14" t="n">
        <f aca="false">IF(NOT(U348),0,IF(K348="Sick Leave",W348,IF(K348="Partial Sick Leave",IF(AND(ISNUMBER(H348),ISNUMBER(I348)),MAX(0,(I348-H348)*24),0),0)))</f>
        <v>0</v>
      </c>
      <c r="Q348" s="14" t="n">
        <f aca="false">IF(NOT(U348),0,IF(K348="Vacation",IF(C348="Eve",Settings!$B$11,1),IF(K348="Partial Vacation",O348/Settings!$B$9,0)))</f>
        <v>0</v>
      </c>
      <c r="R348" s="14" t="n">
        <f aca="false">IF(NOT(U348),0,IF(K348="Sick Leave",1,IF(K348="Partial Sick Leave",P348/Settings!$B$9,0)))</f>
        <v>0</v>
      </c>
      <c r="S348" s="35" t="str">
        <f aca="false">IF(AND(OR(E348="Vacation",E348="Sick Leave",E348="Partial Vacation",E348="Partial Sick Leave"),NOT(U348)),"Leave not allowed on this day",IF(AND(E348="Manual Work",OR(NOT(ISNUMBER(F348)),NOT(ISNUMBER(G348)))),"Enter start and end",IF(AND(OR(E348="Partial Vacation",E348="Partial Sick Leave"),OR(NOT(ISNUMBER(H348)),NOT(ISNUMBER(I348)))),"Enter leave from and to",IF(AND(ISNUMBER(F348),ISNUMBER(G348),G348&lt;=F348),"End is before start",IF(AND(ISNUMBER(H348),ISNUMBER(I348),I348&lt;=H348),"Leave end is before start",IF(AND(ISNUMBER(F348),ISNUMBER(G348),ISNUMBER(H348),ISNUMBER(I348),F348&lt;I348,H348&lt;G348),"Work and leave hours overlap",IF(AND(E348&lt;&gt;"",WEEKDAY(A348)=7),"Saturday - administrator only","")))))))</f>
        <v/>
      </c>
      <c r="T348" s="36" t="n">
        <f aca="false">MONTH(A348)</f>
        <v>12</v>
      </c>
      <c r="U348" s="37" t="b">
        <f aca="false">OR(C348="Workday",C348="Eve")</f>
        <v>1</v>
      </c>
      <c r="V348" s="34" t="n">
        <f aca="false">IF(C348="Eve",Settings!$B$8,Settings!$B$7)</f>
        <v>0.6875</v>
      </c>
      <c r="W348" s="14" t="n">
        <f aca="false">IF(U348,(V348-Settings!$B$6)*24,0)</f>
        <v>8.5</v>
      </c>
    </row>
    <row r="349" customFormat="false" ht="15" hidden="false" customHeight="false" outlineLevel="0" collapsed="false">
      <c r="A349" s="29" t="n">
        <v>46365</v>
      </c>
      <c r="B349" s="30" t="str">
        <f aca="false">CHOOSE(WEEKDAY(A349),"Sun","Mon","Tue","Wed","Thu","Fri","Sat")</f>
        <v>Wed</v>
      </c>
      <c r="C349" s="30" t="str">
        <f aca="false">IF(IFERROR(INDEX(Holidays!$D$5:$D$60,MATCH(A349,Holidays!$A$5:$A$60,0)),"")="Holiday","Holiday",IF(WEEKDAY(A349)&gt;=6,"Weekend",IF(IFERROR(INDEX(Holidays!$D$5:$D$60,MATCH(A349,Holidays!$A$5:$A$60,0)),"")="Eve","Eve","Workday")))</f>
        <v>Workday</v>
      </c>
      <c r="D349" s="18" t="str">
        <f aca="false">IFERROR(INDEX(Holidays!$C$5:$C$60,MATCH(A349,Holidays!$A$5:$A$60,0)),"")</f>
        <v/>
      </c>
      <c r="E349" s="31"/>
      <c r="F349" s="32"/>
      <c r="G349" s="32"/>
      <c r="H349" s="32"/>
      <c r="I349" s="32"/>
      <c r="J349" s="31"/>
      <c r="K349" s="33" t="str">
        <f aca="false">IF(E349&lt;&gt;"",E349,IF(U349,"Present",IF(C349="Holiday","Holiday","Weekend")))</f>
        <v>Present</v>
      </c>
      <c r="L349" s="34" t="n">
        <f aca="false">IF(OR(K349="Present",K349="Manual Work",K349="Partial Vacation",K349="Partial Sick Leave"),IF(ISNUMBER(F349),F349,IF(AND(K349="Present",U349),Settings!$B$6,"")),"")</f>
        <v>0.333333333333333</v>
      </c>
      <c r="M349" s="34" t="n">
        <f aca="false">IF(OR(K349="Present",K349="Manual Work",K349="Partial Vacation",K349="Partial Sick Leave"),IF(ISNUMBER(G349),G349,IF(AND(K349="Present",U349),V349,"")),"")</f>
        <v>0.6875</v>
      </c>
      <c r="N349" s="14" t="n">
        <f aca="false">IF(AND(ISNUMBER(L349),ISNUMBER(M349)),MAX(0,(M349-L349)*24),0)</f>
        <v>8.5</v>
      </c>
      <c r="O349" s="14" t="n">
        <f aca="false">IF(NOT(U349),0,IF(K349="Vacation",IF(C349="Eve",Settings!$B$9*Settings!$B$11,W349),IF(K349="Partial Vacation",IF(AND(ISNUMBER(H349),ISNUMBER(I349)),MAX(0,(I349-H349)*24),0),0)))</f>
        <v>0</v>
      </c>
      <c r="P349" s="14" t="n">
        <f aca="false">IF(NOT(U349),0,IF(K349="Sick Leave",W349,IF(K349="Partial Sick Leave",IF(AND(ISNUMBER(H349),ISNUMBER(I349)),MAX(0,(I349-H349)*24),0),0)))</f>
        <v>0</v>
      </c>
      <c r="Q349" s="14" t="n">
        <f aca="false">IF(NOT(U349),0,IF(K349="Vacation",IF(C349="Eve",Settings!$B$11,1),IF(K349="Partial Vacation",O349/Settings!$B$9,0)))</f>
        <v>0</v>
      </c>
      <c r="R349" s="14" t="n">
        <f aca="false">IF(NOT(U349),0,IF(K349="Sick Leave",1,IF(K349="Partial Sick Leave",P349/Settings!$B$9,0)))</f>
        <v>0</v>
      </c>
      <c r="S349" s="35" t="str">
        <f aca="false">IF(AND(OR(E349="Vacation",E349="Sick Leave",E349="Partial Vacation",E349="Partial Sick Leave"),NOT(U349)),"Leave not allowed on this day",IF(AND(E349="Manual Work",OR(NOT(ISNUMBER(F349)),NOT(ISNUMBER(G349)))),"Enter start and end",IF(AND(OR(E349="Partial Vacation",E349="Partial Sick Leave"),OR(NOT(ISNUMBER(H349)),NOT(ISNUMBER(I349)))),"Enter leave from and to",IF(AND(ISNUMBER(F349),ISNUMBER(G349),G349&lt;=F349),"End is before start",IF(AND(ISNUMBER(H349),ISNUMBER(I349),I349&lt;=H349),"Leave end is before start",IF(AND(ISNUMBER(F349),ISNUMBER(G349),ISNUMBER(H349),ISNUMBER(I349),F349&lt;I349,H349&lt;G349),"Work and leave hours overlap",IF(AND(E349&lt;&gt;"",WEEKDAY(A349)=7),"Saturday - administrator only","")))))))</f>
        <v/>
      </c>
      <c r="T349" s="36" t="n">
        <f aca="false">MONTH(A349)</f>
        <v>12</v>
      </c>
      <c r="U349" s="37" t="b">
        <f aca="false">OR(C349="Workday",C349="Eve")</f>
        <v>1</v>
      </c>
      <c r="V349" s="34" t="n">
        <f aca="false">IF(C349="Eve",Settings!$B$8,Settings!$B$7)</f>
        <v>0.6875</v>
      </c>
      <c r="W349" s="14" t="n">
        <f aca="false">IF(U349,(V349-Settings!$B$6)*24,0)</f>
        <v>8.5</v>
      </c>
    </row>
    <row r="350" customFormat="false" ht="15" hidden="false" customHeight="false" outlineLevel="0" collapsed="false">
      <c r="A350" s="29" t="n">
        <v>46366</v>
      </c>
      <c r="B350" s="30" t="str">
        <f aca="false">CHOOSE(WEEKDAY(A350),"Sun","Mon","Tue","Wed","Thu","Fri","Sat")</f>
        <v>Thu</v>
      </c>
      <c r="C350" s="30" t="str">
        <f aca="false">IF(IFERROR(INDEX(Holidays!$D$5:$D$60,MATCH(A350,Holidays!$A$5:$A$60,0)),"")="Holiday","Holiday",IF(WEEKDAY(A350)&gt;=6,"Weekend",IF(IFERROR(INDEX(Holidays!$D$5:$D$60,MATCH(A350,Holidays!$A$5:$A$60,0)),"")="Eve","Eve","Workday")))</f>
        <v>Workday</v>
      </c>
      <c r="D350" s="18" t="str">
        <f aca="false">IFERROR(INDEX(Holidays!$C$5:$C$60,MATCH(A350,Holidays!$A$5:$A$60,0)),"")</f>
        <v/>
      </c>
      <c r="E350" s="31"/>
      <c r="F350" s="32"/>
      <c r="G350" s="32"/>
      <c r="H350" s="32"/>
      <c r="I350" s="32"/>
      <c r="J350" s="31"/>
      <c r="K350" s="33" t="str">
        <f aca="false">IF(E350&lt;&gt;"",E350,IF(U350,"Present",IF(C350="Holiday","Holiday","Weekend")))</f>
        <v>Present</v>
      </c>
      <c r="L350" s="34" t="n">
        <f aca="false">IF(OR(K350="Present",K350="Manual Work",K350="Partial Vacation",K350="Partial Sick Leave"),IF(ISNUMBER(F350),F350,IF(AND(K350="Present",U350),Settings!$B$6,"")),"")</f>
        <v>0.333333333333333</v>
      </c>
      <c r="M350" s="34" t="n">
        <f aca="false">IF(OR(K350="Present",K350="Manual Work",K350="Partial Vacation",K350="Partial Sick Leave"),IF(ISNUMBER(G350),G350,IF(AND(K350="Present",U350),V350,"")),"")</f>
        <v>0.6875</v>
      </c>
      <c r="N350" s="14" t="n">
        <f aca="false">IF(AND(ISNUMBER(L350),ISNUMBER(M350)),MAX(0,(M350-L350)*24),0)</f>
        <v>8.5</v>
      </c>
      <c r="O350" s="14" t="n">
        <f aca="false">IF(NOT(U350),0,IF(K350="Vacation",IF(C350="Eve",Settings!$B$9*Settings!$B$11,W350),IF(K350="Partial Vacation",IF(AND(ISNUMBER(H350),ISNUMBER(I350)),MAX(0,(I350-H350)*24),0),0)))</f>
        <v>0</v>
      </c>
      <c r="P350" s="14" t="n">
        <f aca="false">IF(NOT(U350),0,IF(K350="Sick Leave",W350,IF(K350="Partial Sick Leave",IF(AND(ISNUMBER(H350),ISNUMBER(I350)),MAX(0,(I350-H350)*24),0),0)))</f>
        <v>0</v>
      </c>
      <c r="Q350" s="14" t="n">
        <f aca="false">IF(NOT(U350),0,IF(K350="Vacation",IF(C350="Eve",Settings!$B$11,1),IF(K350="Partial Vacation",O350/Settings!$B$9,0)))</f>
        <v>0</v>
      </c>
      <c r="R350" s="14" t="n">
        <f aca="false">IF(NOT(U350),0,IF(K350="Sick Leave",1,IF(K350="Partial Sick Leave",P350/Settings!$B$9,0)))</f>
        <v>0</v>
      </c>
      <c r="S350" s="35" t="str">
        <f aca="false">IF(AND(OR(E350="Vacation",E350="Sick Leave",E350="Partial Vacation",E350="Partial Sick Leave"),NOT(U350)),"Leave not allowed on this day",IF(AND(E350="Manual Work",OR(NOT(ISNUMBER(F350)),NOT(ISNUMBER(G350)))),"Enter start and end",IF(AND(OR(E350="Partial Vacation",E350="Partial Sick Leave"),OR(NOT(ISNUMBER(H350)),NOT(ISNUMBER(I350)))),"Enter leave from and to",IF(AND(ISNUMBER(F350),ISNUMBER(G350),G350&lt;=F350),"End is before start",IF(AND(ISNUMBER(H350),ISNUMBER(I350),I350&lt;=H350),"Leave end is before start",IF(AND(ISNUMBER(F350),ISNUMBER(G350),ISNUMBER(H350),ISNUMBER(I350),F350&lt;I350,H350&lt;G350),"Work and leave hours overlap",IF(AND(E350&lt;&gt;"",WEEKDAY(A350)=7),"Saturday - administrator only","")))))))</f>
        <v/>
      </c>
      <c r="T350" s="36" t="n">
        <f aca="false">MONTH(A350)</f>
        <v>12</v>
      </c>
      <c r="U350" s="37" t="b">
        <f aca="false">OR(C350="Workday",C350="Eve")</f>
        <v>1</v>
      </c>
      <c r="V350" s="34" t="n">
        <f aca="false">IF(C350="Eve",Settings!$B$8,Settings!$B$7)</f>
        <v>0.6875</v>
      </c>
      <c r="W350" s="14" t="n">
        <f aca="false">IF(U350,(V350-Settings!$B$6)*24,0)</f>
        <v>8.5</v>
      </c>
    </row>
    <row r="351" customFormat="false" ht="15" hidden="false" customHeight="false" outlineLevel="0" collapsed="false">
      <c r="A351" s="29" t="n">
        <v>46367</v>
      </c>
      <c r="B351" s="30" t="str">
        <f aca="false">CHOOSE(WEEKDAY(A351),"Sun","Mon","Tue","Wed","Thu","Fri","Sat")</f>
        <v>Fri</v>
      </c>
      <c r="C351" s="30" t="str">
        <f aca="false">IF(IFERROR(INDEX(Holidays!$D$5:$D$60,MATCH(A351,Holidays!$A$5:$A$60,0)),"")="Holiday","Holiday",IF(WEEKDAY(A351)&gt;=6,"Weekend",IF(IFERROR(INDEX(Holidays!$D$5:$D$60,MATCH(A351,Holidays!$A$5:$A$60,0)),"")="Eve","Eve","Workday")))</f>
        <v>Weekend</v>
      </c>
      <c r="D351" s="18" t="str">
        <f aca="false">IFERROR(INDEX(Holidays!$C$5:$C$60,MATCH(A351,Holidays!$A$5:$A$60,0)),"")</f>
        <v/>
      </c>
      <c r="E351" s="31"/>
      <c r="F351" s="32"/>
      <c r="G351" s="32"/>
      <c r="H351" s="32"/>
      <c r="I351" s="32"/>
      <c r="J351" s="31"/>
      <c r="K351" s="33" t="str">
        <f aca="false">IF(E351&lt;&gt;"",E351,IF(U351,"Present",IF(C351="Holiday","Holiday","Weekend")))</f>
        <v>Weekend</v>
      </c>
      <c r="L351" s="34" t="str">
        <f aca="false">IF(OR(K351="Present",K351="Manual Work",K351="Partial Vacation",K351="Partial Sick Leave"),IF(ISNUMBER(F351),F351,IF(AND(K351="Present",U351),Settings!$B$6,"")),"")</f>
        <v/>
      </c>
      <c r="M351" s="34" t="str">
        <f aca="false">IF(OR(K351="Present",K351="Manual Work",K351="Partial Vacation",K351="Partial Sick Leave"),IF(ISNUMBER(G351),G351,IF(AND(K351="Present",U351),V351,"")),"")</f>
        <v/>
      </c>
      <c r="N351" s="14" t="n">
        <f aca="false">IF(AND(ISNUMBER(L351),ISNUMBER(M351)),MAX(0,(M351-L351)*24),0)</f>
        <v>0</v>
      </c>
      <c r="O351" s="14" t="n">
        <f aca="false">IF(NOT(U351),0,IF(K351="Vacation",IF(C351="Eve",Settings!$B$9*Settings!$B$11,W351),IF(K351="Partial Vacation",IF(AND(ISNUMBER(H351),ISNUMBER(I351)),MAX(0,(I351-H351)*24),0),0)))</f>
        <v>0</v>
      </c>
      <c r="P351" s="14" t="n">
        <f aca="false">IF(NOT(U351),0,IF(K351="Sick Leave",W351,IF(K351="Partial Sick Leave",IF(AND(ISNUMBER(H351),ISNUMBER(I351)),MAX(0,(I351-H351)*24),0),0)))</f>
        <v>0</v>
      </c>
      <c r="Q351" s="14" t="n">
        <f aca="false">IF(NOT(U351),0,IF(K351="Vacation",IF(C351="Eve",Settings!$B$11,1),IF(K351="Partial Vacation",O351/Settings!$B$9,0)))</f>
        <v>0</v>
      </c>
      <c r="R351" s="14" t="n">
        <f aca="false">IF(NOT(U351),0,IF(K351="Sick Leave",1,IF(K351="Partial Sick Leave",P351/Settings!$B$9,0)))</f>
        <v>0</v>
      </c>
      <c r="S351" s="35" t="str">
        <f aca="false">IF(AND(OR(E351="Vacation",E351="Sick Leave",E351="Partial Vacation",E351="Partial Sick Leave"),NOT(U351)),"Leave not allowed on this day",IF(AND(E351="Manual Work",OR(NOT(ISNUMBER(F351)),NOT(ISNUMBER(G351)))),"Enter start and end",IF(AND(OR(E351="Partial Vacation",E351="Partial Sick Leave"),OR(NOT(ISNUMBER(H351)),NOT(ISNUMBER(I351)))),"Enter leave from and to",IF(AND(ISNUMBER(F351),ISNUMBER(G351),G351&lt;=F351),"End is before start",IF(AND(ISNUMBER(H351),ISNUMBER(I351),I351&lt;=H351),"Leave end is before start",IF(AND(ISNUMBER(F351),ISNUMBER(G351),ISNUMBER(H351),ISNUMBER(I351),F351&lt;I351,H351&lt;G351),"Work and leave hours overlap",IF(AND(E351&lt;&gt;"",WEEKDAY(A351)=7),"Saturday - administrator only","")))))))</f>
        <v/>
      </c>
      <c r="T351" s="36" t="n">
        <f aca="false">MONTH(A351)</f>
        <v>12</v>
      </c>
      <c r="U351" s="37" t="b">
        <f aca="false">OR(C351="Workday",C351="Eve")</f>
        <v>0</v>
      </c>
      <c r="V351" s="34" t="n">
        <f aca="false">IF(C351="Eve",Settings!$B$8,Settings!$B$7)</f>
        <v>0.6875</v>
      </c>
      <c r="W351" s="14" t="n">
        <f aca="false">IF(U351,(V351-Settings!$B$6)*24,0)</f>
        <v>0</v>
      </c>
    </row>
    <row r="352" customFormat="false" ht="15" hidden="false" customHeight="false" outlineLevel="0" collapsed="false">
      <c r="A352" s="29" t="n">
        <v>46368</v>
      </c>
      <c r="B352" s="30" t="str">
        <f aca="false">CHOOSE(WEEKDAY(A352),"Sun","Mon","Tue","Wed","Thu","Fri","Sat")</f>
        <v>Sat</v>
      </c>
      <c r="C352" s="30" t="str">
        <f aca="false">IF(IFERROR(INDEX(Holidays!$D$5:$D$60,MATCH(A352,Holidays!$A$5:$A$60,0)),"")="Holiday","Holiday",IF(WEEKDAY(A352)&gt;=6,"Weekend",IF(IFERROR(INDEX(Holidays!$D$5:$D$60,MATCH(A352,Holidays!$A$5:$A$60,0)),"")="Eve","Eve","Workday")))</f>
        <v>Weekend</v>
      </c>
      <c r="D352" s="18" t="str">
        <f aca="false">IFERROR(INDEX(Holidays!$C$5:$C$60,MATCH(A352,Holidays!$A$5:$A$60,0)),"")</f>
        <v/>
      </c>
      <c r="E352" s="31"/>
      <c r="F352" s="32"/>
      <c r="G352" s="32"/>
      <c r="H352" s="32"/>
      <c r="I352" s="32"/>
      <c r="J352" s="31"/>
      <c r="K352" s="33" t="str">
        <f aca="false">IF(E352&lt;&gt;"",E352,IF(U352,"Present",IF(C352="Holiday","Holiday","Weekend")))</f>
        <v>Weekend</v>
      </c>
      <c r="L352" s="34" t="str">
        <f aca="false">IF(OR(K352="Present",K352="Manual Work",K352="Partial Vacation",K352="Partial Sick Leave"),IF(ISNUMBER(F352),F352,IF(AND(K352="Present",U352),Settings!$B$6,"")),"")</f>
        <v/>
      </c>
      <c r="M352" s="34" t="str">
        <f aca="false">IF(OR(K352="Present",K352="Manual Work",K352="Partial Vacation",K352="Partial Sick Leave"),IF(ISNUMBER(G352),G352,IF(AND(K352="Present",U352),V352,"")),"")</f>
        <v/>
      </c>
      <c r="N352" s="14" t="n">
        <f aca="false">IF(AND(ISNUMBER(L352),ISNUMBER(M352)),MAX(0,(M352-L352)*24),0)</f>
        <v>0</v>
      </c>
      <c r="O352" s="14" t="n">
        <f aca="false">IF(NOT(U352),0,IF(K352="Vacation",IF(C352="Eve",Settings!$B$9*Settings!$B$11,W352),IF(K352="Partial Vacation",IF(AND(ISNUMBER(H352),ISNUMBER(I352)),MAX(0,(I352-H352)*24),0),0)))</f>
        <v>0</v>
      </c>
      <c r="P352" s="14" t="n">
        <f aca="false">IF(NOT(U352),0,IF(K352="Sick Leave",W352,IF(K352="Partial Sick Leave",IF(AND(ISNUMBER(H352),ISNUMBER(I352)),MAX(0,(I352-H352)*24),0),0)))</f>
        <v>0</v>
      </c>
      <c r="Q352" s="14" t="n">
        <f aca="false">IF(NOT(U352),0,IF(K352="Vacation",IF(C352="Eve",Settings!$B$11,1),IF(K352="Partial Vacation",O352/Settings!$B$9,0)))</f>
        <v>0</v>
      </c>
      <c r="R352" s="14" t="n">
        <f aca="false">IF(NOT(U352),0,IF(K352="Sick Leave",1,IF(K352="Partial Sick Leave",P352/Settings!$B$9,0)))</f>
        <v>0</v>
      </c>
      <c r="S352" s="35" t="str">
        <f aca="false">IF(AND(OR(E352="Vacation",E352="Sick Leave",E352="Partial Vacation",E352="Partial Sick Leave"),NOT(U352)),"Leave not allowed on this day",IF(AND(E352="Manual Work",OR(NOT(ISNUMBER(F352)),NOT(ISNUMBER(G352)))),"Enter start and end",IF(AND(OR(E352="Partial Vacation",E352="Partial Sick Leave"),OR(NOT(ISNUMBER(H352)),NOT(ISNUMBER(I352)))),"Enter leave from and to",IF(AND(ISNUMBER(F352),ISNUMBER(G352),G352&lt;=F352),"End is before start",IF(AND(ISNUMBER(H352),ISNUMBER(I352),I352&lt;=H352),"Leave end is before start",IF(AND(ISNUMBER(F352),ISNUMBER(G352),ISNUMBER(H352),ISNUMBER(I352),F352&lt;I352,H352&lt;G352),"Work and leave hours overlap",IF(AND(E352&lt;&gt;"",WEEKDAY(A352)=7),"Saturday - administrator only","")))))))</f>
        <v/>
      </c>
      <c r="T352" s="36" t="n">
        <f aca="false">MONTH(A352)</f>
        <v>12</v>
      </c>
      <c r="U352" s="37" t="b">
        <f aca="false">OR(C352="Workday",C352="Eve")</f>
        <v>0</v>
      </c>
      <c r="V352" s="34" t="n">
        <f aca="false">IF(C352="Eve",Settings!$B$8,Settings!$B$7)</f>
        <v>0.6875</v>
      </c>
      <c r="W352" s="14" t="n">
        <f aca="false">IF(U352,(V352-Settings!$B$6)*24,0)</f>
        <v>0</v>
      </c>
    </row>
    <row r="353" customFormat="false" ht="15" hidden="false" customHeight="false" outlineLevel="0" collapsed="false">
      <c r="A353" s="29" t="n">
        <v>46369</v>
      </c>
      <c r="B353" s="30" t="str">
        <f aca="false">CHOOSE(WEEKDAY(A353),"Sun","Mon","Tue","Wed","Thu","Fri","Sat")</f>
        <v>Sun</v>
      </c>
      <c r="C353" s="30" t="str">
        <f aca="false">IF(IFERROR(INDEX(Holidays!$D$5:$D$60,MATCH(A353,Holidays!$A$5:$A$60,0)),"")="Holiday","Holiday",IF(WEEKDAY(A353)&gt;=6,"Weekend",IF(IFERROR(INDEX(Holidays!$D$5:$D$60,MATCH(A353,Holidays!$A$5:$A$60,0)),"")="Eve","Eve","Workday")))</f>
        <v>Workday</v>
      </c>
      <c r="D353" s="18" t="str">
        <f aca="false">IFERROR(INDEX(Holidays!$C$5:$C$60,MATCH(A353,Holidays!$A$5:$A$60,0)),"")</f>
        <v/>
      </c>
      <c r="E353" s="31"/>
      <c r="F353" s="32"/>
      <c r="G353" s="32"/>
      <c r="H353" s="32"/>
      <c r="I353" s="32"/>
      <c r="J353" s="31"/>
      <c r="K353" s="33" t="str">
        <f aca="false">IF(E353&lt;&gt;"",E353,IF(U353,"Present",IF(C353="Holiday","Holiday","Weekend")))</f>
        <v>Present</v>
      </c>
      <c r="L353" s="34" t="n">
        <f aca="false">IF(OR(K353="Present",K353="Manual Work",K353="Partial Vacation",K353="Partial Sick Leave"),IF(ISNUMBER(F353),F353,IF(AND(K353="Present",U353),Settings!$B$6,"")),"")</f>
        <v>0.333333333333333</v>
      </c>
      <c r="M353" s="34" t="n">
        <f aca="false">IF(OR(K353="Present",K353="Manual Work",K353="Partial Vacation",K353="Partial Sick Leave"),IF(ISNUMBER(G353),G353,IF(AND(K353="Present",U353),V353,"")),"")</f>
        <v>0.6875</v>
      </c>
      <c r="N353" s="14" t="n">
        <f aca="false">IF(AND(ISNUMBER(L353),ISNUMBER(M353)),MAX(0,(M353-L353)*24),0)</f>
        <v>8.5</v>
      </c>
      <c r="O353" s="14" t="n">
        <f aca="false">IF(NOT(U353),0,IF(K353="Vacation",IF(C353="Eve",Settings!$B$9*Settings!$B$11,W353),IF(K353="Partial Vacation",IF(AND(ISNUMBER(H353),ISNUMBER(I353)),MAX(0,(I353-H353)*24),0),0)))</f>
        <v>0</v>
      </c>
      <c r="P353" s="14" t="n">
        <f aca="false">IF(NOT(U353),0,IF(K353="Sick Leave",W353,IF(K353="Partial Sick Leave",IF(AND(ISNUMBER(H353),ISNUMBER(I353)),MAX(0,(I353-H353)*24),0),0)))</f>
        <v>0</v>
      </c>
      <c r="Q353" s="14" t="n">
        <f aca="false">IF(NOT(U353),0,IF(K353="Vacation",IF(C353="Eve",Settings!$B$11,1),IF(K353="Partial Vacation",O353/Settings!$B$9,0)))</f>
        <v>0</v>
      </c>
      <c r="R353" s="14" t="n">
        <f aca="false">IF(NOT(U353),0,IF(K353="Sick Leave",1,IF(K353="Partial Sick Leave",P353/Settings!$B$9,0)))</f>
        <v>0</v>
      </c>
      <c r="S353" s="35" t="str">
        <f aca="false">IF(AND(OR(E353="Vacation",E353="Sick Leave",E353="Partial Vacation",E353="Partial Sick Leave"),NOT(U353)),"Leave not allowed on this day",IF(AND(E353="Manual Work",OR(NOT(ISNUMBER(F353)),NOT(ISNUMBER(G353)))),"Enter start and end",IF(AND(OR(E353="Partial Vacation",E353="Partial Sick Leave"),OR(NOT(ISNUMBER(H353)),NOT(ISNUMBER(I353)))),"Enter leave from and to",IF(AND(ISNUMBER(F353),ISNUMBER(G353),G353&lt;=F353),"End is before start",IF(AND(ISNUMBER(H353),ISNUMBER(I353),I353&lt;=H353),"Leave end is before start",IF(AND(ISNUMBER(F353),ISNUMBER(G353),ISNUMBER(H353),ISNUMBER(I353),F353&lt;I353,H353&lt;G353),"Work and leave hours overlap",IF(AND(E353&lt;&gt;"",WEEKDAY(A353)=7),"Saturday - administrator only","")))))))</f>
        <v/>
      </c>
      <c r="T353" s="36" t="n">
        <f aca="false">MONTH(A353)</f>
        <v>12</v>
      </c>
      <c r="U353" s="37" t="b">
        <f aca="false">OR(C353="Workday",C353="Eve")</f>
        <v>1</v>
      </c>
      <c r="V353" s="34" t="n">
        <f aca="false">IF(C353="Eve",Settings!$B$8,Settings!$B$7)</f>
        <v>0.6875</v>
      </c>
      <c r="W353" s="14" t="n">
        <f aca="false">IF(U353,(V353-Settings!$B$6)*24,0)</f>
        <v>8.5</v>
      </c>
    </row>
    <row r="354" customFormat="false" ht="15" hidden="false" customHeight="false" outlineLevel="0" collapsed="false">
      <c r="A354" s="29" t="n">
        <v>46370</v>
      </c>
      <c r="B354" s="30" t="str">
        <f aca="false">CHOOSE(WEEKDAY(A354),"Sun","Mon","Tue","Wed","Thu","Fri","Sat")</f>
        <v>Mon</v>
      </c>
      <c r="C354" s="30" t="str">
        <f aca="false">IF(IFERROR(INDEX(Holidays!$D$5:$D$60,MATCH(A354,Holidays!$A$5:$A$60,0)),"")="Holiday","Holiday",IF(WEEKDAY(A354)&gt;=6,"Weekend",IF(IFERROR(INDEX(Holidays!$D$5:$D$60,MATCH(A354,Holidays!$A$5:$A$60,0)),"")="Eve","Eve","Workday")))</f>
        <v>Workday</v>
      </c>
      <c r="D354" s="18" t="str">
        <f aca="false">IFERROR(INDEX(Holidays!$C$5:$C$60,MATCH(A354,Holidays!$A$5:$A$60,0)),"")</f>
        <v/>
      </c>
      <c r="E354" s="31"/>
      <c r="F354" s="32"/>
      <c r="G354" s="32"/>
      <c r="H354" s="32"/>
      <c r="I354" s="32"/>
      <c r="J354" s="31"/>
      <c r="K354" s="33" t="str">
        <f aca="false">IF(E354&lt;&gt;"",E354,IF(U354,"Present",IF(C354="Holiday","Holiday","Weekend")))</f>
        <v>Present</v>
      </c>
      <c r="L354" s="34" t="n">
        <f aca="false">IF(OR(K354="Present",K354="Manual Work",K354="Partial Vacation",K354="Partial Sick Leave"),IF(ISNUMBER(F354),F354,IF(AND(K354="Present",U354),Settings!$B$6,"")),"")</f>
        <v>0.333333333333333</v>
      </c>
      <c r="M354" s="34" t="n">
        <f aca="false">IF(OR(K354="Present",K354="Manual Work",K354="Partial Vacation",K354="Partial Sick Leave"),IF(ISNUMBER(G354),G354,IF(AND(K354="Present",U354),V354,"")),"")</f>
        <v>0.6875</v>
      </c>
      <c r="N354" s="14" t="n">
        <f aca="false">IF(AND(ISNUMBER(L354),ISNUMBER(M354)),MAX(0,(M354-L354)*24),0)</f>
        <v>8.5</v>
      </c>
      <c r="O354" s="14" t="n">
        <f aca="false">IF(NOT(U354),0,IF(K354="Vacation",IF(C354="Eve",Settings!$B$9*Settings!$B$11,W354),IF(K354="Partial Vacation",IF(AND(ISNUMBER(H354),ISNUMBER(I354)),MAX(0,(I354-H354)*24),0),0)))</f>
        <v>0</v>
      </c>
      <c r="P354" s="14" t="n">
        <f aca="false">IF(NOT(U354),0,IF(K354="Sick Leave",W354,IF(K354="Partial Sick Leave",IF(AND(ISNUMBER(H354),ISNUMBER(I354)),MAX(0,(I354-H354)*24),0),0)))</f>
        <v>0</v>
      </c>
      <c r="Q354" s="14" t="n">
        <f aca="false">IF(NOT(U354),0,IF(K354="Vacation",IF(C354="Eve",Settings!$B$11,1),IF(K354="Partial Vacation",O354/Settings!$B$9,0)))</f>
        <v>0</v>
      </c>
      <c r="R354" s="14" t="n">
        <f aca="false">IF(NOT(U354),0,IF(K354="Sick Leave",1,IF(K354="Partial Sick Leave",P354/Settings!$B$9,0)))</f>
        <v>0</v>
      </c>
      <c r="S354" s="35" t="str">
        <f aca="false">IF(AND(OR(E354="Vacation",E354="Sick Leave",E354="Partial Vacation",E354="Partial Sick Leave"),NOT(U354)),"Leave not allowed on this day",IF(AND(E354="Manual Work",OR(NOT(ISNUMBER(F354)),NOT(ISNUMBER(G354)))),"Enter start and end",IF(AND(OR(E354="Partial Vacation",E354="Partial Sick Leave"),OR(NOT(ISNUMBER(H354)),NOT(ISNUMBER(I354)))),"Enter leave from and to",IF(AND(ISNUMBER(F354),ISNUMBER(G354),G354&lt;=F354),"End is before start",IF(AND(ISNUMBER(H354),ISNUMBER(I354),I354&lt;=H354),"Leave end is before start",IF(AND(ISNUMBER(F354),ISNUMBER(G354),ISNUMBER(H354),ISNUMBER(I354),F354&lt;I354,H354&lt;G354),"Work and leave hours overlap",IF(AND(E354&lt;&gt;"",WEEKDAY(A354)=7),"Saturday - administrator only","")))))))</f>
        <v/>
      </c>
      <c r="T354" s="36" t="n">
        <f aca="false">MONTH(A354)</f>
        <v>12</v>
      </c>
      <c r="U354" s="37" t="b">
        <f aca="false">OR(C354="Workday",C354="Eve")</f>
        <v>1</v>
      </c>
      <c r="V354" s="34" t="n">
        <f aca="false">IF(C354="Eve",Settings!$B$8,Settings!$B$7)</f>
        <v>0.6875</v>
      </c>
      <c r="W354" s="14" t="n">
        <f aca="false">IF(U354,(V354-Settings!$B$6)*24,0)</f>
        <v>8.5</v>
      </c>
    </row>
    <row r="355" customFormat="false" ht="15" hidden="false" customHeight="false" outlineLevel="0" collapsed="false">
      <c r="A355" s="29" t="n">
        <v>46371</v>
      </c>
      <c r="B355" s="30" t="str">
        <f aca="false">CHOOSE(WEEKDAY(A355),"Sun","Mon","Tue","Wed","Thu","Fri","Sat")</f>
        <v>Tue</v>
      </c>
      <c r="C355" s="30" t="str">
        <f aca="false">IF(IFERROR(INDEX(Holidays!$D$5:$D$60,MATCH(A355,Holidays!$A$5:$A$60,0)),"")="Holiday","Holiday",IF(WEEKDAY(A355)&gt;=6,"Weekend",IF(IFERROR(INDEX(Holidays!$D$5:$D$60,MATCH(A355,Holidays!$A$5:$A$60,0)),"")="Eve","Eve","Workday")))</f>
        <v>Workday</v>
      </c>
      <c r="D355" s="18" t="str">
        <f aca="false">IFERROR(INDEX(Holidays!$C$5:$C$60,MATCH(A355,Holidays!$A$5:$A$60,0)),"")</f>
        <v/>
      </c>
      <c r="E355" s="31"/>
      <c r="F355" s="32"/>
      <c r="G355" s="32"/>
      <c r="H355" s="32"/>
      <c r="I355" s="32"/>
      <c r="J355" s="31"/>
      <c r="K355" s="33" t="str">
        <f aca="false">IF(E355&lt;&gt;"",E355,IF(U355,"Present",IF(C355="Holiday","Holiday","Weekend")))</f>
        <v>Present</v>
      </c>
      <c r="L355" s="34" t="n">
        <f aca="false">IF(OR(K355="Present",K355="Manual Work",K355="Partial Vacation",K355="Partial Sick Leave"),IF(ISNUMBER(F355),F355,IF(AND(K355="Present",U355),Settings!$B$6,"")),"")</f>
        <v>0.333333333333333</v>
      </c>
      <c r="M355" s="34" t="n">
        <f aca="false">IF(OR(K355="Present",K355="Manual Work",K355="Partial Vacation",K355="Partial Sick Leave"),IF(ISNUMBER(G355),G355,IF(AND(K355="Present",U355),V355,"")),"")</f>
        <v>0.6875</v>
      </c>
      <c r="N355" s="14" t="n">
        <f aca="false">IF(AND(ISNUMBER(L355),ISNUMBER(M355)),MAX(0,(M355-L355)*24),0)</f>
        <v>8.5</v>
      </c>
      <c r="O355" s="14" t="n">
        <f aca="false">IF(NOT(U355),0,IF(K355="Vacation",IF(C355="Eve",Settings!$B$9*Settings!$B$11,W355),IF(K355="Partial Vacation",IF(AND(ISNUMBER(H355),ISNUMBER(I355)),MAX(0,(I355-H355)*24),0),0)))</f>
        <v>0</v>
      </c>
      <c r="P355" s="14" t="n">
        <f aca="false">IF(NOT(U355),0,IF(K355="Sick Leave",W355,IF(K355="Partial Sick Leave",IF(AND(ISNUMBER(H355),ISNUMBER(I355)),MAX(0,(I355-H355)*24),0),0)))</f>
        <v>0</v>
      </c>
      <c r="Q355" s="14" t="n">
        <f aca="false">IF(NOT(U355),0,IF(K355="Vacation",IF(C355="Eve",Settings!$B$11,1),IF(K355="Partial Vacation",O355/Settings!$B$9,0)))</f>
        <v>0</v>
      </c>
      <c r="R355" s="14" t="n">
        <f aca="false">IF(NOT(U355),0,IF(K355="Sick Leave",1,IF(K355="Partial Sick Leave",P355/Settings!$B$9,0)))</f>
        <v>0</v>
      </c>
      <c r="S355" s="35" t="str">
        <f aca="false">IF(AND(OR(E355="Vacation",E355="Sick Leave",E355="Partial Vacation",E355="Partial Sick Leave"),NOT(U355)),"Leave not allowed on this day",IF(AND(E355="Manual Work",OR(NOT(ISNUMBER(F355)),NOT(ISNUMBER(G355)))),"Enter start and end",IF(AND(OR(E355="Partial Vacation",E355="Partial Sick Leave"),OR(NOT(ISNUMBER(H355)),NOT(ISNUMBER(I355)))),"Enter leave from and to",IF(AND(ISNUMBER(F355),ISNUMBER(G355),G355&lt;=F355),"End is before start",IF(AND(ISNUMBER(H355),ISNUMBER(I355),I355&lt;=H355),"Leave end is before start",IF(AND(ISNUMBER(F355),ISNUMBER(G355),ISNUMBER(H355),ISNUMBER(I355),F355&lt;I355,H355&lt;G355),"Work and leave hours overlap",IF(AND(E355&lt;&gt;"",WEEKDAY(A355)=7),"Saturday - administrator only","")))))))</f>
        <v/>
      </c>
      <c r="T355" s="36" t="n">
        <f aca="false">MONTH(A355)</f>
        <v>12</v>
      </c>
      <c r="U355" s="37" t="b">
        <f aca="false">OR(C355="Workday",C355="Eve")</f>
        <v>1</v>
      </c>
      <c r="V355" s="34" t="n">
        <f aca="false">IF(C355="Eve",Settings!$B$8,Settings!$B$7)</f>
        <v>0.6875</v>
      </c>
      <c r="W355" s="14" t="n">
        <f aca="false">IF(U355,(V355-Settings!$B$6)*24,0)</f>
        <v>8.5</v>
      </c>
    </row>
    <row r="356" customFormat="false" ht="15" hidden="false" customHeight="false" outlineLevel="0" collapsed="false">
      <c r="A356" s="29" t="n">
        <v>46372</v>
      </c>
      <c r="B356" s="30" t="str">
        <f aca="false">CHOOSE(WEEKDAY(A356),"Sun","Mon","Tue","Wed","Thu","Fri","Sat")</f>
        <v>Wed</v>
      </c>
      <c r="C356" s="30" t="str">
        <f aca="false">IF(IFERROR(INDEX(Holidays!$D$5:$D$60,MATCH(A356,Holidays!$A$5:$A$60,0)),"")="Holiday","Holiday",IF(WEEKDAY(A356)&gt;=6,"Weekend",IF(IFERROR(INDEX(Holidays!$D$5:$D$60,MATCH(A356,Holidays!$A$5:$A$60,0)),"")="Eve","Eve","Workday")))</f>
        <v>Workday</v>
      </c>
      <c r="D356" s="18" t="str">
        <f aca="false">IFERROR(INDEX(Holidays!$C$5:$C$60,MATCH(A356,Holidays!$A$5:$A$60,0)),"")</f>
        <v/>
      </c>
      <c r="E356" s="31"/>
      <c r="F356" s="32"/>
      <c r="G356" s="32"/>
      <c r="H356" s="32"/>
      <c r="I356" s="32"/>
      <c r="J356" s="31"/>
      <c r="K356" s="33" t="str">
        <f aca="false">IF(E356&lt;&gt;"",E356,IF(U356,"Present",IF(C356="Holiday","Holiday","Weekend")))</f>
        <v>Present</v>
      </c>
      <c r="L356" s="34" t="n">
        <f aca="false">IF(OR(K356="Present",K356="Manual Work",K356="Partial Vacation",K356="Partial Sick Leave"),IF(ISNUMBER(F356),F356,IF(AND(K356="Present",U356),Settings!$B$6,"")),"")</f>
        <v>0.333333333333333</v>
      </c>
      <c r="M356" s="34" t="n">
        <f aca="false">IF(OR(K356="Present",K356="Manual Work",K356="Partial Vacation",K356="Partial Sick Leave"),IF(ISNUMBER(G356),G356,IF(AND(K356="Present",U356),V356,"")),"")</f>
        <v>0.6875</v>
      </c>
      <c r="N356" s="14" t="n">
        <f aca="false">IF(AND(ISNUMBER(L356),ISNUMBER(M356)),MAX(0,(M356-L356)*24),0)</f>
        <v>8.5</v>
      </c>
      <c r="O356" s="14" t="n">
        <f aca="false">IF(NOT(U356),0,IF(K356="Vacation",IF(C356="Eve",Settings!$B$9*Settings!$B$11,W356),IF(K356="Partial Vacation",IF(AND(ISNUMBER(H356),ISNUMBER(I356)),MAX(0,(I356-H356)*24),0),0)))</f>
        <v>0</v>
      </c>
      <c r="P356" s="14" t="n">
        <f aca="false">IF(NOT(U356),0,IF(K356="Sick Leave",W356,IF(K356="Partial Sick Leave",IF(AND(ISNUMBER(H356),ISNUMBER(I356)),MAX(0,(I356-H356)*24),0),0)))</f>
        <v>0</v>
      </c>
      <c r="Q356" s="14" t="n">
        <f aca="false">IF(NOT(U356),0,IF(K356="Vacation",IF(C356="Eve",Settings!$B$11,1),IF(K356="Partial Vacation",O356/Settings!$B$9,0)))</f>
        <v>0</v>
      </c>
      <c r="R356" s="14" t="n">
        <f aca="false">IF(NOT(U356),0,IF(K356="Sick Leave",1,IF(K356="Partial Sick Leave",P356/Settings!$B$9,0)))</f>
        <v>0</v>
      </c>
      <c r="S356" s="35" t="str">
        <f aca="false">IF(AND(OR(E356="Vacation",E356="Sick Leave",E356="Partial Vacation",E356="Partial Sick Leave"),NOT(U356)),"Leave not allowed on this day",IF(AND(E356="Manual Work",OR(NOT(ISNUMBER(F356)),NOT(ISNUMBER(G356)))),"Enter start and end",IF(AND(OR(E356="Partial Vacation",E356="Partial Sick Leave"),OR(NOT(ISNUMBER(H356)),NOT(ISNUMBER(I356)))),"Enter leave from and to",IF(AND(ISNUMBER(F356),ISNUMBER(G356),G356&lt;=F356),"End is before start",IF(AND(ISNUMBER(H356),ISNUMBER(I356),I356&lt;=H356),"Leave end is before start",IF(AND(ISNUMBER(F356),ISNUMBER(G356),ISNUMBER(H356),ISNUMBER(I356),F356&lt;I356,H356&lt;G356),"Work and leave hours overlap",IF(AND(E356&lt;&gt;"",WEEKDAY(A356)=7),"Saturday - administrator only","")))))))</f>
        <v/>
      </c>
      <c r="T356" s="36" t="n">
        <f aca="false">MONTH(A356)</f>
        <v>12</v>
      </c>
      <c r="U356" s="37" t="b">
        <f aca="false">OR(C356="Workday",C356="Eve")</f>
        <v>1</v>
      </c>
      <c r="V356" s="34" t="n">
        <f aca="false">IF(C356="Eve",Settings!$B$8,Settings!$B$7)</f>
        <v>0.6875</v>
      </c>
      <c r="W356" s="14" t="n">
        <f aca="false">IF(U356,(V356-Settings!$B$6)*24,0)</f>
        <v>8.5</v>
      </c>
    </row>
    <row r="357" customFormat="false" ht="15" hidden="false" customHeight="false" outlineLevel="0" collapsed="false">
      <c r="A357" s="29" t="n">
        <v>46373</v>
      </c>
      <c r="B357" s="30" t="str">
        <f aca="false">CHOOSE(WEEKDAY(A357),"Sun","Mon","Tue","Wed","Thu","Fri","Sat")</f>
        <v>Thu</v>
      </c>
      <c r="C357" s="30" t="str">
        <f aca="false">IF(IFERROR(INDEX(Holidays!$D$5:$D$60,MATCH(A357,Holidays!$A$5:$A$60,0)),"")="Holiday","Holiday",IF(WEEKDAY(A357)&gt;=6,"Weekend",IF(IFERROR(INDEX(Holidays!$D$5:$D$60,MATCH(A357,Holidays!$A$5:$A$60,0)),"")="Eve","Eve","Workday")))</f>
        <v>Workday</v>
      </c>
      <c r="D357" s="18" t="str">
        <f aca="false">IFERROR(INDEX(Holidays!$C$5:$C$60,MATCH(A357,Holidays!$A$5:$A$60,0)),"")</f>
        <v/>
      </c>
      <c r="E357" s="31"/>
      <c r="F357" s="32"/>
      <c r="G357" s="32"/>
      <c r="H357" s="32"/>
      <c r="I357" s="32"/>
      <c r="J357" s="31"/>
      <c r="K357" s="33" t="str">
        <f aca="false">IF(E357&lt;&gt;"",E357,IF(U357,"Present",IF(C357="Holiday","Holiday","Weekend")))</f>
        <v>Present</v>
      </c>
      <c r="L357" s="34" t="n">
        <f aca="false">IF(OR(K357="Present",K357="Manual Work",K357="Partial Vacation",K357="Partial Sick Leave"),IF(ISNUMBER(F357),F357,IF(AND(K357="Present",U357),Settings!$B$6,"")),"")</f>
        <v>0.333333333333333</v>
      </c>
      <c r="M357" s="34" t="n">
        <f aca="false">IF(OR(K357="Present",K357="Manual Work",K357="Partial Vacation",K357="Partial Sick Leave"),IF(ISNUMBER(G357),G357,IF(AND(K357="Present",U357),V357,"")),"")</f>
        <v>0.6875</v>
      </c>
      <c r="N357" s="14" t="n">
        <f aca="false">IF(AND(ISNUMBER(L357),ISNUMBER(M357)),MAX(0,(M357-L357)*24),0)</f>
        <v>8.5</v>
      </c>
      <c r="O357" s="14" t="n">
        <f aca="false">IF(NOT(U357),0,IF(K357="Vacation",IF(C357="Eve",Settings!$B$9*Settings!$B$11,W357),IF(K357="Partial Vacation",IF(AND(ISNUMBER(H357),ISNUMBER(I357)),MAX(0,(I357-H357)*24),0),0)))</f>
        <v>0</v>
      </c>
      <c r="P357" s="14" t="n">
        <f aca="false">IF(NOT(U357),0,IF(K357="Sick Leave",W357,IF(K357="Partial Sick Leave",IF(AND(ISNUMBER(H357),ISNUMBER(I357)),MAX(0,(I357-H357)*24),0),0)))</f>
        <v>0</v>
      </c>
      <c r="Q357" s="14" t="n">
        <f aca="false">IF(NOT(U357),0,IF(K357="Vacation",IF(C357="Eve",Settings!$B$11,1),IF(K357="Partial Vacation",O357/Settings!$B$9,0)))</f>
        <v>0</v>
      </c>
      <c r="R357" s="14" t="n">
        <f aca="false">IF(NOT(U357),0,IF(K357="Sick Leave",1,IF(K357="Partial Sick Leave",P357/Settings!$B$9,0)))</f>
        <v>0</v>
      </c>
      <c r="S357" s="35" t="str">
        <f aca="false">IF(AND(OR(E357="Vacation",E357="Sick Leave",E357="Partial Vacation",E357="Partial Sick Leave"),NOT(U357)),"Leave not allowed on this day",IF(AND(E357="Manual Work",OR(NOT(ISNUMBER(F357)),NOT(ISNUMBER(G357)))),"Enter start and end",IF(AND(OR(E357="Partial Vacation",E357="Partial Sick Leave"),OR(NOT(ISNUMBER(H357)),NOT(ISNUMBER(I357)))),"Enter leave from and to",IF(AND(ISNUMBER(F357),ISNUMBER(G357),G357&lt;=F357),"End is before start",IF(AND(ISNUMBER(H357),ISNUMBER(I357),I357&lt;=H357),"Leave end is before start",IF(AND(ISNUMBER(F357),ISNUMBER(G357),ISNUMBER(H357),ISNUMBER(I357),F357&lt;I357,H357&lt;G357),"Work and leave hours overlap",IF(AND(E357&lt;&gt;"",WEEKDAY(A357)=7),"Saturday - administrator only","")))))))</f>
        <v/>
      </c>
      <c r="T357" s="36" t="n">
        <f aca="false">MONTH(A357)</f>
        <v>12</v>
      </c>
      <c r="U357" s="37" t="b">
        <f aca="false">OR(C357="Workday",C357="Eve")</f>
        <v>1</v>
      </c>
      <c r="V357" s="34" t="n">
        <f aca="false">IF(C357="Eve",Settings!$B$8,Settings!$B$7)</f>
        <v>0.6875</v>
      </c>
      <c r="W357" s="14" t="n">
        <f aca="false">IF(U357,(V357-Settings!$B$6)*24,0)</f>
        <v>8.5</v>
      </c>
    </row>
    <row r="358" customFormat="false" ht="15" hidden="false" customHeight="false" outlineLevel="0" collapsed="false">
      <c r="A358" s="29" t="n">
        <v>46374</v>
      </c>
      <c r="B358" s="30" t="str">
        <f aca="false">CHOOSE(WEEKDAY(A358),"Sun","Mon","Tue","Wed","Thu","Fri","Sat")</f>
        <v>Fri</v>
      </c>
      <c r="C358" s="30" t="str">
        <f aca="false">IF(IFERROR(INDEX(Holidays!$D$5:$D$60,MATCH(A358,Holidays!$A$5:$A$60,0)),"")="Holiday","Holiday",IF(WEEKDAY(A358)&gt;=6,"Weekend",IF(IFERROR(INDEX(Holidays!$D$5:$D$60,MATCH(A358,Holidays!$A$5:$A$60,0)),"")="Eve","Eve","Workday")))</f>
        <v>Weekend</v>
      </c>
      <c r="D358" s="18" t="str">
        <f aca="false">IFERROR(INDEX(Holidays!$C$5:$C$60,MATCH(A358,Holidays!$A$5:$A$60,0)),"")</f>
        <v/>
      </c>
      <c r="E358" s="31"/>
      <c r="F358" s="32"/>
      <c r="G358" s="32"/>
      <c r="H358" s="32"/>
      <c r="I358" s="32"/>
      <c r="J358" s="31"/>
      <c r="K358" s="33" t="str">
        <f aca="false">IF(E358&lt;&gt;"",E358,IF(U358,"Present",IF(C358="Holiday","Holiday","Weekend")))</f>
        <v>Weekend</v>
      </c>
      <c r="L358" s="34" t="str">
        <f aca="false">IF(OR(K358="Present",K358="Manual Work",K358="Partial Vacation",K358="Partial Sick Leave"),IF(ISNUMBER(F358),F358,IF(AND(K358="Present",U358),Settings!$B$6,"")),"")</f>
        <v/>
      </c>
      <c r="M358" s="34" t="str">
        <f aca="false">IF(OR(K358="Present",K358="Manual Work",K358="Partial Vacation",K358="Partial Sick Leave"),IF(ISNUMBER(G358),G358,IF(AND(K358="Present",U358),V358,"")),"")</f>
        <v/>
      </c>
      <c r="N358" s="14" t="n">
        <f aca="false">IF(AND(ISNUMBER(L358),ISNUMBER(M358)),MAX(0,(M358-L358)*24),0)</f>
        <v>0</v>
      </c>
      <c r="O358" s="14" t="n">
        <f aca="false">IF(NOT(U358),0,IF(K358="Vacation",IF(C358="Eve",Settings!$B$9*Settings!$B$11,W358),IF(K358="Partial Vacation",IF(AND(ISNUMBER(H358),ISNUMBER(I358)),MAX(0,(I358-H358)*24),0),0)))</f>
        <v>0</v>
      </c>
      <c r="P358" s="14" t="n">
        <f aca="false">IF(NOT(U358),0,IF(K358="Sick Leave",W358,IF(K358="Partial Sick Leave",IF(AND(ISNUMBER(H358),ISNUMBER(I358)),MAX(0,(I358-H358)*24),0),0)))</f>
        <v>0</v>
      </c>
      <c r="Q358" s="14" t="n">
        <f aca="false">IF(NOT(U358),0,IF(K358="Vacation",IF(C358="Eve",Settings!$B$11,1),IF(K358="Partial Vacation",O358/Settings!$B$9,0)))</f>
        <v>0</v>
      </c>
      <c r="R358" s="14" t="n">
        <f aca="false">IF(NOT(U358),0,IF(K358="Sick Leave",1,IF(K358="Partial Sick Leave",P358/Settings!$B$9,0)))</f>
        <v>0</v>
      </c>
      <c r="S358" s="35" t="str">
        <f aca="false">IF(AND(OR(E358="Vacation",E358="Sick Leave",E358="Partial Vacation",E358="Partial Sick Leave"),NOT(U358)),"Leave not allowed on this day",IF(AND(E358="Manual Work",OR(NOT(ISNUMBER(F358)),NOT(ISNUMBER(G358)))),"Enter start and end",IF(AND(OR(E358="Partial Vacation",E358="Partial Sick Leave"),OR(NOT(ISNUMBER(H358)),NOT(ISNUMBER(I358)))),"Enter leave from and to",IF(AND(ISNUMBER(F358),ISNUMBER(G358),G358&lt;=F358),"End is before start",IF(AND(ISNUMBER(H358),ISNUMBER(I358),I358&lt;=H358),"Leave end is before start",IF(AND(ISNUMBER(F358),ISNUMBER(G358),ISNUMBER(H358),ISNUMBER(I358),F358&lt;I358,H358&lt;G358),"Work and leave hours overlap",IF(AND(E358&lt;&gt;"",WEEKDAY(A358)=7),"Saturday - administrator only","")))))))</f>
        <v/>
      </c>
      <c r="T358" s="36" t="n">
        <f aca="false">MONTH(A358)</f>
        <v>12</v>
      </c>
      <c r="U358" s="37" t="b">
        <f aca="false">OR(C358="Workday",C358="Eve")</f>
        <v>0</v>
      </c>
      <c r="V358" s="34" t="n">
        <f aca="false">IF(C358="Eve",Settings!$B$8,Settings!$B$7)</f>
        <v>0.6875</v>
      </c>
      <c r="W358" s="14" t="n">
        <f aca="false">IF(U358,(V358-Settings!$B$6)*24,0)</f>
        <v>0</v>
      </c>
    </row>
    <row r="359" customFormat="false" ht="15" hidden="false" customHeight="false" outlineLevel="0" collapsed="false">
      <c r="A359" s="29" t="n">
        <v>46375</v>
      </c>
      <c r="B359" s="30" t="str">
        <f aca="false">CHOOSE(WEEKDAY(A359),"Sun","Mon","Tue","Wed","Thu","Fri","Sat")</f>
        <v>Sat</v>
      </c>
      <c r="C359" s="30" t="str">
        <f aca="false">IF(IFERROR(INDEX(Holidays!$D$5:$D$60,MATCH(A359,Holidays!$A$5:$A$60,0)),"")="Holiday","Holiday",IF(WEEKDAY(A359)&gt;=6,"Weekend",IF(IFERROR(INDEX(Holidays!$D$5:$D$60,MATCH(A359,Holidays!$A$5:$A$60,0)),"")="Eve","Eve","Workday")))</f>
        <v>Weekend</v>
      </c>
      <c r="D359" s="18" t="str">
        <f aca="false">IFERROR(INDEX(Holidays!$C$5:$C$60,MATCH(A359,Holidays!$A$5:$A$60,0)),"")</f>
        <v/>
      </c>
      <c r="E359" s="31"/>
      <c r="F359" s="32"/>
      <c r="G359" s="32"/>
      <c r="H359" s="32"/>
      <c r="I359" s="32"/>
      <c r="J359" s="31"/>
      <c r="K359" s="33" t="str">
        <f aca="false">IF(E359&lt;&gt;"",E359,IF(U359,"Present",IF(C359="Holiday","Holiday","Weekend")))</f>
        <v>Weekend</v>
      </c>
      <c r="L359" s="34" t="str">
        <f aca="false">IF(OR(K359="Present",K359="Manual Work",K359="Partial Vacation",K359="Partial Sick Leave"),IF(ISNUMBER(F359),F359,IF(AND(K359="Present",U359),Settings!$B$6,"")),"")</f>
        <v/>
      </c>
      <c r="M359" s="34" t="str">
        <f aca="false">IF(OR(K359="Present",K359="Manual Work",K359="Partial Vacation",K359="Partial Sick Leave"),IF(ISNUMBER(G359),G359,IF(AND(K359="Present",U359),V359,"")),"")</f>
        <v/>
      </c>
      <c r="N359" s="14" t="n">
        <f aca="false">IF(AND(ISNUMBER(L359),ISNUMBER(M359)),MAX(0,(M359-L359)*24),0)</f>
        <v>0</v>
      </c>
      <c r="O359" s="14" t="n">
        <f aca="false">IF(NOT(U359),0,IF(K359="Vacation",IF(C359="Eve",Settings!$B$9*Settings!$B$11,W359),IF(K359="Partial Vacation",IF(AND(ISNUMBER(H359),ISNUMBER(I359)),MAX(0,(I359-H359)*24),0),0)))</f>
        <v>0</v>
      </c>
      <c r="P359" s="14" t="n">
        <f aca="false">IF(NOT(U359),0,IF(K359="Sick Leave",W359,IF(K359="Partial Sick Leave",IF(AND(ISNUMBER(H359),ISNUMBER(I359)),MAX(0,(I359-H359)*24),0),0)))</f>
        <v>0</v>
      </c>
      <c r="Q359" s="14" t="n">
        <f aca="false">IF(NOT(U359),0,IF(K359="Vacation",IF(C359="Eve",Settings!$B$11,1),IF(K359="Partial Vacation",O359/Settings!$B$9,0)))</f>
        <v>0</v>
      </c>
      <c r="R359" s="14" t="n">
        <f aca="false">IF(NOT(U359),0,IF(K359="Sick Leave",1,IF(K359="Partial Sick Leave",P359/Settings!$B$9,0)))</f>
        <v>0</v>
      </c>
      <c r="S359" s="35" t="str">
        <f aca="false">IF(AND(OR(E359="Vacation",E359="Sick Leave",E359="Partial Vacation",E359="Partial Sick Leave"),NOT(U359)),"Leave not allowed on this day",IF(AND(E359="Manual Work",OR(NOT(ISNUMBER(F359)),NOT(ISNUMBER(G359)))),"Enter start and end",IF(AND(OR(E359="Partial Vacation",E359="Partial Sick Leave"),OR(NOT(ISNUMBER(H359)),NOT(ISNUMBER(I359)))),"Enter leave from and to",IF(AND(ISNUMBER(F359),ISNUMBER(G359),G359&lt;=F359),"End is before start",IF(AND(ISNUMBER(H359),ISNUMBER(I359),I359&lt;=H359),"Leave end is before start",IF(AND(ISNUMBER(F359),ISNUMBER(G359),ISNUMBER(H359),ISNUMBER(I359),F359&lt;I359,H359&lt;G359),"Work and leave hours overlap",IF(AND(E359&lt;&gt;"",WEEKDAY(A359)=7),"Saturday - administrator only","")))))))</f>
        <v/>
      </c>
      <c r="T359" s="36" t="n">
        <f aca="false">MONTH(A359)</f>
        <v>12</v>
      </c>
      <c r="U359" s="37" t="b">
        <f aca="false">OR(C359="Workday",C359="Eve")</f>
        <v>0</v>
      </c>
      <c r="V359" s="34" t="n">
        <f aca="false">IF(C359="Eve",Settings!$B$8,Settings!$B$7)</f>
        <v>0.6875</v>
      </c>
      <c r="W359" s="14" t="n">
        <f aca="false">IF(U359,(V359-Settings!$B$6)*24,0)</f>
        <v>0</v>
      </c>
    </row>
    <row r="360" customFormat="false" ht="15" hidden="false" customHeight="false" outlineLevel="0" collapsed="false">
      <c r="A360" s="29" t="n">
        <v>46376</v>
      </c>
      <c r="B360" s="30" t="str">
        <f aca="false">CHOOSE(WEEKDAY(A360),"Sun","Mon","Tue","Wed","Thu","Fri","Sat")</f>
        <v>Sun</v>
      </c>
      <c r="C360" s="30" t="str">
        <f aca="false">IF(IFERROR(INDEX(Holidays!$D$5:$D$60,MATCH(A360,Holidays!$A$5:$A$60,0)),"")="Holiday","Holiday",IF(WEEKDAY(A360)&gt;=6,"Weekend",IF(IFERROR(INDEX(Holidays!$D$5:$D$60,MATCH(A360,Holidays!$A$5:$A$60,0)),"")="Eve","Eve","Workday")))</f>
        <v>Workday</v>
      </c>
      <c r="D360" s="18" t="str">
        <f aca="false">IFERROR(INDEX(Holidays!$C$5:$C$60,MATCH(A360,Holidays!$A$5:$A$60,0)),"")</f>
        <v/>
      </c>
      <c r="E360" s="31"/>
      <c r="F360" s="32"/>
      <c r="G360" s="32"/>
      <c r="H360" s="32"/>
      <c r="I360" s="32"/>
      <c r="J360" s="31"/>
      <c r="K360" s="33" t="str">
        <f aca="false">IF(E360&lt;&gt;"",E360,IF(U360,"Present",IF(C360="Holiday","Holiday","Weekend")))</f>
        <v>Present</v>
      </c>
      <c r="L360" s="34" t="n">
        <f aca="false">IF(OR(K360="Present",K360="Manual Work",K360="Partial Vacation",K360="Partial Sick Leave"),IF(ISNUMBER(F360),F360,IF(AND(K360="Present",U360),Settings!$B$6,"")),"")</f>
        <v>0.333333333333333</v>
      </c>
      <c r="M360" s="34" t="n">
        <f aca="false">IF(OR(K360="Present",K360="Manual Work",K360="Partial Vacation",K360="Partial Sick Leave"),IF(ISNUMBER(G360),G360,IF(AND(K360="Present",U360),V360,"")),"")</f>
        <v>0.6875</v>
      </c>
      <c r="N360" s="14" t="n">
        <f aca="false">IF(AND(ISNUMBER(L360),ISNUMBER(M360)),MAX(0,(M360-L360)*24),0)</f>
        <v>8.5</v>
      </c>
      <c r="O360" s="14" t="n">
        <f aca="false">IF(NOT(U360),0,IF(K360="Vacation",IF(C360="Eve",Settings!$B$9*Settings!$B$11,W360),IF(K360="Partial Vacation",IF(AND(ISNUMBER(H360),ISNUMBER(I360)),MAX(0,(I360-H360)*24),0),0)))</f>
        <v>0</v>
      </c>
      <c r="P360" s="14" t="n">
        <f aca="false">IF(NOT(U360),0,IF(K360="Sick Leave",W360,IF(K360="Partial Sick Leave",IF(AND(ISNUMBER(H360),ISNUMBER(I360)),MAX(0,(I360-H360)*24),0),0)))</f>
        <v>0</v>
      </c>
      <c r="Q360" s="14" t="n">
        <f aca="false">IF(NOT(U360),0,IF(K360="Vacation",IF(C360="Eve",Settings!$B$11,1),IF(K360="Partial Vacation",O360/Settings!$B$9,0)))</f>
        <v>0</v>
      </c>
      <c r="R360" s="14" t="n">
        <f aca="false">IF(NOT(U360),0,IF(K360="Sick Leave",1,IF(K360="Partial Sick Leave",P360/Settings!$B$9,0)))</f>
        <v>0</v>
      </c>
      <c r="S360" s="35" t="str">
        <f aca="false">IF(AND(OR(E360="Vacation",E360="Sick Leave",E360="Partial Vacation",E360="Partial Sick Leave"),NOT(U360)),"Leave not allowed on this day",IF(AND(E360="Manual Work",OR(NOT(ISNUMBER(F360)),NOT(ISNUMBER(G360)))),"Enter start and end",IF(AND(OR(E360="Partial Vacation",E360="Partial Sick Leave"),OR(NOT(ISNUMBER(H360)),NOT(ISNUMBER(I360)))),"Enter leave from and to",IF(AND(ISNUMBER(F360),ISNUMBER(G360),G360&lt;=F360),"End is before start",IF(AND(ISNUMBER(H360),ISNUMBER(I360),I360&lt;=H360),"Leave end is before start",IF(AND(ISNUMBER(F360),ISNUMBER(G360),ISNUMBER(H360),ISNUMBER(I360),F360&lt;I360,H360&lt;G360),"Work and leave hours overlap",IF(AND(E360&lt;&gt;"",WEEKDAY(A360)=7),"Saturday - administrator only","")))))))</f>
        <v/>
      </c>
      <c r="T360" s="36" t="n">
        <f aca="false">MONTH(A360)</f>
        <v>12</v>
      </c>
      <c r="U360" s="37" t="b">
        <f aca="false">OR(C360="Workday",C360="Eve")</f>
        <v>1</v>
      </c>
      <c r="V360" s="34" t="n">
        <f aca="false">IF(C360="Eve",Settings!$B$8,Settings!$B$7)</f>
        <v>0.6875</v>
      </c>
      <c r="W360" s="14" t="n">
        <f aca="false">IF(U360,(V360-Settings!$B$6)*24,0)</f>
        <v>8.5</v>
      </c>
    </row>
    <row r="361" customFormat="false" ht="15" hidden="false" customHeight="false" outlineLevel="0" collapsed="false">
      <c r="A361" s="29" t="n">
        <v>46377</v>
      </c>
      <c r="B361" s="30" t="str">
        <f aca="false">CHOOSE(WEEKDAY(A361),"Sun","Mon","Tue","Wed","Thu","Fri","Sat")</f>
        <v>Mon</v>
      </c>
      <c r="C361" s="30" t="str">
        <f aca="false">IF(IFERROR(INDEX(Holidays!$D$5:$D$60,MATCH(A361,Holidays!$A$5:$A$60,0)),"")="Holiday","Holiday",IF(WEEKDAY(A361)&gt;=6,"Weekend",IF(IFERROR(INDEX(Holidays!$D$5:$D$60,MATCH(A361,Holidays!$A$5:$A$60,0)),"")="Eve","Eve","Workday")))</f>
        <v>Workday</v>
      </c>
      <c r="D361" s="18" t="str">
        <f aca="false">IFERROR(INDEX(Holidays!$C$5:$C$60,MATCH(A361,Holidays!$A$5:$A$60,0)),"")</f>
        <v/>
      </c>
      <c r="E361" s="31"/>
      <c r="F361" s="32"/>
      <c r="G361" s="32"/>
      <c r="H361" s="32"/>
      <c r="I361" s="32"/>
      <c r="J361" s="31"/>
      <c r="K361" s="33" t="str">
        <f aca="false">IF(E361&lt;&gt;"",E361,IF(U361,"Present",IF(C361="Holiday","Holiday","Weekend")))</f>
        <v>Present</v>
      </c>
      <c r="L361" s="34" t="n">
        <f aca="false">IF(OR(K361="Present",K361="Manual Work",K361="Partial Vacation",K361="Partial Sick Leave"),IF(ISNUMBER(F361),F361,IF(AND(K361="Present",U361),Settings!$B$6,"")),"")</f>
        <v>0.333333333333333</v>
      </c>
      <c r="M361" s="34" t="n">
        <f aca="false">IF(OR(K361="Present",K361="Manual Work",K361="Partial Vacation",K361="Partial Sick Leave"),IF(ISNUMBER(G361),G361,IF(AND(K361="Present",U361),V361,"")),"")</f>
        <v>0.6875</v>
      </c>
      <c r="N361" s="14" t="n">
        <f aca="false">IF(AND(ISNUMBER(L361),ISNUMBER(M361)),MAX(0,(M361-L361)*24),0)</f>
        <v>8.5</v>
      </c>
      <c r="O361" s="14" t="n">
        <f aca="false">IF(NOT(U361),0,IF(K361="Vacation",IF(C361="Eve",Settings!$B$9*Settings!$B$11,W361),IF(K361="Partial Vacation",IF(AND(ISNUMBER(H361),ISNUMBER(I361)),MAX(0,(I361-H361)*24),0),0)))</f>
        <v>0</v>
      </c>
      <c r="P361" s="14" t="n">
        <f aca="false">IF(NOT(U361),0,IF(K361="Sick Leave",W361,IF(K361="Partial Sick Leave",IF(AND(ISNUMBER(H361),ISNUMBER(I361)),MAX(0,(I361-H361)*24),0),0)))</f>
        <v>0</v>
      </c>
      <c r="Q361" s="14" t="n">
        <f aca="false">IF(NOT(U361),0,IF(K361="Vacation",IF(C361="Eve",Settings!$B$11,1),IF(K361="Partial Vacation",O361/Settings!$B$9,0)))</f>
        <v>0</v>
      </c>
      <c r="R361" s="14" t="n">
        <f aca="false">IF(NOT(U361),0,IF(K361="Sick Leave",1,IF(K361="Partial Sick Leave",P361/Settings!$B$9,0)))</f>
        <v>0</v>
      </c>
      <c r="S361" s="35" t="str">
        <f aca="false">IF(AND(OR(E361="Vacation",E361="Sick Leave",E361="Partial Vacation",E361="Partial Sick Leave"),NOT(U361)),"Leave not allowed on this day",IF(AND(E361="Manual Work",OR(NOT(ISNUMBER(F361)),NOT(ISNUMBER(G361)))),"Enter start and end",IF(AND(OR(E361="Partial Vacation",E361="Partial Sick Leave"),OR(NOT(ISNUMBER(H361)),NOT(ISNUMBER(I361)))),"Enter leave from and to",IF(AND(ISNUMBER(F361),ISNUMBER(G361),G361&lt;=F361),"End is before start",IF(AND(ISNUMBER(H361),ISNUMBER(I361),I361&lt;=H361),"Leave end is before start",IF(AND(ISNUMBER(F361),ISNUMBER(G361),ISNUMBER(H361),ISNUMBER(I361),F361&lt;I361,H361&lt;G361),"Work and leave hours overlap",IF(AND(E361&lt;&gt;"",WEEKDAY(A361)=7),"Saturday - administrator only","")))))))</f>
        <v/>
      </c>
      <c r="T361" s="36" t="n">
        <f aca="false">MONTH(A361)</f>
        <v>12</v>
      </c>
      <c r="U361" s="37" t="b">
        <f aca="false">OR(C361="Workday",C361="Eve")</f>
        <v>1</v>
      </c>
      <c r="V361" s="34" t="n">
        <f aca="false">IF(C361="Eve",Settings!$B$8,Settings!$B$7)</f>
        <v>0.6875</v>
      </c>
      <c r="W361" s="14" t="n">
        <f aca="false">IF(U361,(V361-Settings!$B$6)*24,0)</f>
        <v>8.5</v>
      </c>
    </row>
    <row r="362" customFormat="false" ht="15" hidden="false" customHeight="false" outlineLevel="0" collapsed="false">
      <c r="A362" s="29" t="n">
        <v>46378</v>
      </c>
      <c r="B362" s="30" t="str">
        <f aca="false">CHOOSE(WEEKDAY(A362),"Sun","Mon","Tue","Wed","Thu","Fri","Sat")</f>
        <v>Tue</v>
      </c>
      <c r="C362" s="30" t="str">
        <f aca="false">IF(IFERROR(INDEX(Holidays!$D$5:$D$60,MATCH(A362,Holidays!$A$5:$A$60,0)),"")="Holiday","Holiday",IF(WEEKDAY(A362)&gt;=6,"Weekend",IF(IFERROR(INDEX(Holidays!$D$5:$D$60,MATCH(A362,Holidays!$A$5:$A$60,0)),"")="Eve","Eve","Workday")))</f>
        <v>Workday</v>
      </c>
      <c r="D362" s="18" t="str">
        <f aca="false">IFERROR(INDEX(Holidays!$C$5:$C$60,MATCH(A362,Holidays!$A$5:$A$60,0)),"")</f>
        <v/>
      </c>
      <c r="E362" s="31"/>
      <c r="F362" s="32"/>
      <c r="G362" s="32"/>
      <c r="H362" s="32"/>
      <c r="I362" s="32"/>
      <c r="J362" s="31"/>
      <c r="K362" s="33" t="str">
        <f aca="false">IF(E362&lt;&gt;"",E362,IF(U362,"Present",IF(C362="Holiday","Holiday","Weekend")))</f>
        <v>Present</v>
      </c>
      <c r="L362" s="34" t="n">
        <f aca="false">IF(OR(K362="Present",K362="Manual Work",K362="Partial Vacation",K362="Partial Sick Leave"),IF(ISNUMBER(F362),F362,IF(AND(K362="Present",U362),Settings!$B$6,"")),"")</f>
        <v>0.333333333333333</v>
      </c>
      <c r="M362" s="34" t="n">
        <f aca="false">IF(OR(K362="Present",K362="Manual Work",K362="Partial Vacation",K362="Partial Sick Leave"),IF(ISNUMBER(G362),G362,IF(AND(K362="Present",U362),V362,"")),"")</f>
        <v>0.6875</v>
      </c>
      <c r="N362" s="14" t="n">
        <f aca="false">IF(AND(ISNUMBER(L362),ISNUMBER(M362)),MAX(0,(M362-L362)*24),0)</f>
        <v>8.5</v>
      </c>
      <c r="O362" s="14" t="n">
        <f aca="false">IF(NOT(U362),0,IF(K362="Vacation",IF(C362="Eve",Settings!$B$9*Settings!$B$11,W362),IF(K362="Partial Vacation",IF(AND(ISNUMBER(H362),ISNUMBER(I362)),MAX(0,(I362-H362)*24),0),0)))</f>
        <v>0</v>
      </c>
      <c r="P362" s="14" t="n">
        <f aca="false">IF(NOT(U362),0,IF(K362="Sick Leave",W362,IF(K362="Partial Sick Leave",IF(AND(ISNUMBER(H362),ISNUMBER(I362)),MAX(0,(I362-H362)*24),0),0)))</f>
        <v>0</v>
      </c>
      <c r="Q362" s="14" t="n">
        <f aca="false">IF(NOT(U362),0,IF(K362="Vacation",IF(C362="Eve",Settings!$B$11,1),IF(K362="Partial Vacation",O362/Settings!$B$9,0)))</f>
        <v>0</v>
      </c>
      <c r="R362" s="14" t="n">
        <f aca="false">IF(NOT(U362),0,IF(K362="Sick Leave",1,IF(K362="Partial Sick Leave",P362/Settings!$B$9,0)))</f>
        <v>0</v>
      </c>
      <c r="S362" s="35" t="str">
        <f aca="false">IF(AND(OR(E362="Vacation",E362="Sick Leave",E362="Partial Vacation",E362="Partial Sick Leave"),NOT(U362)),"Leave not allowed on this day",IF(AND(E362="Manual Work",OR(NOT(ISNUMBER(F362)),NOT(ISNUMBER(G362)))),"Enter start and end",IF(AND(OR(E362="Partial Vacation",E362="Partial Sick Leave"),OR(NOT(ISNUMBER(H362)),NOT(ISNUMBER(I362)))),"Enter leave from and to",IF(AND(ISNUMBER(F362),ISNUMBER(G362),G362&lt;=F362),"End is before start",IF(AND(ISNUMBER(H362),ISNUMBER(I362),I362&lt;=H362),"Leave end is before start",IF(AND(ISNUMBER(F362),ISNUMBER(G362),ISNUMBER(H362),ISNUMBER(I362),F362&lt;I362,H362&lt;G362),"Work and leave hours overlap",IF(AND(E362&lt;&gt;"",WEEKDAY(A362)=7),"Saturday - administrator only","")))))))</f>
        <v/>
      </c>
      <c r="T362" s="36" t="n">
        <f aca="false">MONTH(A362)</f>
        <v>12</v>
      </c>
      <c r="U362" s="37" t="b">
        <f aca="false">OR(C362="Workday",C362="Eve")</f>
        <v>1</v>
      </c>
      <c r="V362" s="34" t="n">
        <f aca="false">IF(C362="Eve",Settings!$B$8,Settings!$B$7)</f>
        <v>0.6875</v>
      </c>
      <c r="W362" s="14" t="n">
        <f aca="false">IF(U362,(V362-Settings!$B$6)*24,0)</f>
        <v>8.5</v>
      </c>
    </row>
    <row r="363" customFormat="false" ht="15" hidden="false" customHeight="false" outlineLevel="0" collapsed="false">
      <c r="A363" s="29" t="n">
        <v>46379</v>
      </c>
      <c r="B363" s="30" t="str">
        <f aca="false">CHOOSE(WEEKDAY(A363),"Sun","Mon","Tue","Wed","Thu","Fri","Sat")</f>
        <v>Wed</v>
      </c>
      <c r="C363" s="30" t="str">
        <f aca="false">IF(IFERROR(INDEX(Holidays!$D$5:$D$60,MATCH(A363,Holidays!$A$5:$A$60,0)),"")="Holiday","Holiday",IF(WEEKDAY(A363)&gt;=6,"Weekend",IF(IFERROR(INDEX(Holidays!$D$5:$D$60,MATCH(A363,Holidays!$A$5:$A$60,0)),"")="Eve","Eve","Workday")))</f>
        <v>Workday</v>
      </c>
      <c r="D363" s="18" t="str">
        <f aca="false">IFERROR(INDEX(Holidays!$C$5:$C$60,MATCH(A363,Holidays!$A$5:$A$60,0)),"")</f>
        <v/>
      </c>
      <c r="E363" s="31"/>
      <c r="F363" s="32"/>
      <c r="G363" s="32"/>
      <c r="H363" s="32"/>
      <c r="I363" s="32"/>
      <c r="J363" s="31"/>
      <c r="K363" s="33" t="str">
        <f aca="false">IF(E363&lt;&gt;"",E363,IF(U363,"Present",IF(C363="Holiday","Holiday","Weekend")))</f>
        <v>Present</v>
      </c>
      <c r="L363" s="34" t="n">
        <f aca="false">IF(OR(K363="Present",K363="Manual Work",K363="Partial Vacation",K363="Partial Sick Leave"),IF(ISNUMBER(F363),F363,IF(AND(K363="Present",U363),Settings!$B$6,"")),"")</f>
        <v>0.333333333333333</v>
      </c>
      <c r="M363" s="34" t="n">
        <f aca="false">IF(OR(K363="Present",K363="Manual Work",K363="Partial Vacation",K363="Partial Sick Leave"),IF(ISNUMBER(G363),G363,IF(AND(K363="Present",U363),V363,"")),"")</f>
        <v>0.6875</v>
      </c>
      <c r="N363" s="14" t="n">
        <f aca="false">IF(AND(ISNUMBER(L363),ISNUMBER(M363)),MAX(0,(M363-L363)*24),0)</f>
        <v>8.5</v>
      </c>
      <c r="O363" s="14" t="n">
        <f aca="false">IF(NOT(U363),0,IF(K363="Vacation",IF(C363="Eve",Settings!$B$9*Settings!$B$11,W363),IF(K363="Partial Vacation",IF(AND(ISNUMBER(H363),ISNUMBER(I363)),MAX(0,(I363-H363)*24),0),0)))</f>
        <v>0</v>
      </c>
      <c r="P363" s="14" t="n">
        <f aca="false">IF(NOT(U363),0,IF(K363="Sick Leave",W363,IF(K363="Partial Sick Leave",IF(AND(ISNUMBER(H363),ISNUMBER(I363)),MAX(0,(I363-H363)*24),0),0)))</f>
        <v>0</v>
      </c>
      <c r="Q363" s="14" t="n">
        <f aca="false">IF(NOT(U363),0,IF(K363="Vacation",IF(C363="Eve",Settings!$B$11,1),IF(K363="Partial Vacation",O363/Settings!$B$9,0)))</f>
        <v>0</v>
      </c>
      <c r="R363" s="14" t="n">
        <f aca="false">IF(NOT(U363),0,IF(K363="Sick Leave",1,IF(K363="Partial Sick Leave",P363/Settings!$B$9,0)))</f>
        <v>0</v>
      </c>
      <c r="S363" s="35" t="str">
        <f aca="false">IF(AND(OR(E363="Vacation",E363="Sick Leave",E363="Partial Vacation",E363="Partial Sick Leave"),NOT(U363)),"Leave not allowed on this day",IF(AND(E363="Manual Work",OR(NOT(ISNUMBER(F363)),NOT(ISNUMBER(G363)))),"Enter start and end",IF(AND(OR(E363="Partial Vacation",E363="Partial Sick Leave"),OR(NOT(ISNUMBER(H363)),NOT(ISNUMBER(I363)))),"Enter leave from and to",IF(AND(ISNUMBER(F363),ISNUMBER(G363),G363&lt;=F363),"End is before start",IF(AND(ISNUMBER(H363),ISNUMBER(I363),I363&lt;=H363),"Leave end is before start",IF(AND(ISNUMBER(F363),ISNUMBER(G363),ISNUMBER(H363),ISNUMBER(I363),F363&lt;I363,H363&lt;G363),"Work and leave hours overlap",IF(AND(E363&lt;&gt;"",WEEKDAY(A363)=7),"Saturday - administrator only","")))))))</f>
        <v/>
      </c>
      <c r="T363" s="36" t="n">
        <f aca="false">MONTH(A363)</f>
        <v>12</v>
      </c>
      <c r="U363" s="37" t="b">
        <f aca="false">OR(C363="Workday",C363="Eve")</f>
        <v>1</v>
      </c>
      <c r="V363" s="34" t="n">
        <f aca="false">IF(C363="Eve",Settings!$B$8,Settings!$B$7)</f>
        <v>0.6875</v>
      </c>
      <c r="W363" s="14" t="n">
        <f aca="false">IF(U363,(V363-Settings!$B$6)*24,0)</f>
        <v>8.5</v>
      </c>
    </row>
    <row r="364" customFormat="false" ht="15" hidden="false" customHeight="false" outlineLevel="0" collapsed="false">
      <c r="A364" s="29" t="n">
        <v>46380</v>
      </c>
      <c r="B364" s="30" t="str">
        <f aca="false">CHOOSE(WEEKDAY(A364),"Sun","Mon","Tue","Wed","Thu","Fri","Sat")</f>
        <v>Thu</v>
      </c>
      <c r="C364" s="30" t="str">
        <f aca="false">IF(IFERROR(INDEX(Holidays!$D$5:$D$60,MATCH(A364,Holidays!$A$5:$A$60,0)),"")="Holiday","Holiday",IF(WEEKDAY(A364)&gt;=6,"Weekend",IF(IFERROR(INDEX(Holidays!$D$5:$D$60,MATCH(A364,Holidays!$A$5:$A$60,0)),"")="Eve","Eve","Workday")))</f>
        <v>Workday</v>
      </c>
      <c r="D364" s="18" t="str">
        <f aca="false">IFERROR(INDEX(Holidays!$C$5:$C$60,MATCH(A364,Holidays!$A$5:$A$60,0)),"")</f>
        <v/>
      </c>
      <c r="E364" s="31"/>
      <c r="F364" s="32"/>
      <c r="G364" s="32"/>
      <c r="H364" s="32"/>
      <c r="I364" s="32"/>
      <c r="J364" s="31"/>
      <c r="K364" s="33" t="str">
        <f aca="false">IF(E364&lt;&gt;"",E364,IF(U364,"Present",IF(C364="Holiday","Holiday","Weekend")))</f>
        <v>Present</v>
      </c>
      <c r="L364" s="34" t="n">
        <f aca="false">IF(OR(K364="Present",K364="Manual Work",K364="Partial Vacation",K364="Partial Sick Leave"),IF(ISNUMBER(F364),F364,IF(AND(K364="Present",U364),Settings!$B$6,"")),"")</f>
        <v>0.333333333333333</v>
      </c>
      <c r="M364" s="34" t="n">
        <f aca="false">IF(OR(K364="Present",K364="Manual Work",K364="Partial Vacation",K364="Partial Sick Leave"),IF(ISNUMBER(G364),G364,IF(AND(K364="Present",U364),V364,"")),"")</f>
        <v>0.6875</v>
      </c>
      <c r="N364" s="14" t="n">
        <f aca="false">IF(AND(ISNUMBER(L364),ISNUMBER(M364)),MAX(0,(M364-L364)*24),0)</f>
        <v>8.5</v>
      </c>
      <c r="O364" s="14" t="n">
        <f aca="false">IF(NOT(U364),0,IF(K364="Vacation",IF(C364="Eve",Settings!$B$9*Settings!$B$11,W364),IF(K364="Partial Vacation",IF(AND(ISNUMBER(H364),ISNUMBER(I364)),MAX(0,(I364-H364)*24),0),0)))</f>
        <v>0</v>
      </c>
      <c r="P364" s="14" t="n">
        <f aca="false">IF(NOT(U364),0,IF(K364="Sick Leave",W364,IF(K364="Partial Sick Leave",IF(AND(ISNUMBER(H364),ISNUMBER(I364)),MAX(0,(I364-H364)*24),0),0)))</f>
        <v>0</v>
      </c>
      <c r="Q364" s="14" t="n">
        <f aca="false">IF(NOT(U364),0,IF(K364="Vacation",IF(C364="Eve",Settings!$B$11,1),IF(K364="Partial Vacation",O364/Settings!$B$9,0)))</f>
        <v>0</v>
      </c>
      <c r="R364" s="14" t="n">
        <f aca="false">IF(NOT(U364),0,IF(K364="Sick Leave",1,IF(K364="Partial Sick Leave",P364/Settings!$B$9,0)))</f>
        <v>0</v>
      </c>
      <c r="S364" s="35" t="str">
        <f aca="false">IF(AND(OR(E364="Vacation",E364="Sick Leave",E364="Partial Vacation",E364="Partial Sick Leave"),NOT(U364)),"Leave not allowed on this day",IF(AND(E364="Manual Work",OR(NOT(ISNUMBER(F364)),NOT(ISNUMBER(G364)))),"Enter start and end",IF(AND(OR(E364="Partial Vacation",E364="Partial Sick Leave"),OR(NOT(ISNUMBER(H364)),NOT(ISNUMBER(I364)))),"Enter leave from and to",IF(AND(ISNUMBER(F364),ISNUMBER(G364),G364&lt;=F364),"End is before start",IF(AND(ISNUMBER(H364),ISNUMBER(I364),I364&lt;=H364),"Leave end is before start",IF(AND(ISNUMBER(F364),ISNUMBER(G364),ISNUMBER(H364),ISNUMBER(I364),F364&lt;I364,H364&lt;G364),"Work and leave hours overlap",IF(AND(E364&lt;&gt;"",WEEKDAY(A364)=7),"Saturday - administrator only","")))))))</f>
        <v/>
      </c>
      <c r="T364" s="36" t="n">
        <f aca="false">MONTH(A364)</f>
        <v>12</v>
      </c>
      <c r="U364" s="37" t="b">
        <f aca="false">OR(C364="Workday",C364="Eve")</f>
        <v>1</v>
      </c>
      <c r="V364" s="34" t="n">
        <f aca="false">IF(C364="Eve",Settings!$B$8,Settings!$B$7)</f>
        <v>0.6875</v>
      </c>
      <c r="W364" s="14" t="n">
        <f aca="false">IF(U364,(V364-Settings!$B$6)*24,0)</f>
        <v>8.5</v>
      </c>
    </row>
    <row r="365" customFormat="false" ht="15" hidden="false" customHeight="false" outlineLevel="0" collapsed="false">
      <c r="A365" s="29" t="n">
        <v>46381</v>
      </c>
      <c r="B365" s="30" t="str">
        <f aca="false">CHOOSE(WEEKDAY(A365),"Sun","Mon","Tue","Wed","Thu","Fri","Sat")</f>
        <v>Fri</v>
      </c>
      <c r="C365" s="30" t="str">
        <f aca="false">IF(IFERROR(INDEX(Holidays!$D$5:$D$60,MATCH(A365,Holidays!$A$5:$A$60,0)),"")="Holiday","Holiday",IF(WEEKDAY(A365)&gt;=6,"Weekend",IF(IFERROR(INDEX(Holidays!$D$5:$D$60,MATCH(A365,Holidays!$A$5:$A$60,0)),"")="Eve","Eve","Workday")))</f>
        <v>Weekend</v>
      </c>
      <c r="D365" s="18" t="str">
        <f aca="false">IFERROR(INDEX(Holidays!$C$5:$C$60,MATCH(A365,Holidays!$A$5:$A$60,0)),"")</f>
        <v/>
      </c>
      <c r="E365" s="31"/>
      <c r="F365" s="32"/>
      <c r="G365" s="32"/>
      <c r="H365" s="32"/>
      <c r="I365" s="32"/>
      <c r="J365" s="31"/>
      <c r="K365" s="33" t="str">
        <f aca="false">IF(E365&lt;&gt;"",E365,IF(U365,"Present",IF(C365="Holiday","Holiday","Weekend")))</f>
        <v>Weekend</v>
      </c>
      <c r="L365" s="34" t="str">
        <f aca="false">IF(OR(K365="Present",K365="Manual Work",K365="Partial Vacation",K365="Partial Sick Leave"),IF(ISNUMBER(F365),F365,IF(AND(K365="Present",U365),Settings!$B$6,"")),"")</f>
        <v/>
      </c>
      <c r="M365" s="34" t="str">
        <f aca="false">IF(OR(K365="Present",K365="Manual Work",K365="Partial Vacation",K365="Partial Sick Leave"),IF(ISNUMBER(G365),G365,IF(AND(K365="Present",U365),V365,"")),"")</f>
        <v/>
      </c>
      <c r="N365" s="14" t="n">
        <f aca="false">IF(AND(ISNUMBER(L365),ISNUMBER(M365)),MAX(0,(M365-L365)*24),0)</f>
        <v>0</v>
      </c>
      <c r="O365" s="14" t="n">
        <f aca="false">IF(NOT(U365),0,IF(K365="Vacation",IF(C365="Eve",Settings!$B$9*Settings!$B$11,W365),IF(K365="Partial Vacation",IF(AND(ISNUMBER(H365),ISNUMBER(I365)),MAX(0,(I365-H365)*24),0),0)))</f>
        <v>0</v>
      </c>
      <c r="P365" s="14" t="n">
        <f aca="false">IF(NOT(U365),0,IF(K365="Sick Leave",W365,IF(K365="Partial Sick Leave",IF(AND(ISNUMBER(H365),ISNUMBER(I365)),MAX(0,(I365-H365)*24),0),0)))</f>
        <v>0</v>
      </c>
      <c r="Q365" s="14" t="n">
        <f aca="false">IF(NOT(U365),0,IF(K365="Vacation",IF(C365="Eve",Settings!$B$11,1),IF(K365="Partial Vacation",O365/Settings!$B$9,0)))</f>
        <v>0</v>
      </c>
      <c r="R365" s="14" t="n">
        <f aca="false">IF(NOT(U365),0,IF(K365="Sick Leave",1,IF(K365="Partial Sick Leave",P365/Settings!$B$9,0)))</f>
        <v>0</v>
      </c>
      <c r="S365" s="35" t="str">
        <f aca="false">IF(AND(OR(E365="Vacation",E365="Sick Leave",E365="Partial Vacation",E365="Partial Sick Leave"),NOT(U365)),"Leave not allowed on this day",IF(AND(E365="Manual Work",OR(NOT(ISNUMBER(F365)),NOT(ISNUMBER(G365)))),"Enter start and end",IF(AND(OR(E365="Partial Vacation",E365="Partial Sick Leave"),OR(NOT(ISNUMBER(H365)),NOT(ISNUMBER(I365)))),"Enter leave from and to",IF(AND(ISNUMBER(F365),ISNUMBER(G365),G365&lt;=F365),"End is before start",IF(AND(ISNUMBER(H365),ISNUMBER(I365),I365&lt;=H365),"Leave end is before start",IF(AND(ISNUMBER(F365),ISNUMBER(G365),ISNUMBER(H365),ISNUMBER(I365),F365&lt;I365,H365&lt;G365),"Work and leave hours overlap",IF(AND(E365&lt;&gt;"",WEEKDAY(A365)=7),"Saturday - administrator only","")))))))</f>
        <v/>
      </c>
      <c r="T365" s="36" t="n">
        <f aca="false">MONTH(A365)</f>
        <v>12</v>
      </c>
      <c r="U365" s="37" t="b">
        <f aca="false">OR(C365="Workday",C365="Eve")</f>
        <v>0</v>
      </c>
      <c r="V365" s="34" t="n">
        <f aca="false">IF(C365="Eve",Settings!$B$8,Settings!$B$7)</f>
        <v>0.6875</v>
      </c>
      <c r="W365" s="14" t="n">
        <f aca="false">IF(U365,(V365-Settings!$B$6)*24,0)</f>
        <v>0</v>
      </c>
    </row>
    <row r="366" customFormat="false" ht="15" hidden="false" customHeight="false" outlineLevel="0" collapsed="false">
      <c r="A366" s="29" t="n">
        <v>46382</v>
      </c>
      <c r="B366" s="30" t="str">
        <f aca="false">CHOOSE(WEEKDAY(A366),"Sun","Mon","Tue","Wed","Thu","Fri","Sat")</f>
        <v>Sat</v>
      </c>
      <c r="C366" s="30" t="str">
        <f aca="false">IF(IFERROR(INDEX(Holidays!$D$5:$D$60,MATCH(A366,Holidays!$A$5:$A$60,0)),"")="Holiday","Holiday",IF(WEEKDAY(A366)&gt;=6,"Weekend",IF(IFERROR(INDEX(Holidays!$D$5:$D$60,MATCH(A366,Holidays!$A$5:$A$60,0)),"")="Eve","Eve","Workday")))</f>
        <v>Weekend</v>
      </c>
      <c r="D366" s="18" t="str">
        <f aca="false">IFERROR(INDEX(Holidays!$C$5:$C$60,MATCH(A366,Holidays!$A$5:$A$60,0)),"")</f>
        <v/>
      </c>
      <c r="E366" s="31"/>
      <c r="F366" s="32"/>
      <c r="G366" s="32"/>
      <c r="H366" s="32"/>
      <c r="I366" s="32"/>
      <c r="J366" s="31"/>
      <c r="K366" s="33" t="str">
        <f aca="false">IF(E366&lt;&gt;"",E366,IF(U366,"Present",IF(C366="Holiday","Holiday","Weekend")))</f>
        <v>Weekend</v>
      </c>
      <c r="L366" s="34" t="str">
        <f aca="false">IF(OR(K366="Present",K366="Manual Work",K366="Partial Vacation",K366="Partial Sick Leave"),IF(ISNUMBER(F366),F366,IF(AND(K366="Present",U366),Settings!$B$6,"")),"")</f>
        <v/>
      </c>
      <c r="M366" s="34" t="str">
        <f aca="false">IF(OR(K366="Present",K366="Manual Work",K366="Partial Vacation",K366="Partial Sick Leave"),IF(ISNUMBER(G366),G366,IF(AND(K366="Present",U366),V366,"")),"")</f>
        <v/>
      </c>
      <c r="N366" s="14" t="n">
        <f aca="false">IF(AND(ISNUMBER(L366),ISNUMBER(M366)),MAX(0,(M366-L366)*24),0)</f>
        <v>0</v>
      </c>
      <c r="O366" s="14" t="n">
        <f aca="false">IF(NOT(U366),0,IF(K366="Vacation",IF(C366="Eve",Settings!$B$9*Settings!$B$11,W366),IF(K366="Partial Vacation",IF(AND(ISNUMBER(H366),ISNUMBER(I366)),MAX(0,(I366-H366)*24),0),0)))</f>
        <v>0</v>
      </c>
      <c r="P366" s="14" t="n">
        <f aca="false">IF(NOT(U366),0,IF(K366="Sick Leave",W366,IF(K366="Partial Sick Leave",IF(AND(ISNUMBER(H366),ISNUMBER(I366)),MAX(0,(I366-H366)*24),0),0)))</f>
        <v>0</v>
      </c>
      <c r="Q366" s="14" t="n">
        <f aca="false">IF(NOT(U366),0,IF(K366="Vacation",IF(C366="Eve",Settings!$B$11,1),IF(K366="Partial Vacation",O366/Settings!$B$9,0)))</f>
        <v>0</v>
      </c>
      <c r="R366" s="14" t="n">
        <f aca="false">IF(NOT(U366),0,IF(K366="Sick Leave",1,IF(K366="Partial Sick Leave",P366/Settings!$B$9,0)))</f>
        <v>0</v>
      </c>
      <c r="S366" s="35" t="str">
        <f aca="false">IF(AND(OR(E366="Vacation",E366="Sick Leave",E366="Partial Vacation",E366="Partial Sick Leave"),NOT(U366)),"Leave not allowed on this day",IF(AND(E366="Manual Work",OR(NOT(ISNUMBER(F366)),NOT(ISNUMBER(G366)))),"Enter start and end",IF(AND(OR(E366="Partial Vacation",E366="Partial Sick Leave"),OR(NOT(ISNUMBER(H366)),NOT(ISNUMBER(I366)))),"Enter leave from and to",IF(AND(ISNUMBER(F366),ISNUMBER(G366),G366&lt;=F366),"End is before start",IF(AND(ISNUMBER(H366),ISNUMBER(I366),I366&lt;=H366),"Leave end is before start",IF(AND(ISNUMBER(F366),ISNUMBER(G366),ISNUMBER(H366),ISNUMBER(I366),F366&lt;I366,H366&lt;G366),"Work and leave hours overlap",IF(AND(E366&lt;&gt;"",WEEKDAY(A366)=7),"Saturday - administrator only","")))))))</f>
        <v/>
      </c>
      <c r="T366" s="36" t="n">
        <f aca="false">MONTH(A366)</f>
        <v>12</v>
      </c>
      <c r="U366" s="37" t="b">
        <f aca="false">OR(C366="Workday",C366="Eve")</f>
        <v>0</v>
      </c>
      <c r="V366" s="34" t="n">
        <f aca="false">IF(C366="Eve",Settings!$B$8,Settings!$B$7)</f>
        <v>0.6875</v>
      </c>
      <c r="W366" s="14" t="n">
        <f aca="false">IF(U366,(V366-Settings!$B$6)*24,0)</f>
        <v>0</v>
      </c>
    </row>
    <row r="367" customFormat="false" ht="15" hidden="false" customHeight="false" outlineLevel="0" collapsed="false">
      <c r="A367" s="29" t="n">
        <v>46383</v>
      </c>
      <c r="B367" s="30" t="str">
        <f aca="false">CHOOSE(WEEKDAY(A367),"Sun","Mon","Tue","Wed","Thu","Fri","Sat")</f>
        <v>Sun</v>
      </c>
      <c r="C367" s="30" t="str">
        <f aca="false">IF(IFERROR(INDEX(Holidays!$D$5:$D$60,MATCH(A367,Holidays!$A$5:$A$60,0)),"")="Holiday","Holiday",IF(WEEKDAY(A367)&gt;=6,"Weekend",IF(IFERROR(INDEX(Holidays!$D$5:$D$60,MATCH(A367,Holidays!$A$5:$A$60,0)),"")="Eve","Eve","Workday")))</f>
        <v>Workday</v>
      </c>
      <c r="D367" s="18" t="str">
        <f aca="false">IFERROR(INDEX(Holidays!$C$5:$C$60,MATCH(A367,Holidays!$A$5:$A$60,0)),"")</f>
        <v/>
      </c>
      <c r="E367" s="31"/>
      <c r="F367" s="32"/>
      <c r="G367" s="32"/>
      <c r="H367" s="32"/>
      <c r="I367" s="32"/>
      <c r="J367" s="31"/>
      <c r="K367" s="33" t="str">
        <f aca="false">IF(E367&lt;&gt;"",E367,IF(U367,"Present",IF(C367="Holiday","Holiday","Weekend")))</f>
        <v>Present</v>
      </c>
      <c r="L367" s="34" t="n">
        <f aca="false">IF(OR(K367="Present",K367="Manual Work",K367="Partial Vacation",K367="Partial Sick Leave"),IF(ISNUMBER(F367),F367,IF(AND(K367="Present",U367),Settings!$B$6,"")),"")</f>
        <v>0.333333333333333</v>
      </c>
      <c r="M367" s="34" t="n">
        <f aca="false">IF(OR(K367="Present",K367="Manual Work",K367="Partial Vacation",K367="Partial Sick Leave"),IF(ISNUMBER(G367),G367,IF(AND(K367="Present",U367),V367,"")),"")</f>
        <v>0.6875</v>
      </c>
      <c r="N367" s="14" t="n">
        <f aca="false">IF(AND(ISNUMBER(L367),ISNUMBER(M367)),MAX(0,(M367-L367)*24),0)</f>
        <v>8.5</v>
      </c>
      <c r="O367" s="14" t="n">
        <f aca="false">IF(NOT(U367),0,IF(K367="Vacation",IF(C367="Eve",Settings!$B$9*Settings!$B$11,W367),IF(K367="Partial Vacation",IF(AND(ISNUMBER(H367),ISNUMBER(I367)),MAX(0,(I367-H367)*24),0),0)))</f>
        <v>0</v>
      </c>
      <c r="P367" s="14" t="n">
        <f aca="false">IF(NOT(U367),0,IF(K367="Sick Leave",W367,IF(K367="Partial Sick Leave",IF(AND(ISNUMBER(H367),ISNUMBER(I367)),MAX(0,(I367-H367)*24),0),0)))</f>
        <v>0</v>
      </c>
      <c r="Q367" s="14" t="n">
        <f aca="false">IF(NOT(U367),0,IF(K367="Vacation",IF(C367="Eve",Settings!$B$11,1),IF(K367="Partial Vacation",O367/Settings!$B$9,0)))</f>
        <v>0</v>
      </c>
      <c r="R367" s="14" t="n">
        <f aca="false">IF(NOT(U367),0,IF(K367="Sick Leave",1,IF(K367="Partial Sick Leave",P367/Settings!$B$9,0)))</f>
        <v>0</v>
      </c>
      <c r="S367" s="35" t="str">
        <f aca="false">IF(AND(OR(E367="Vacation",E367="Sick Leave",E367="Partial Vacation",E367="Partial Sick Leave"),NOT(U367)),"Leave not allowed on this day",IF(AND(E367="Manual Work",OR(NOT(ISNUMBER(F367)),NOT(ISNUMBER(G367)))),"Enter start and end",IF(AND(OR(E367="Partial Vacation",E367="Partial Sick Leave"),OR(NOT(ISNUMBER(H367)),NOT(ISNUMBER(I367)))),"Enter leave from and to",IF(AND(ISNUMBER(F367),ISNUMBER(G367),G367&lt;=F367),"End is before start",IF(AND(ISNUMBER(H367),ISNUMBER(I367),I367&lt;=H367),"Leave end is before start",IF(AND(ISNUMBER(F367),ISNUMBER(G367),ISNUMBER(H367),ISNUMBER(I367),F367&lt;I367,H367&lt;G367),"Work and leave hours overlap",IF(AND(E367&lt;&gt;"",WEEKDAY(A367)=7),"Saturday - administrator only","")))))))</f>
        <v/>
      </c>
      <c r="T367" s="36" t="n">
        <f aca="false">MONTH(A367)</f>
        <v>12</v>
      </c>
      <c r="U367" s="37" t="b">
        <f aca="false">OR(C367="Workday",C367="Eve")</f>
        <v>1</v>
      </c>
      <c r="V367" s="34" t="n">
        <f aca="false">IF(C367="Eve",Settings!$B$8,Settings!$B$7)</f>
        <v>0.6875</v>
      </c>
      <c r="W367" s="14" t="n">
        <f aca="false">IF(U367,(V367-Settings!$B$6)*24,0)</f>
        <v>8.5</v>
      </c>
    </row>
    <row r="368" customFormat="false" ht="15" hidden="false" customHeight="false" outlineLevel="0" collapsed="false">
      <c r="A368" s="29" t="n">
        <v>46384</v>
      </c>
      <c r="B368" s="30" t="str">
        <f aca="false">CHOOSE(WEEKDAY(A368),"Sun","Mon","Tue","Wed","Thu","Fri","Sat")</f>
        <v>Mon</v>
      </c>
      <c r="C368" s="30" t="str">
        <f aca="false">IF(IFERROR(INDEX(Holidays!$D$5:$D$60,MATCH(A368,Holidays!$A$5:$A$60,0)),"")="Holiday","Holiday",IF(WEEKDAY(A368)&gt;=6,"Weekend",IF(IFERROR(INDEX(Holidays!$D$5:$D$60,MATCH(A368,Holidays!$A$5:$A$60,0)),"")="Eve","Eve","Workday")))</f>
        <v>Workday</v>
      </c>
      <c r="D368" s="18" t="str">
        <f aca="false">IFERROR(INDEX(Holidays!$C$5:$C$60,MATCH(A368,Holidays!$A$5:$A$60,0)),"")</f>
        <v/>
      </c>
      <c r="E368" s="31"/>
      <c r="F368" s="32"/>
      <c r="G368" s="32"/>
      <c r="H368" s="32"/>
      <c r="I368" s="32"/>
      <c r="J368" s="31"/>
      <c r="K368" s="33" t="str">
        <f aca="false">IF(E368&lt;&gt;"",E368,IF(U368,"Present",IF(C368="Holiday","Holiday","Weekend")))</f>
        <v>Present</v>
      </c>
      <c r="L368" s="34" t="n">
        <f aca="false">IF(OR(K368="Present",K368="Manual Work",K368="Partial Vacation",K368="Partial Sick Leave"),IF(ISNUMBER(F368),F368,IF(AND(K368="Present",U368),Settings!$B$6,"")),"")</f>
        <v>0.333333333333333</v>
      </c>
      <c r="M368" s="34" t="n">
        <f aca="false">IF(OR(K368="Present",K368="Manual Work",K368="Partial Vacation",K368="Partial Sick Leave"),IF(ISNUMBER(G368),G368,IF(AND(K368="Present",U368),V368,"")),"")</f>
        <v>0.6875</v>
      </c>
      <c r="N368" s="14" t="n">
        <f aca="false">IF(AND(ISNUMBER(L368),ISNUMBER(M368)),MAX(0,(M368-L368)*24),0)</f>
        <v>8.5</v>
      </c>
      <c r="O368" s="14" t="n">
        <f aca="false">IF(NOT(U368),0,IF(K368="Vacation",IF(C368="Eve",Settings!$B$9*Settings!$B$11,W368),IF(K368="Partial Vacation",IF(AND(ISNUMBER(H368),ISNUMBER(I368)),MAX(0,(I368-H368)*24),0),0)))</f>
        <v>0</v>
      </c>
      <c r="P368" s="14" t="n">
        <f aca="false">IF(NOT(U368),0,IF(K368="Sick Leave",W368,IF(K368="Partial Sick Leave",IF(AND(ISNUMBER(H368),ISNUMBER(I368)),MAX(0,(I368-H368)*24),0),0)))</f>
        <v>0</v>
      </c>
      <c r="Q368" s="14" t="n">
        <f aca="false">IF(NOT(U368),0,IF(K368="Vacation",IF(C368="Eve",Settings!$B$11,1),IF(K368="Partial Vacation",O368/Settings!$B$9,0)))</f>
        <v>0</v>
      </c>
      <c r="R368" s="14" t="n">
        <f aca="false">IF(NOT(U368),0,IF(K368="Sick Leave",1,IF(K368="Partial Sick Leave",P368/Settings!$B$9,0)))</f>
        <v>0</v>
      </c>
      <c r="S368" s="35" t="str">
        <f aca="false">IF(AND(OR(E368="Vacation",E368="Sick Leave",E368="Partial Vacation",E368="Partial Sick Leave"),NOT(U368)),"Leave not allowed on this day",IF(AND(E368="Manual Work",OR(NOT(ISNUMBER(F368)),NOT(ISNUMBER(G368)))),"Enter start and end",IF(AND(OR(E368="Partial Vacation",E368="Partial Sick Leave"),OR(NOT(ISNUMBER(H368)),NOT(ISNUMBER(I368)))),"Enter leave from and to",IF(AND(ISNUMBER(F368),ISNUMBER(G368),G368&lt;=F368),"End is before start",IF(AND(ISNUMBER(H368),ISNUMBER(I368),I368&lt;=H368),"Leave end is before start",IF(AND(ISNUMBER(F368),ISNUMBER(G368),ISNUMBER(H368),ISNUMBER(I368),F368&lt;I368,H368&lt;G368),"Work and leave hours overlap",IF(AND(E368&lt;&gt;"",WEEKDAY(A368)=7),"Saturday - administrator only","")))))))</f>
        <v/>
      </c>
      <c r="T368" s="36" t="n">
        <f aca="false">MONTH(A368)</f>
        <v>12</v>
      </c>
      <c r="U368" s="37" t="b">
        <f aca="false">OR(C368="Workday",C368="Eve")</f>
        <v>1</v>
      </c>
      <c r="V368" s="34" t="n">
        <f aca="false">IF(C368="Eve",Settings!$B$8,Settings!$B$7)</f>
        <v>0.6875</v>
      </c>
      <c r="W368" s="14" t="n">
        <f aca="false">IF(U368,(V368-Settings!$B$6)*24,0)</f>
        <v>8.5</v>
      </c>
    </row>
    <row r="369" customFormat="false" ht="15" hidden="false" customHeight="false" outlineLevel="0" collapsed="false">
      <c r="A369" s="29" t="n">
        <v>46385</v>
      </c>
      <c r="B369" s="30" t="str">
        <f aca="false">CHOOSE(WEEKDAY(A369),"Sun","Mon","Tue","Wed","Thu","Fri","Sat")</f>
        <v>Tue</v>
      </c>
      <c r="C369" s="30" t="str">
        <f aca="false">IF(IFERROR(INDEX(Holidays!$D$5:$D$60,MATCH(A369,Holidays!$A$5:$A$60,0)),"")="Holiday","Holiday",IF(WEEKDAY(A369)&gt;=6,"Weekend",IF(IFERROR(INDEX(Holidays!$D$5:$D$60,MATCH(A369,Holidays!$A$5:$A$60,0)),"")="Eve","Eve","Workday")))</f>
        <v>Workday</v>
      </c>
      <c r="D369" s="18" t="str">
        <f aca="false">IFERROR(INDEX(Holidays!$C$5:$C$60,MATCH(A369,Holidays!$A$5:$A$60,0)),"")</f>
        <v/>
      </c>
      <c r="E369" s="31"/>
      <c r="F369" s="32"/>
      <c r="G369" s="32"/>
      <c r="H369" s="32"/>
      <c r="I369" s="32"/>
      <c r="J369" s="31"/>
      <c r="K369" s="33" t="str">
        <f aca="false">IF(E369&lt;&gt;"",E369,IF(U369,"Present",IF(C369="Holiday","Holiday","Weekend")))</f>
        <v>Present</v>
      </c>
      <c r="L369" s="34" t="n">
        <f aca="false">IF(OR(K369="Present",K369="Manual Work",K369="Partial Vacation",K369="Partial Sick Leave"),IF(ISNUMBER(F369),F369,IF(AND(K369="Present",U369),Settings!$B$6,"")),"")</f>
        <v>0.333333333333333</v>
      </c>
      <c r="M369" s="34" t="n">
        <f aca="false">IF(OR(K369="Present",K369="Manual Work",K369="Partial Vacation",K369="Partial Sick Leave"),IF(ISNUMBER(G369),G369,IF(AND(K369="Present",U369),V369,"")),"")</f>
        <v>0.6875</v>
      </c>
      <c r="N369" s="14" t="n">
        <f aca="false">IF(AND(ISNUMBER(L369),ISNUMBER(M369)),MAX(0,(M369-L369)*24),0)</f>
        <v>8.5</v>
      </c>
      <c r="O369" s="14" t="n">
        <f aca="false">IF(NOT(U369),0,IF(K369="Vacation",IF(C369="Eve",Settings!$B$9*Settings!$B$11,W369),IF(K369="Partial Vacation",IF(AND(ISNUMBER(H369),ISNUMBER(I369)),MAX(0,(I369-H369)*24),0),0)))</f>
        <v>0</v>
      </c>
      <c r="P369" s="14" t="n">
        <f aca="false">IF(NOT(U369),0,IF(K369="Sick Leave",W369,IF(K369="Partial Sick Leave",IF(AND(ISNUMBER(H369),ISNUMBER(I369)),MAX(0,(I369-H369)*24),0),0)))</f>
        <v>0</v>
      </c>
      <c r="Q369" s="14" t="n">
        <f aca="false">IF(NOT(U369),0,IF(K369="Vacation",IF(C369="Eve",Settings!$B$11,1),IF(K369="Partial Vacation",O369/Settings!$B$9,0)))</f>
        <v>0</v>
      </c>
      <c r="R369" s="14" t="n">
        <f aca="false">IF(NOT(U369),0,IF(K369="Sick Leave",1,IF(K369="Partial Sick Leave",P369/Settings!$B$9,0)))</f>
        <v>0</v>
      </c>
      <c r="S369" s="35" t="str">
        <f aca="false">IF(AND(OR(E369="Vacation",E369="Sick Leave",E369="Partial Vacation",E369="Partial Sick Leave"),NOT(U369)),"Leave not allowed on this day",IF(AND(E369="Manual Work",OR(NOT(ISNUMBER(F369)),NOT(ISNUMBER(G369)))),"Enter start and end",IF(AND(OR(E369="Partial Vacation",E369="Partial Sick Leave"),OR(NOT(ISNUMBER(H369)),NOT(ISNUMBER(I369)))),"Enter leave from and to",IF(AND(ISNUMBER(F369),ISNUMBER(G369),G369&lt;=F369),"End is before start",IF(AND(ISNUMBER(H369),ISNUMBER(I369),I369&lt;=H369),"Leave end is before start",IF(AND(ISNUMBER(F369),ISNUMBER(G369),ISNUMBER(H369),ISNUMBER(I369),F369&lt;I369,H369&lt;G369),"Work and leave hours overlap",IF(AND(E369&lt;&gt;"",WEEKDAY(A369)=7),"Saturday - administrator only","")))))))</f>
        <v/>
      </c>
      <c r="T369" s="36" t="n">
        <f aca="false">MONTH(A369)</f>
        <v>12</v>
      </c>
      <c r="U369" s="37" t="b">
        <f aca="false">OR(C369="Workday",C369="Eve")</f>
        <v>1</v>
      </c>
      <c r="V369" s="34" t="n">
        <f aca="false">IF(C369="Eve",Settings!$B$8,Settings!$B$7)</f>
        <v>0.6875</v>
      </c>
      <c r="W369" s="14" t="n">
        <f aca="false">IF(U369,(V369-Settings!$B$6)*24,0)</f>
        <v>8.5</v>
      </c>
    </row>
    <row r="370" customFormat="false" ht="15" hidden="false" customHeight="false" outlineLevel="0" collapsed="false">
      <c r="A370" s="29" t="n">
        <v>46386</v>
      </c>
      <c r="B370" s="30" t="str">
        <f aca="false">CHOOSE(WEEKDAY(A370),"Sun","Mon","Tue","Wed","Thu","Fri","Sat")</f>
        <v>Wed</v>
      </c>
      <c r="C370" s="30" t="str">
        <f aca="false">IF(IFERROR(INDEX(Holidays!$D$5:$D$60,MATCH(A370,Holidays!$A$5:$A$60,0)),"")="Holiday","Holiday",IF(WEEKDAY(A370)&gt;=6,"Weekend",IF(IFERROR(INDEX(Holidays!$D$5:$D$60,MATCH(A370,Holidays!$A$5:$A$60,0)),"")="Eve","Eve","Workday")))</f>
        <v>Workday</v>
      </c>
      <c r="D370" s="18" t="str">
        <f aca="false">IFERROR(INDEX(Holidays!$C$5:$C$60,MATCH(A370,Holidays!$A$5:$A$60,0)),"")</f>
        <v/>
      </c>
      <c r="E370" s="31"/>
      <c r="F370" s="32"/>
      <c r="G370" s="32"/>
      <c r="H370" s="32"/>
      <c r="I370" s="32"/>
      <c r="J370" s="31"/>
      <c r="K370" s="33" t="str">
        <f aca="false">IF(E370&lt;&gt;"",E370,IF(U370,"Present",IF(C370="Holiday","Holiday","Weekend")))</f>
        <v>Present</v>
      </c>
      <c r="L370" s="34" t="n">
        <f aca="false">IF(OR(K370="Present",K370="Manual Work",K370="Partial Vacation",K370="Partial Sick Leave"),IF(ISNUMBER(F370),F370,IF(AND(K370="Present",U370),Settings!$B$6,"")),"")</f>
        <v>0.333333333333333</v>
      </c>
      <c r="M370" s="34" t="n">
        <f aca="false">IF(OR(K370="Present",K370="Manual Work",K370="Partial Vacation",K370="Partial Sick Leave"),IF(ISNUMBER(G370),G370,IF(AND(K370="Present",U370),V370,"")),"")</f>
        <v>0.6875</v>
      </c>
      <c r="N370" s="14" t="n">
        <f aca="false">IF(AND(ISNUMBER(L370),ISNUMBER(M370)),MAX(0,(M370-L370)*24),0)</f>
        <v>8.5</v>
      </c>
      <c r="O370" s="14" t="n">
        <f aca="false">IF(NOT(U370),0,IF(K370="Vacation",IF(C370="Eve",Settings!$B$9*Settings!$B$11,W370),IF(K370="Partial Vacation",IF(AND(ISNUMBER(H370),ISNUMBER(I370)),MAX(0,(I370-H370)*24),0),0)))</f>
        <v>0</v>
      </c>
      <c r="P370" s="14" t="n">
        <f aca="false">IF(NOT(U370),0,IF(K370="Sick Leave",W370,IF(K370="Partial Sick Leave",IF(AND(ISNUMBER(H370),ISNUMBER(I370)),MAX(0,(I370-H370)*24),0),0)))</f>
        <v>0</v>
      </c>
      <c r="Q370" s="14" t="n">
        <f aca="false">IF(NOT(U370),0,IF(K370="Vacation",IF(C370="Eve",Settings!$B$11,1),IF(K370="Partial Vacation",O370/Settings!$B$9,0)))</f>
        <v>0</v>
      </c>
      <c r="R370" s="14" t="n">
        <f aca="false">IF(NOT(U370),0,IF(K370="Sick Leave",1,IF(K370="Partial Sick Leave",P370/Settings!$B$9,0)))</f>
        <v>0</v>
      </c>
      <c r="S370" s="35" t="str">
        <f aca="false">IF(AND(OR(E370="Vacation",E370="Sick Leave",E370="Partial Vacation",E370="Partial Sick Leave"),NOT(U370)),"Leave not allowed on this day",IF(AND(E370="Manual Work",OR(NOT(ISNUMBER(F370)),NOT(ISNUMBER(G370)))),"Enter start and end",IF(AND(OR(E370="Partial Vacation",E370="Partial Sick Leave"),OR(NOT(ISNUMBER(H370)),NOT(ISNUMBER(I370)))),"Enter leave from and to",IF(AND(ISNUMBER(F370),ISNUMBER(G370),G370&lt;=F370),"End is before start",IF(AND(ISNUMBER(H370),ISNUMBER(I370),I370&lt;=H370),"Leave end is before start",IF(AND(ISNUMBER(F370),ISNUMBER(G370),ISNUMBER(H370),ISNUMBER(I370),F370&lt;I370,H370&lt;G370),"Work and leave hours overlap",IF(AND(E370&lt;&gt;"",WEEKDAY(A370)=7),"Saturday - administrator only","")))))))</f>
        <v/>
      </c>
      <c r="T370" s="36" t="n">
        <f aca="false">MONTH(A370)</f>
        <v>12</v>
      </c>
      <c r="U370" s="37" t="b">
        <f aca="false">OR(C370="Workday",C370="Eve")</f>
        <v>1</v>
      </c>
      <c r="V370" s="34" t="n">
        <f aca="false">IF(C370="Eve",Settings!$B$8,Settings!$B$7)</f>
        <v>0.6875</v>
      </c>
      <c r="W370" s="14" t="n">
        <f aca="false">IF(U370,(V370-Settings!$B$6)*24,0)</f>
        <v>8.5</v>
      </c>
    </row>
    <row r="371" customFormat="false" ht="15" hidden="false" customHeight="false" outlineLevel="0" collapsed="false">
      <c r="A371" s="29" t="n">
        <v>46387</v>
      </c>
      <c r="B371" s="30" t="str">
        <f aca="false">CHOOSE(WEEKDAY(A371),"Sun","Mon","Tue","Wed","Thu","Fri","Sat")</f>
        <v>Thu</v>
      </c>
      <c r="C371" s="30" t="str">
        <f aca="false">IF(IFERROR(INDEX(Holidays!$D$5:$D$60,MATCH(A371,Holidays!$A$5:$A$60,0)),"")="Holiday","Holiday",IF(WEEKDAY(A371)&gt;=6,"Weekend",IF(IFERROR(INDEX(Holidays!$D$5:$D$60,MATCH(A371,Holidays!$A$5:$A$60,0)),"")="Eve","Eve","Workday")))</f>
        <v>Workday</v>
      </c>
      <c r="D371" s="18" t="str">
        <f aca="false">IFERROR(INDEX(Holidays!$C$5:$C$60,MATCH(A371,Holidays!$A$5:$A$60,0)),"")</f>
        <v/>
      </c>
      <c r="E371" s="31"/>
      <c r="F371" s="32"/>
      <c r="G371" s="32"/>
      <c r="H371" s="32"/>
      <c r="I371" s="32"/>
      <c r="J371" s="31"/>
      <c r="K371" s="33" t="str">
        <f aca="false">IF(E371&lt;&gt;"",E371,IF(U371,"Present",IF(C371="Holiday","Holiday","Weekend")))</f>
        <v>Present</v>
      </c>
      <c r="L371" s="34" t="n">
        <f aca="false">IF(OR(K371="Present",K371="Manual Work",K371="Partial Vacation",K371="Partial Sick Leave"),IF(ISNUMBER(F371),F371,IF(AND(K371="Present",U371),Settings!$B$6,"")),"")</f>
        <v>0.333333333333333</v>
      </c>
      <c r="M371" s="34" t="n">
        <f aca="false">IF(OR(K371="Present",K371="Manual Work",K371="Partial Vacation",K371="Partial Sick Leave"),IF(ISNUMBER(G371),G371,IF(AND(K371="Present",U371),V371,"")),"")</f>
        <v>0.6875</v>
      </c>
      <c r="N371" s="14" t="n">
        <f aca="false">IF(AND(ISNUMBER(L371),ISNUMBER(M371)),MAX(0,(M371-L371)*24),0)</f>
        <v>8.5</v>
      </c>
      <c r="O371" s="14" t="n">
        <f aca="false">IF(NOT(U371),0,IF(K371="Vacation",IF(C371="Eve",Settings!$B$9*Settings!$B$11,W371),IF(K371="Partial Vacation",IF(AND(ISNUMBER(H371),ISNUMBER(I371)),MAX(0,(I371-H371)*24),0),0)))</f>
        <v>0</v>
      </c>
      <c r="P371" s="14" t="n">
        <f aca="false">IF(NOT(U371),0,IF(K371="Sick Leave",W371,IF(K371="Partial Sick Leave",IF(AND(ISNUMBER(H371),ISNUMBER(I371)),MAX(0,(I371-H371)*24),0),0)))</f>
        <v>0</v>
      </c>
      <c r="Q371" s="14" t="n">
        <f aca="false">IF(NOT(U371),0,IF(K371="Vacation",IF(C371="Eve",Settings!$B$11,1),IF(K371="Partial Vacation",O371/Settings!$B$9,0)))</f>
        <v>0</v>
      </c>
      <c r="R371" s="14" t="n">
        <f aca="false">IF(NOT(U371),0,IF(K371="Sick Leave",1,IF(K371="Partial Sick Leave",P371/Settings!$B$9,0)))</f>
        <v>0</v>
      </c>
      <c r="S371" s="35" t="str">
        <f aca="false">IF(AND(OR(E371="Vacation",E371="Sick Leave",E371="Partial Vacation",E371="Partial Sick Leave"),NOT(U371)),"Leave not allowed on this day",IF(AND(E371="Manual Work",OR(NOT(ISNUMBER(F371)),NOT(ISNUMBER(G371)))),"Enter start and end",IF(AND(OR(E371="Partial Vacation",E371="Partial Sick Leave"),OR(NOT(ISNUMBER(H371)),NOT(ISNUMBER(I371)))),"Enter leave from and to",IF(AND(ISNUMBER(F371),ISNUMBER(G371),G371&lt;=F371),"End is before start",IF(AND(ISNUMBER(H371),ISNUMBER(I371),I371&lt;=H371),"Leave end is before start",IF(AND(ISNUMBER(F371),ISNUMBER(G371),ISNUMBER(H371),ISNUMBER(I371),F371&lt;I371,H371&lt;G371),"Work and leave hours overlap",IF(AND(E371&lt;&gt;"",WEEKDAY(A371)=7),"Saturday - administrator only","")))))))</f>
        <v/>
      </c>
      <c r="T371" s="36" t="n">
        <f aca="false">MONTH(A371)</f>
        <v>12</v>
      </c>
      <c r="U371" s="37" t="b">
        <f aca="false">OR(C371="Workday",C371="Eve")</f>
        <v>1</v>
      </c>
      <c r="V371" s="34" t="n">
        <f aca="false">IF(C371="Eve",Settings!$B$8,Settings!$B$7)</f>
        <v>0.6875</v>
      </c>
      <c r="W371" s="14" t="n">
        <f aca="false">IF(U371,(V371-Settings!$B$6)*24,0)</f>
        <v>8.5</v>
      </c>
    </row>
  </sheetData>
  <sheetProtection sheet="true" formatColumns="false" formatRows="false" sort="false" autoFilter="false"/>
  <autoFilter ref="A6:S371"/>
  <mergeCells count="8">
    <mergeCell ref="A3:B3"/>
    <mergeCell ref="C3:D3"/>
    <mergeCell ref="F3:G3"/>
    <mergeCell ref="H3:I3"/>
    <mergeCell ref="A4:B4"/>
    <mergeCell ref="C4:D4"/>
    <mergeCell ref="F4:G4"/>
    <mergeCell ref="H4:I4"/>
  </mergeCells>
  <conditionalFormatting sqref="A7:S371">
    <cfRule type="expression" priority="2" aboveAverage="0" equalAverage="0" bottom="0" percent="0" rank="0" text="" dxfId="11">
      <formula>$C7="Holiday"</formula>
    </cfRule>
    <cfRule type="expression" priority="3" aboveAverage="0" equalAverage="0" bottom="0" percent="0" rank="0" text="" dxfId="12">
      <formula>$C7="Weekend"</formula>
    </cfRule>
  </conditionalFormatting>
  <conditionalFormatting sqref="K7:K371">
    <cfRule type="expression" priority="4" aboveAverage="0" equalAverage="0" bottom="0" percent="0" rank="0" text="" dxfId="13">
      <formula>$E7&lt;&gt;""</formula>
    </cfRule>
  </conditionalFormatting>
  <dataValidations count="2">
    <dataValidation allowBlank="true" error="Choose a status from the list, or leave empty." errorStyle="stop" operator="between" showDropDown="false" showErrorMessage="true" showInputMessage="false" sqref="E7:E371" type="list">
      <formula1>Lists!$A$1:$A$7</formula1>
      <formula2>0</formula2>
    </dataValidation>
    <dataValidation allowBlank="true" error="Enter a time as hh:mm, e.g. 08:00." errorStyle="stop" operator="between" showDropDown="false" showErrorMessage="true" showInputMessage="false" sqref="F7:I371" type="time">
      <formula1>0</formula1>
      <formula2>0.999305555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37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6" topLeftCell="E7" activePane="bottomRight" state="frozen"/>
      <selection pane="topLeft" activeCell="A1" activeCellId="0" sqref="A1"/>
      <selection pane="topRight" activeCell="E1" activeCellId="0" sqref="E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6"/>
    <col collapsed="false" customWidth="true" hidden="false" outlineLevel="0" max="3" min="3" style="0" width="10"/>
    <col collapsed="false" customWidth="true" hidden="false" outlineLevel="0" max="4" min="4" style="0" width="22"/>
    <col collapsed="false" customWidth="true" hidden="false" outlineLevel="0" max="5" min="5" style="0" width="20"/>
    <col collapsed="false" customWidth="true" hidden="false" outlineLevel="0" max="7" min="6" style="0" width="8"/>
    <col collapsed="false" customWidth="true" hidden="false" outlineLevel="0" max="9" min="8" style="0" width="10"/>
    <col collapsed="false" customWidth="true" hidden="false" outlineLevel="0" max="10" min="10" style="0" width="24"/>
    <col collapsed="false" customWidth="true" hidden="false" outlineLevel="0" max="11" min="11" style="0" width="16"/>
    <col collapsed="false" customWidth="true" hidden="false" outlineLevel="0" max="14" min="12" style="0" width="9"/>
    <col collapsed="false" customWidth="true" hidden="false" outlineLevel="0" max="18" min="15" style="0" width="10"/>
    <col collapsed="false" customWidth="true" hidden="false" outlineLevel="0" max="19" min="19" style="0" width="28"/>
    <col collapsed="false" customWidth="true" hidden="true" outlineLevel="0" max="20" min="20" style="0" width="7"/>
    <col collapsed="false" customWidth="true" hidden="true" outlineLevel="0" max="21" min="21" style="0" width="9"/>
    <col collapsed="false" customWidth="true" hidden="true" outlineLevel="0" max="22" min="22" style="0" width="8"/>
    <col collapsed="false" customWidth="true" hidden="true" outlineLevel="0" max="23" min="23" style="0" width="9"/>
  </cols>
  <sheetData>
    <row r="1" customFormat="false" ht="17.35" hidden="false" customHeight="false" outlineLevel="0" collapsed="false">
      <c r="A1" s="1" t="s">
        <v>95</v>
      </c>
    </row>
    <row r="2" customFormat="false" ht="15" hidden="false" customHeight="false" outlineLevel="0" collapsed="false">
      <c r="A2" s="2" t="s">
        <v>78</v>
      </c>
    </row>
    <row r="3" customFormat="false" ht="15" hidden="false" customHeight="false" outlineLevel="0" collapsed="false">
      <c r="A3" s="24" t="s">
        <v>47</v>
      </c>
      <c r="B3" s="24"/>
      <c r="C3" s="24" t="s">
        <v>46</v>
      </c>
      <c r="D3" s="24"/>
      <c r="E3" s="24" t="s">
        <v>79</v>
      </c>
      <c r="F3" s="24" t="s">
        <v>80</v>
      </c>
      <c r="G3" s="24"/>
      <c r="H3" s="24" t="s">
        <v>81</v>
      </c>
      <c r="I3" s="24"/>
      <c r="J3" s="24" t="s">
        <v>45</v>
      </c>
      <c r="K3" s="24" t="s">
        <v>62</v>
      </c>
    </row>
    <row r="4" customFormat="false" ht="15" hidden="false" customHeight="false" outlineLevel="0" collapsed="false">
      <c r="A4" s="25" t="n">
        <f aca="false">SUM(Q7:Q371)</f>
        <v>0</v>
      </c>
      <c r="B4" s="25"/>
      <c r="C4" s="25" t="n">
        <f aca="false">SUM(O7:O371)</f>
        <v>0</v>
      </c>
      <c r="D4" s="25"/>
      <c r="E4" s="25" t="n">
        <f aca="false">SUM(R7:R371)</f>
        <v>0</v>
      </c>
      <c r="F4" s="25" t="n">
        <f aca="false">SUM(P7:P371)</f>
        <v>0</v>
      </c>
      <c r="G4" s="25"/>
      <c r="H4" s="26" t="n">
        <f aca="false">COUNTIF(N7:N371,"&gt;0")</f>
        <v>256</v>
      </c>
      <c r="I4" s="26"/>
      <c r="J4" s="25" t="n">
        <f aca="false">SUM(N7:N371)</f>
        <v>2166</v>
      </c>
      <c r="K4" s="26" t="n">
        <f aca="false">COUNTIF(S7:S371,"?*")</f>
        <v>0</v>
      </c>
    </row>
    <row r="6" customFormat="false" ht="42" hidden="false" customHeight="true" outlineLevel="0" collapsed="false">
      <c r="A6" s="17" t="s">
        <v>40</v>
      </c>
      <c r="B6" s="17" t="s">
        <v>82</v>
      </c>
      <c r="C6" s="17" t="s">
        <v>83</v>
      </c>
      <c r="D6" s="17" t="s">
        <v>84</v>
      </c>
      <c r="E6" s="27" t="s">
        <v>85</v>
      </c>
      <c r="F6" s="27" t="s">
        <v>41</v>
      </c>
      <c r="G6" s="27" t="s">
        <v>42</v>
      </c>
      <c r="H6" s="27" t="s">
        <v>43</v>
      </c>
      <c r="I6" s="27" t="s">
        <v>44</v>
      </c>
      <c r="J6" s="27" t="s">
        <v>22</v>
      </c>
      <c r="K6" s="17" t="s">
        <v>86</v>
      </c>
      <c r="L6" s="17" t="s">
        <v>87</v>
      </c>
      <c r="M6" s="17" t="s">
        <v>88</v>
      </c>
      <c r="N6" s="17" t="s">
        <v>45</v>
      </c>
      <c r="O6" s="17" t="s">
        <v>46</v>
      </c>
      <c r="P6" s="17" t="s">
        <v>80</v>
      </c>
      <c r="Q6" s="17" t="s">
        <v>47</v>
      </c>
      <c r="R6" s="17" t="s">
        <v>79</v>
      </c>
      <c r="S6" s="17" t="s">
        <v>89</v>
      </c>
      <c r="T6" s="28" t="s">
        <v>90</v>
      </c>
      <c r="U6" s="28" t="s">
        <v>91</v>
      </c>
      <c r="V6" s="28" t="s">
        <v>92</v>
      </c>
      <c r="W6" s="28" t="s">
        <v>93</v>
      </c>
    </row>
    <row r="7" customFormat="false" ht="15" hidden="false" customHeight="false" outlineLevel="0" collapsed="false">
      <c r="A7" s="29" t="n">
        <v>46023</v>
      </c>
      <c r="B7" s="30" t="str">
        <f aca="false">CHOOSE(WEEKDAY(A7),"Sun","Mon","Tue","Wed","Thu","Fri","Sat")</f>
        <v>Thu</v>
      </c>
      <c r="C7" s="30" t="str">
        <f aca="false">IF(IFERROR(INDEX(Holidays!$D$5:$D$60,MATCH(A7,Holidays!$A$5:$A$60,0)),"")="Holiday","Holiday",IF(WEEKDAY(A7)&gt;=6,"Weekend",IF(IFERROR(INDEX(Holidays!$D$5:$D$60,MATCH(A7,Holidays!$A$5:$A$60,0)),"")="Eve","Eve","Workday")))</f>
        <v>Workday</v>
      </c>
      <c r="D7" s="18" t="str">
        <f aca="false">IFERROR(INDEX(Holidays!$C$5:$C$60,MATCH(A7,Holidays!$A$5:$A$60,0)),"")</f>
        <v/>
      </c>
      <c r="E7" s="31"/>
      <c r="F7" s="32"/>
      <c r="G7" s="32"/>
      <c r="H7" s="32"/>
      <c r="I7" s="32"/>
      <c r="J7" s="31"/>
      <c r="K7" s="33" t="str">
        <f aca="false">IF(E7&lt;&gt;"",E7,IF(U7,"Present",IF(C7="Holiday","Holiday","Weekend")))</f>
        <v>Present</v>
      </c>
      <c r="L7" s="34" t="n">
        <f aca="false">IF(OR(K7="Present",K7="Manual Work",K7="Partial Vacation",K7="Partial Sick Leave"),IF(ISNUMBER(F7),F7,IF(AND(K7="Present",U7),Settings!$B$6,"")),"")</f>
        <v>0.333333333333333</v>
      </c>
      <c r="M7" s="34" t="n">
        <f aca="false">IF(OR(K7="Present",K7="Manual Work",K7="Partial Vacation",K7="Partial Sick Leave"),IF(ISNUMBER(G7),G7,IF(AND(K7="Present",U7),V7,"")),"")</f>
        <v>0.6875</v>
      </c>
      <c r="N7" s="14" t="n">
        <f aca="false">IF(AND(ISNUMBER(L7),ISNUMBER(M7)),MAX(0,(M7-L7)*24),0)</f>
        <v>8.5</v>
      </c>
      <c r="O7" s="14" t="n">
        <f aca="false">IF(NOT(U7),0,IF(K7="Vacation",IF(C7="Eve",Settings!$B$9*Settings!$B$11,W7),IF(K7="Partial Vacation",IF(AND(ISNUMBER(H7),ISNUMBER(I7)),MAX(0,(I7-H7)*24),0),0)))</f>
        <v>0</v>
      </c>
      <c r="P7" s="14" t="n">
        <f aca="false">IF(NOT(U7),0,IF(K7="Sick Leave",W7,IF(K7="Partial Sick Leave",IF(AND(ISNUMBER(H7),ISNUMBER(I7)),MAX(0,(I7-H7)*24),0),0)))</f>
        <v>0</v>
      </c>
      <c r="Q7" s="14" t="n">
        <f aca="false">IF(NOT(U7),0,IF(K7="Vacation",IF(C7="Eve",Settings!$B$11,1),IF(K7="Partial Vacation",O7/Settings!$B$9,0)))</f>
        <v>0</v>
      </c>
      <c r="R7" s="14" t="n">
        <f aca="false">IF(NOT(U7),0,IF(K7="Sick Leave",1,IF(K7="Partial Sick Leave",P7/Settings!$B$9,0)))</f>
        <v>0</v>
      </c>
      <c r="S7" s="35" t="str">
        <f aca="false">IF(AND(OR(E7="Vacation",E7="Sick Leave",E7="Partial Vacation",E7="Partial Sick Leave"),NOT(U7)),"Leave not allowed on this day",IF(AND(E7="Manual Work",OR(NOT(ISNUMBER(F7)),NOT(ISNUMBER(G7)))),"Enter start and end",IF(AND(OR(E7="Partial Vacation",E7="Partial Sick Leave"),OR(NOT(ISNUMBER(H7)),NOT(ISNUMBER(I7)))),"Enter leave from and to",IF(AND(ISNUMBER(F7),ISNUMBER(G7),G7&lt;=F7),"End is before start",IF(AND(ISNUMBER(H7),ISNUMBER(I7),I7&lt;=H7),"Leave end is before start",IF(AND(ISNUMBER(F7),ISNUMBER(G7),ISNUMBER(H7),ISNUMBER(I7),F7&lt;I7,H7&lt;G7),"Work and leave hours overlap",IF(AND(E7&lt;&gt;"",WEEKDAY(A7)=7),"Saturday - administrator only","")))))))</f>
        <v/>
      </c>
      <c r="T7" s="36" t="n">
        <f aca="false">MONTH(A7)</f>
        <v>1</v>
      </c>
      <c r="U7" s="37" t="b">
        <f aca="false">OR(C7="Workday",C7="Eve")</f>
        <v>1</v>
      </c>
      <c r="V7" s="34" t="n">
        <f aca="false">IF(C7="Eve",Settings!$B$8,Settings!$B$7)</f>
        <v>0.6875</v>
      </c>
      <c r="W7" s="14" t="n">
        <f aca="false">IF(U7,(V7-Settings!$B$6)*24,0)</f>
        <v>8.5</v>
      </c>
    </row>
    <row r="8" customFormat="false" ht="15" hidden="false" customHeight="false" outlineLevel="0" collapsed="false">
      <c r="A8" s="29" t="n">
        <v>46024</v>
      </c>
      <c r="B8" s="30" t="str">
        <f aca="false">CHOOSE(WEEKDAY(A8),"Sun","Mon","Tue","Wed","Thu","Fri","Sat")</f>
        <v>Fri</v>
      </c>
      <c r="C8" s="30" t="str">
        <f aca="false">IF(IFERROR(INDEX(Holidays!$D$5:$D$60,MATCH(A8,Holidays!$A$5:$A$60,0)),"")="Holiday","Holiday",IF(WEEKDAY(A8)&gt;=6,"Weekend",IF(IFERROR(INDEX(Holidays!$D$5:$D$60,MATCH(A8,Holidays!$A$5:$A$60,0)),"")="Eve","Eve","Workday")))</f>
        <v>Weekend</v>
      </c>
      <c r="D8" s="18" t="str">
        <f aca="false">IFERROR(INDEX(Holidays!$C$5:$C$60,MATCH(A8,Holidays!$A$5:$A$60,0)),"")</f>
        <v/>
      </c>
      <c r="E8" s="31"/>
      <c r="F8" s="32"/>
      <c r="G8" s="32"/>
      <c r="H8" s="32"/>
      <c r="I8" s="32"/>
      <c r="J8" s="31"/>
      <c r="K8" s="33" t="str">
        <f aca="false">IF(E8&lt;&gt;"",E8,IF(U8,"Present",IF(C8="Holiday","Holiday","Weekend")))</f>
        <v>Weekend</v>
      </c>
      <c r="L8" s="34" t="str">
        <f aca="false">IF(OR(K8="Present",K8="Manual Work",K8="Partial Vacation",K8="Partial Sick Leave"),IF(ISNUMBER(F8),F8,IF(AND(K8="Present",U8),Settings!$B$6,"")),"")</f>
        <v/>
      </c>
      <c r="M8" s="34" t="str">
        <f aca="false">IF(OR(K8="Present",K8="Manual Work",K8="Partial Vacation",K8="Partial Sick Leave"),IF(ISNUMBER(G8),G8,IF(AND(K8="Present",U8),V8,"")),"")</f>
        <v/>
      </c>
      <c r="N8" s="14" t="n">
        <f aca="false">IF(AND(ISNUMBER(L8),ISNUMBER(M8)),MAX(0,(M8-L8)*24),0)</f>
        <v>0</v>
      </c>
      <c r="O8" s="14" t="n">
        <f aca="false">IF(NOT(U8),0,IF(K8="Vacation",IF(C8="Eve",Settings!$B$9*Settings!$B$11,W8),IF(K8="Partial Vacation",IF(AND(ISNUMBER(H8),ISNUMBER(I8)),MAX(0,(I8-H8)*24),0),0)))</f>
        <v>0</v>
      </c>
      <c r="P8" s="14" t="n">
        <f aca="false">IF(NOT(U8),0,IF(K8="Sick Leave",W8,IF(K8="Partial Sick Leave",IF(AND(ISNUMBER(H8),ISNUMBER(I8)),MAX(0,(I8-H8)*24),0),0)))</f>
        <v>0</v>
      </c>
      <c r="Q8" s="14" t="n">
        <f aca="false">IF(NOT(U8),0,IF(K8="Vacation",IF(C8="Eve",Settings!$B$11,1),IF(K8="Partial Vacation",O8/Settings!$B$9,0)))</f>
        <v>0</v>
      </c>
      <c r="R8" s="14" t="n">
        <f aca="false">IF(NOT(U8),0,IF(K8="Sick Leave",1,IF(K8="Partial Sick Leave",P8/Settings!$B$9,0)))</f>
        <v>0</v>
      </c>
      <c r="S8" s="35" t="str">
        <f aca="false">IF(AND(OR(E8="Vacation",E8="Sick Leave",E8="Partial Vacation",E8="Partial Sick Leave"),NOT(U8)),"Leave not allowed on this day",IF(AND(E8="Manual Work",OR(NOT(ISNUMBER(F8)),NOT(ISNUMBER(G8)))),"Enter start and end",IF(AND(OR(E8="Partial Vacation",E8="Partial Sick Leave"),OR(NOT(ISNUMBER(H8)),NOT(ISNUMBER(I8)))),"Enter leave from and to",IF(AND(ISNUMBER(F8),ISNUMBER(G8),G8&lt;=F8),"End is before start",IF(AND(ISNUMBER(H8),ISNUMBER(I8),I8&lt;=H8),"Leave end is before start",IF(AND(ISNUMBER(F8),ISNUMBER(G8),ISNUMBER(H8),ISNUMBER(I8),F8&lt;I8,H8&lt;G8),"Work and leave hours overlap",IF(AND(E8&lt;&gt;"",WEEKDAY(A8)=7),"Saturday - administrator only","")))))))</f>
        <v/>
      </c>
      <c r="T8" s="36" t="n">
        <f aca="false">MONTH(A8)</f>
        <v>1</v>
      </c>
      <c r="U8" s="37" t="b">
        <f aca="false">OR(C8="Workday",C8="Eve")</f>
        <v>0</v>
      </c>
      <c r="V8" s="34" t="n">
        <f aca="false">IF(C8="Eve",Settings!$B$8,Settings!$B$7)</f>
        <v>0.6875</v>
      </c>
      <c r="W8" s="14" t="n">
        <f aca="false">IF(U8,(V8-Settings!$B$6)*24,0)</f>
        <v>0</v>
      </c>
    </row>
    <row r="9" customFormat="false" ht="15" hidden="false" customHeight="false" outlineLevel="0" collapsed="false">
      <c r="A9" s="29" t="n">
        <v>46025</v>
      </c>
      <c r="B9" s="30" t="str">
        <f aca="false">CHOOSE(WEEKDAY(A9),"Sun","Mon","Tue","Wed","Thu","Fri","Sat")</f>
        <v>Sat</v>
      </c>
      <c r="C9" s="30" t="str">
        <f aca="false">IF(IFERROR(INDEX(Holidays!$D$5:$D$60,MATCH(A9,Holidays!$A$5:$A$60,0)),"")="Holiday","Holiday",IF(WEEKDAY(A9)&gt;=6,"Weekend",IF(IFERROR(INDEX(Holidays!$D$5:$D$60,MATCH(A9,Holidays!$A$5:$A$60,0)),"")="Eve","Eve","Workday")))</f>
        <v>Weekend</v>
      </c>
      <c r="D9" s="18" t="str">
        <f aca="false">IFERROR(INDEX(Holidays!$C$5:$C$60,MATCH(A9,Holidays!$A$5:$A$60,0)),"")</f>
        <v/>
      </c>
      <c r="E9" s="31"/>
      <c r="F9" s="32"/>
      <c r="G9" s="32"/>
      <c r="H9" s="32"/>
      <c r="I9" s="32"/>
      <c r="J9" s="31"/>
      <c r="K9" s="33" t="str">
        <f aca="false">IF(E9&lt;&gt;"",E9,IF(U9,"Present",IF(C9="Holiday","Holiday","Weekend")))</f>
        <v>Weekend</v>
      </c>
      <c r="L9" s="34" t="str">
        <f aca="false">IF(OR(K9="Present",K9="Manual Work",K9="Partial Vacation",K9="Partial Sick Leave"),IF(ISNUMBER(F9),F9,IF(AND(K9="Present",U9),Settings!$B$6,"")),"")</f>
        <v/>
      </c>
      <c r="M9" s="34" t="str">
        <f aca="false">IF(OR(K9="Present",K9="Manual Work",K9="Partial Vacation",K9="Partial Sick Leave"),IF(ISNUMBER(G9),G9,IF(AND(K9="Present",U9),V9,"")),"")</f>
        <v/>
      </c>
      <c r="N9" s="14" t="n">
        <f aca="false">IF(AND(ISNUMBER(L9),ISNUMBER(M9)),MAX(0,(M9-L9)*24),0)</f>
        <v>0</v>
      </c>
      <c r="O9" s="14" t="n">
        <f aca="false">IF(NOT(U9),0,IF(K9="Vacation",IF(C9="Eve",Settings!$B$9*Settings!$B$11,W9),IF(K9="Partial Vacation",IF(AND(ISNUMBER(H9),ISNUMBER(I9)),MAX(0,(I9-H9)*24),0),0)))</f>
        <v>0</v>
      </c>
      <c r="P9" s="14" t="n">
        <f aca="false">IF(NOT(U9),0,IF(K9="Sick Leave",W9,IF(K9="Partial Sick Leave",IF(AND(ISNUMBER(H9),ISNUMBER(I9)),MAX(0,(I9-H9)*24),0),0)))</f>
        <v>0</v>
      </c>
      <c r="Q9" s="14" t="n">
        <f aca="false">IF(NOT(U9),0,IF(K9="Vacation",IF(C9="Eve",Settings!$B$11,1),IF(K9="Partial Vacation",O9/Settings!$B$9,0)))</f>
        <v>0</v>
      </c>
      <c r="R9" s="14" t="n">
        <f aca="false">IF(NOT(U9),0,IF(K9="Sick Leave",1,IF(K9="Partial Sick Leave",P9/Settings!$B$9,0)))</f>
        <v>0</v>
      </c>
      <c r="S9" s="35" t="str">
        <f aca="false">IF(AND(OR(E9="Vacation",E9="Sick Leave",E9="Partial Vacation",E9="Partial Sick Leave"),NOT(U9)),"Leave not allowed on this day",IF(AND(E9="Manual Work",OR(NOT(ISNUMBER(F9)),NOT(ISNUMBER(G9)))),"Enter start and end",IF(AND(OR(E9="Partial Vacation",E9="Partial Sick Leave"),OR(NOT(ISNUMBER(H9)),NOT(ISNUMBER(I9)))),"Enter leave from and to",IF(AND(ISNUMBER(F9),ISNUMBER(G9),G9&lt;=F9),"End is before start",IF(AND(ISNUMBER(H9),ISNUMBER(I9),I9&lt;=H9),"Leave end is before start",IF(AND(ISNUMBER(F9),ISNUMBER(G9),ISNUMBER(H9),ISNUMBER(I9),F9&lt;I9,H9&lt;G9),"Work and leave hours overlap",IF(AND(E9&lt;&gt;"",WEEKDAY(A9)=7),"Saturday - administrator only","")))))))</f>
        <v/>
      </c>
      <c r="T9" s="36" t="n">
        <f aca="false">MONTH(A9)</f>
        <v>1</v>
      </c>
      <c r="U9" s="37" t="b">
        <f aca="false">OR(C9="Workday",C9="Eve")</f>
        <v>0</v>
      </c>
      <c r="V9" s="34" t="n">
        <f aca="false">IF(C9="Eve",Settings!$B$8,Settings!$B$7)</f>
        <v>0.6875</v>
      </c>
      <c r="W9" s="14" t="n">
        <f aca="false">IF(U9,(V9-Settings!$B$6)*24,0)</f>
        <v>0</v>
      </c>
    </row>
    <row r="10" customFormat="false" ht="15" hidden="false" customHeight="false" outlineLevel="0" collapsed="false">
      <c r="A10" s="29" t="n">
        <v>46026</v>
      </c>
      <c r="B10" s="30" t="str">
        <f aca="false">CHOOSE(WEEKDAY(A10),"Sun","Mon","Tue","Wed","Thu","Fri","Sat")</f>
        <v>Sun</v>
      </c>
      <c r="C10" s="30" t="str">
        <f aca="false">IF(IFERROR(INDEX(Holidays!$D$5:$D$60,MATCH(A10,Holidays!$A$5:$A$60,0)),"")="Holiday","Holiday",IF(WEEKDAY(A10)&gt;=6,"Weekend",IF(IFERROR(INDEX(Holidays!$D$5:$D$60,MATCH(A10,Holidays!$A$5:$A$60,0)),"")="Eve","Eve","Workday")))</f>
        <v>Workday</v>
      </c>
      <c r="D10" s="18" t="str">
        <f aca="false">IFERROR(INDEX(Holidays!$C$5:$C$60,MATCH(A10,Holidays!$A$5:$A$60,0)),"")</f>
        <v/>
      </c>
      <c r="E10" s="31"/>
      <c r="F10" s="32"/>
      <c r="G10" s="32"/>
      <c r="H10" s="32"/>
      <c r="I10" s="32"/>
      <c r="J10" s="31"/>
      <c r="K10" s="33" t="str">
        <f aca="false">IF(E10&lt;&gt;"",E10,IF(U10,"Present",IF(C10="Holiday","Holiday","Weekend")))</f>
        <v>Present</v>
      </c>
      <c r="L10" s="34" t="n">
        <f aca="false">IF(OR(K10="Present",K10="Manual Work",K10="Partial Vacation",K10="Partial Sick Leave"),IF(ISNUMBER(F10),F10,IF(AND(K10="Present",U10),Settings!$B$6,"")),"")</f>
        <v>0.333333333333333</v>
      </c>
      <c r="M10" s="34" t="n">
        <f aca="false">IF(OR(K10="Present",K10="Manual Work",K10="Partial Vacation",K10="Partial Sick Leave"),IF(ISNUMBER(G10),G10,IF(AND(K10="Present",U10),V10,"")),"")</f>
        <v>0.6875</v>
      </c>
      <c r="N10" s="14" t="n">
        <f aca="false">IF(AND(ISNUMBER(L10),ISNUMBER(M10)),MAX(0,(M10-L10)*24),0)</f>
        <v>8.5</v>
      </c>
      <c r="O10" s="14" t="n">
        <f aca="false">IF(NOT(U10),0,IF(K10="Vacation",IF(C10="Eve",Settings!$B$9*Settings!$B$11,W10),IF(K10="Partial Vacation",IF(AND(ISNUMBER(H10),ISNUMBER(I10)),MAX(0,(I10-H10)*24),0),0)))</f>
        <v>0</v>
      </c>
      <c r="P10" s="14" t="n">
        <f aca="false">IF(NOT(U10),0,IF(K10="Sick Leave",W10,IF(K10="Partial Sick Leave",IF(AND(ISNUMBER(H10),ISNUMBER(I10)),MAX(0,(I10-H10)*24),0),0)))</f>
        <v>0</v>
      </c>
      <c r="Q10" s="14" t="n">
        <f aca="false">IF(NOT(U10),0,IF(K10="Vacation",IF(C10="Eve",Settings!$B$11,1),IF(K10="Partial Vacation",O10/Settings!$B$9,0)))</f>
        <v>0</v>
      </c>
      <c r="R10" s="14" t="n">
        <f aca="false">IF(NOT(U10),0,IF(K10="Sick Leave",1,IF(K10="Partial Sick Leave",P10/Settings!$B$9,0)))</f>
        <v>0</v>
      </c>
      <c r="S10" s="35" t="str">
        <f aca="false">IF(AND(OR(E10="Vacation",E10="Sick Leave",E10="Partial Vacation",E10="Partial Sick Leave"),NOT(U10)),"Leave not allowed on this day",IF(AND(E10="Manual Work",OR(NOT(ISNUMBER(F10)),NOT(ISNUMBER(G10)))),"Enter start and end",IF(AND(OR(E10="Partial Vacation",E10="Partial Sick Leave"),OR(NOT(ISNUMBER(H10)),NOT(ISNUMBER(I10)))),"Enter leave from and to",IF(AND(ISNUMBER(F10),ISNUMBER(G10),G10&lt;=F10),"End is before start",IF(AND(ISNUMBER(H10),ISNUMBER(I10),I10&lt;=H10),"Leave end is before start",IF(AND(ISNUMBER(F10),ISNUMBER(G10),ISNUMBER(H10),ISNUMBER(I10),F10&lt;I10,H10&lt;G10),"Work and leave hours overlap",IF(AND(E10&lt;&gt;"",WEEKDAY(A10)=7),"Saturday - administrator only","")))))))</f>
        <v/>
      </c>
      <c r="T10" s="36" t="n">
        <f aca="false">MONTH(A10)</f>
        <v>1</v>
      </c>
      <c r="U10" s="37" t="b">
        <f aca="false">OR(C10="Workday",C10="Eve")</f>
        <v>1</v>
      </c>
      <c r="V10" s="34" t="n">
        <f aca="false">IF(C10="Eve",Settings!$B$8,Settings!$B$7)</f>
        <v>0.6875</v>
      </c>
      <c r="W10" s="14" t="n">
        <f aca="false">IF(U10,(V10-Settings!$B$6)*24,0)</f>
        <v>8.5</v>
      </c>
    </row>
    <row r="11" customFormat="false" ht="15" hidden="false" customHeight="false" outlineLevel="0" collapsed="false">
      <c r="A11" s="29" t="n">
        <v>46027</v>
      </c>
      <c r="B11" s="30" t="str">
        <f aca="false">CHOOSE(WEEKDAY(A11),"Sun","Mon","Tue","Wed","Thu","Fri","Sat")</f>
        <v>Mon</v>
      </c>
      <c r="C11" s="30" t="str">
        <f aca="false">IF(IFERROR(INDEX(Holidays!$D$5:$D$60,MATCH(A11,Holidays!$A$5:$A$60,0)),"")="Holiday","Holiday",IF(WEEKDAY(A11)&gt;=6,"Weekend",IF(IFERROR(INDEX(Holidays!$D$5:$D$60,MATCH(A11,Holidays!$A$5:$A$60,0)),"")="Eve","Eve","Workday")))</f>
        <v>Workday</v>
      </c>
      <c r="D11" s="18" t="str">
        <f aca="false">IFERROR(INDEX(Holidays!$C$5:$C$60,MATCH(A11,Holidays!$A$5:$A$60,0)),"")</f>
        <v/>
      </c>
      <c r="E11" s="31"/>
      <c r="F11" s="32"/>
      <c r="G11" s="32"/>
      <c r="H11" s="32"/>
      <c r="I11" s="32"/>
      <c r="J11" s="31"/>
      <c r="K11" s="33" t="str">
        <f aca="false">IF(E11&lt;&gt;"",E11,IF(U11,"Present",IF(C11="Holiday","Holiday","Weekend")))</f>
        <v>Present</v>
      </c>
      <c r="L11" s="34" t="n">
        <f aca="false">IF(OR(K11="Present",K11="Manual Work",K11="Partial Vacation",K11="Partial Sick Leave"),IF(ISNUMBER(F11),F11,IF(AND(K11="Present",U11),Settings!$B$6,"")),"")</f>
        <v>0.333333333333333</v>
      </c>
      <c r="M11" s="34" t="n">
        <f aca="false">IF(OR(K11="Present",K11="Manual Work",K11="Partial Vacation",K11="Partial Sick Leave"),IF(ISNUMBER(G11),G11,IF(AND(K11="Present",U11),V11,"")),"")</f>
        <v>0.6875</v>
      </c>
      <c r="N11" s="14" t="n">
        <f aca="false">IF(AND(ISNUMBER(L11),ISNUMBER(M11)),MAX(0,(M11-L11)*24),0)</f>
        <v>8.5</v>
      </c>
      <c r="O11" s="14" t="n">
        <f aca="false">IF(NOT(U11),0,IF(K11="Vacation",IF(C11="Eve",Settings!$B$9*Settings!$B$11,W11),IF(K11="Partial Vacation",IF(AND(ISNUMBER(H11),ISNUMBER(I11)),MAX(0,(I11-H11)*24),0),0)))</f>
        <v>0</v>
      </c>
      <c r="P11" s="14" t="n">
        <f aca="false">IF(NOT(U11),0,IF(K11="Sick Leave",W11,IF(K11="Partial Sick Leave",IF(AND(ISNUMBER(H11),ISNUMBER(I11)),MAX(0,(I11-H11)*24),0),0)))</f>
        <v>0</v>
      </c>
      <c r="Q11" s="14" t="n">
        <f aca="false">IF(NOT(U11),0,IF(K11="Vacation",IF(C11="Eve",Settings!$B$11,1),IF(K11="Partial Vacation",O11/Settings!$B$9,0)))</f>
        <v>0</v>
      </c>
      <c r="R11" s="14" t="n">
        <f aca="false">IF(NOT(U11),0,IF(K11="Sick Leave",1,IF(K11="Partial Sick Leave",P11/Settings!$B$9,0)))</f>
        <v>0</v>
      </c>
      <c r="S11" s="35" t="str">
        <f aca="false">IF(AND(OR(E11="Vacation",E11="Sick Leave",E11="Partial Vacation",E11="Partial Sick Leave"),NOT(U11)),"Leave not allowed on this day",IF(AND(E11="Manual Work",OR(NOT(ISNUMBER(F11)),NOT(ISNUMBER(G11)))),"Enter start and end",IF(AND(OR(E11="Partial Vacation",E11="Partial Sick Leave"),OR(NOT(ISNUMBER(H11)),NOT(ISNUMBER(I11)))),"Enter leave from and to",IF(AND(ISNUMBER(F11),ISNUMBER(G11),G11&lt;=F11),"End is before start",IF(AND(ISNUMBER(H11),ISNUMBER(I11),I11&lt;=H11),"Leave end is before start",IF(AND(ISNUMBER(F11),ISNUMBER(G11),ISNUMBER(H11),ISNUMBER(I11),F11&lt;I11,H11&lt;G11),"Work and leave hours overlap",IF(AND(E11&lt;&gt;"",WEEKDAY(A11)=7),"Saturday - administrator only","")))))))</f>
        <v/>
      </c>
      <c r="T11" s="36" t="n">
        <f aca="false">MONTH(A11)</f>
        <v>1</v>
      </c>
      <c r="U11" s="37" t="b">
        <f aca="false">OR(C11="Workday",C11="Eve")</f>
        <v>1</v>
      </c>
      <c r="V11" s="34" t="n">
        <f aca="false">IF(C11="Eve",Settings!$B$8,Settings!$B$7)</f>
        <v>0.6875</v>
      </c>
      <c r="W11" s="14" t="n">
        <f aca="false">IF(U11,(V11-Settings!$B$6)*24,0)</f>
        <v>8.5</v>
      </c>
    </row>
    <row r="12" customFormat="false" ht="15" hidden="false" customHeight="false" outlineLevel="0" collapsed="false">
      <c r="A12" s="29" t="n">
        <v>46028</v>
      </c>
      <c r="B12" s="30" t="str">
        <f aca="false">CHOOSE(WEEKDAY(A12),"Sun","Mon","Tue","Wed","Thu","Fri","Sat")</f>
        <v>Tue</v>
      </c>
      <c r="C12" s="30" t="str">
        <f aca="false">IF(IFERROR(INDEX(Holidays!$D$5:$D$60,MATCH(A12,Holidays!$A$5:$A$60,0)),"")="Holiday","Holiday",IF(WEEKDAY(A12)&gt;=6,"Weekend",IF(IFERROR(INDEX(Holidays!$D$5:$D$60,MATCH(A12,Holidays!$A$5:$A$60,0)),"")="Eve","Eve","Workday")))</f>
        <v>Workday</v>
      </c>
      <c r="D12" s="18" t="str">
        <f aca="false">IFERROR(INDEX(Holidays!$C$5:$C$60,MATCH(A12,Holidays!$A$5:$A$60,0)),"")</f>
        <v/>
      </c>
      <c r="E12" s="31"/>
      <c r="F12" s="32"/>
      <c r="G12" s="32"/>
      <c r="H12" s="32"/>
      <c r="I12" s="32"/>
      <c r="J12" s="31"/>
      <c r="K12" s="33" t="str">
        <f aca="false">IF(E12&lt;&gt;"",E12,IF(U12,"Present",IF(C12="Holiday","Holiday","Weekend")))</f>
        <v>Present</v>
      </c>
      <c r="L12" s="34" t="n">
        <f aca="false">IF(OR(K12="Present",K12="Manual Work",K12="Partial Vacation",K12="Partial Sick Leave"),IF(ISNUMBER(F12),F12,IF(AND(K12="Present",U12),Settings!$B$6,"")),"")</f>
        <v>0.333333333333333</v>
      </c>
      <c r="M12" s="34" t="n">
        <f aca="false">IF(OR(K12="Present",K12="Manual Work",K12="Partial Vacation",K12="Partial Sick Leave"),IF(ISNUMBER(G12),G12,IF(AND(K12="Present",U12),V12,"")),"")</f>
        <v>0.6875</v>
      </c>
      <c r="N12" s="14" t="n">
        <f aca="false">IF(AND(ISNUMBER(L12),ISNUMBER(M12)),MAX(0,(M12-L12)*24),0)</f>
        <v>8.5</v>
      </c>
      <c r="O12" s="14" t="n">
        <f aca="false">IF(NOT(U12),0,IF(K12="Vacation",IF(C12="Eve",Settings!$B$9*Settings!$B$11,W12),IF(K12="Partial Vacation",IF(AND(ISNUMBER(H12),ISNUMBER(I12)),MAX(0,(I12-H12)*24),0),0)))</f>
        <v>0</v>
      </c>
      <c r="P12" s="14" t="n">
        <f aca="false">IF(NOT(U12),0,IF(K12="Sick Leave",W12,IF(K12="Partial Sick Leave",IF(AND(ISNUMBER(H12),ISNUMBER(I12)),MAX(0,(I12-H12)*24),0),0)))</f>
        <v>0</v>
      </c>
      <c r="Q12" s="14" t="n">
        <f aca="false">IF(NOT(U12),0,IF(K12="Vacation",IF(C12="Eve",Settings!$B$11,1),IF(K12="Partial Vacation",O12/Settings!$B$9,0)))</f>
        <v>0</v>
      </c>
      <c r="R12" s="14" t="n">
        <f aca="false">IF(NOT(U12),0,IF(K12="Sick Leave",1,IF(K12="Partial Sick Leave",P12/Settings!$B$9,0)))</f>
        <v>0</v>
      </c>
      <c r="S12" s="35" t="str">
        <f aca="false">IF(AND(OR(E12="Vacation",E12="Sick Leave",E12="Partial Vacation",E12="Partial Sick Leave"),NOT(U12)),"Leave not allowed on this day",IF(AND(E12="Manual Work",OR(NOT(ISNUMBER(F12)),NOT(ISNUMBER(G12)))),"Enter start and end",IF(AND(OR(E12="Partial Vacation",E12="Partial Sick Leave"),OR(NOT(ISNUMBER(H12)),NOT(ISNUMBER(I12)))),"Enter leave from and to",IF(AND(ISNUMBER(F12),ISNUMBER(G12),G12&lt;=F12),"End is before start",IF(AND(ISNUMBER(H12),ISNUMBER(I12),I12&lt;=H12),"Leave end is before start",IF(AND(ISNUMBER(F12),ISNUMBER(G12),ISNUMBER(H12),ISNUMBER(I12),F12&lt;I12,H12&lt;G12),"Work and leave hours overlap",IF(AND(E12&lt;&gt;"",WEEKDAY(A12)=7),"Saturday - administrator only","")))))))</f>
        <v/>
      </c>
      <c r="T12" s="36" t="n">
        <f aca="false">MONTH(A12)</f>
        <v>1</v>
      </c>
      <c r="U12" s="37" t="b">
        <f aca="false">OR(C12="Workday",C12="Eve")</f>
        <v>1</v>
      </c>
      <c r="V12" s="34" t="n">
        <f aca="false">IF(C12="Eve",Settings!$B$8,Settings!$B$7)</f>
        <v>0.6875</v>
      </c>
      <c r="W12" s="14" t="n">
        <f aca="false">IF(U12,(V12-Settings!$B$6)*24,0)</f>
        <v>8.5</v>
      </c>
    </row>
    <row r="13" customFormat="false" ht="15" hidden="false" customHeight="false" outlineLevel="0" collapsed="false">
      <c r="A13" s="29" t="n">
        <v>46029</v>
      </c>
      <c r="B13" s="30" t="str">
        <f aca="false">CHOOSE(WEEKDAY(A13),"Sun","Mon","Tue","Wed","Thu","Fri","Sat")</f>
        <v>Wed</v>
      </c>
      <c r="C13" s="30" t="str">
        <f aca="false">IF(IFERROR(INDEX(Holidays!$D$5:$D$60,MATCH(A13,Holidays!$A$5:$A$60,0)),"")="Holiday","Holiday",IF(WEEKDAY(A13)&gt;=6,"Weekend",IF(IFERROR(INDEX(Holidays!$D$5:$D$60,MATCH(A13,Holidays!$A$5:$A$60,0)),"")="Eve","Eve","Workday")))</f>
        <v>Workday</v>
      </c>
      <c r="D13" s="18" t="str">
        <f aca="false">IFERROR(INDEX(Holidays!$C$5:$C$60,MATCH(A13,Holidays!$A$5:$A$60,0)),"")</f>
        <v/>
      </c>
      <c r="E13" s="31"/>
      <c r="F13" s="32"/>
      <c r="G13" s="32"/>
      <c r="H13" s="32"/>
      <c r="I13" s="32"/>
      <c r="J13" s="31"/>
      <c r="K13" s="33" t="str">
        <f aca="false">IF(E13&lt;&gt;"",E13,IF(U13,"Present",IF(C13="Holiday","Holiday","Weekend")))</f>
        <v>Present</v>
      </c>
      <c r="L13" s="34" t="n">
        <f aca="false">IF(OR(K13="Present",K13="Manual Work",K13="Partial Vacation",K13="Partial Sick Leave"),IF(ISNUMBER(F13),F13,IF(AND(K13="Present",U13),Settings!$B$6,"")),"")</f>
        <v>0.333333333333333</v>
      </c>
      <c r="M13" s="34" t="n">
        <f aca="false">IF(OR(K13="Present",K13="Manual Work",K13="Partial Vacation",K13="Partial Sick Leave"),IF(ISNUMBER(G13),G13,IF(AND(K13="Present",U13),V13,"")),"")</f>
        <v>0.6875</v>
      </c>
      <c r="N13" s="14" t="n">
        <f aca="false">IF(AND(ISNUMBER(L13),ISNUMBER(M13)),MAX(0,(M13-L13)*24),0)</f>
        <v>8.5</v>
      </c>
      <c r="O13" s="14" t="n">
        <f aca="false">IF(NOT(U13),0,IF(K13="Vacation",IF(C13="Eve",Settings!$B$9*Settings!$B$11,W13),IF(K13="Partial Vacation",IF(AND(ISNUMBER(H13),ISNUMBER(I13)),MAX(0,(I13-H13)*24),0),0)))</f>
        <v>0</v>
      </c>
      <c r="P13" s="14" t="n">
        <f aca="false">IF(NOT(U13),0,IF(K13="Sick Leave",W13,IF(K13="Partial Sick Leave",IF(AND(ISNUMBER(H13),ISNUMBER(I13)),MAX(0,(I13-H13)*24),0),0)))</f>
        <v>0</v>
      </c>
      <c r="Q13" s="14" t="n">
        <f aca="false">IF(NOT(U13),0,IF(K13="Vacation",IF(C13="Eve",Settings!$B$11,1),IF(K13="Partial Vacation",O13/Settings!$B$9,0)))</f>
        <v>0</v>
      </c>
      <c r="R13" s="14" t="n">
        <f aca="false">IF(NOT(U13),0,IF(K13="Sick Leave",1,IF(K13="Partial Sick Leave",P13/Settings!$B$9,0)))</f>
        <v>0</v>
      </c>
      <c r="S13" s="35" t="str">
        <f aca="false">IF(AND(OR(E13="Vacation",E13="Sick Leave",E13="Partial Vacation",E13="Partial Sick Leave"),NOT(U13)),"Leave not allowed on this day",IF(AND(E13="Manual Work",OR(NOT(ISNUMBER(F13)),NOT(ISNUMBER(G13)))),"Enter start and end",IF(AND(OR(E13="Partial Vacation",E13="Partial Sick Leave"),OR(NOT(ISNUMBER(H13)),NOT(ISNUMBER(I13)))),"Enter leave from and to",IF(AND(ISNUMBER(F13),ISNUMBER(G13),G13&lt;=F13),"End is before start",IF(AND(ISNUMBER(H13),ISNUMBER(I13),I13&lt;=H13),"Leave end is before start",IF(AND(ISNUMBER(F13),ISNUMBER(G13),ISNUMBER(H13),ISNUMBER(I13),F13&lt;I13,H13&lt;G13),"Work and leave hours overlap",IF(AND(E13&lt;&gt;"",WEEKDAY(A13)=7),"Saturday - administrator only","")))))))</f>
        <v/>
      </c>
      <c r="T13" s="36" t="n">
        <f aca="false">MONTH(A13)</f>
        <v>1</v>
      </c>
      <c r="U13" s="37" t="b">
        <f aca="false">OR(C13="Workday",C13="Eve")</f>
        <v>1</v>
      </c>
      <c r="V13" s="34" t="n">
        <f aca="false">IF(C13="Eve",Settings!$B$8,Settings!$B$7)</f>
        <v>0.6875</v>
      </c>
      <c r="W13" s="14" t="n">
        <f aca="false">IF(U13,(V13-Settings!$B$6)*24,0)</f>
        <v>8.5</v>
      </c>
    </row>
    <row r="14" customFormat="false" ht="15" hidden="false" customHeight="false" outlineLevel="0" collapsed="false">
      <c r="A14" s="29" t="n">
        <v>46030</v>
      </c>
      <c r="B14" s="30" t="str">
        <f aca="false">CHOOSE(WEEKDAY(A14),"Sun","Mon","Tue","Wed","Thu","Fri","Sat")</f>
        <v>Thu</v>
      </c>
      <c r="C14" s="30" t="str">
        <f aca="false">IF(IFERROR(INDEX(Holidays!$D$5:$D$60,MATCH(A14,Holidays!$A$5:$A$60,0)),"")="Holiday","Holiday",IF(WEEKDAY(A14)&gt;=6,"Weekend",IF(IFERROR(INDEX(Holidays!$D$5:$D$60,MATCH(A14,Holidays!$A$5:$A$60,0)),"")="Eve","Eve","Workday")))</f>
        <v>Workday</v>
      </c>
      <c r="D14" s="18" t="str">
        <f aca="false">IFERROR(INDEX(Holidays!$C$5:$C$60,MATCH(A14,Holidays!$A$5:$A$60,0)),"")</f>
        <v/>
      </c>
      <c r="E14" s="31"/>
      <c r="F14" s="32"/>
      <c r="G14" s="32"/>
      <c r="H14" s="32"/>
      <c r="I14" s="32"/>
      <c r="J14" s="31"/>
      <c r="K14" s="33" t="str">
        <f aca="false">IF(E14&lt;&gt;"",E14,IF(U14,"Present",IF(C14="Holiday","Holiday","Weekend")))</f>
        <v>Present</v>
      </c>
      <c r="L14" s="34" t="n">
        <f aca="false">IF(OR(K14="Present",K14="Manual Work",K14="Partial Vacation",K14="Partial Sick Leave"),IF(ISNUMBER(F14),F14,IF(AND(K14="Present",U14),Settings!$B$6,"")),"")</f>
        <v>0.333333333333333</v>
      </c>
      <c r="M14" s="34" t="n">
        <f aca="false">IF(OR(K14="Present",K14="Manual Work",K14="Partial Vacation",K14="Partial Sick Leave"),IF(ISNUMBER(G14),G14,IF(AND(K14="Present",U14),V14,"")),"")</f>
        <v>0.6875</v>
      </c>
      <c r="N14" s="14" t="n">
        <f aca="false">IF(AND(ISNUMBER(L14),ISNUMBER(M14)),MAX(0,(M14-L14)*24),0)</f>
        <v>8.5</v>
      </c>
      <c r="O14" s="14" t="n">
        <f aca="false">IF(NOT(U14),0,IF(K14="Vacation",IF(C14="Eve",Settings!$B$9*Settings!$B$11,W14),IF(K14="Partial Vacation",IF(AND(ISNUMBER(H14),ISNUMBER(I14)),MAX(0,(I14-H14)*24),0),0)))</f>
        <v>0</v>
      </c>
      <c r="P14" s="14" t="n">
        <f aca="false">IF(NOT(U14),0,IF(K14="Sick Leave",W14,IF(K14="Partial Sick Leave",IF(AND(ISNUMBER(H14),ISNUMBER(I14)),MAX(0,(I14-H14)*24),0),0)))</f>
        <v>0</v>
      </c>
      <c r="Q14" s="14" t="n">
        <f aca="false">IF(NOT(U14),0,IF(K14="Vacation",IF(C14="Eve",Settings!$B$11,1),IF(K14="Partial Vacation",O14/Settings!$B$9,0)))</f>
        <v>0</v>
      </c>
      <c r="R14" s="14" t="n">
        <f aca="false">IF(NOT(U14),0,IF(K14="Sick Leave",1,IF(K14="Partial Sick Leave",P14/Settings!$B$9,0)))</f>
        <v>0</v>
      </c>
      <c r="S14" s="35" t="str">
        <f aca="false">IF(AND(OR(E14="Vacation",E14="Sick Leave",E14="Partial Vacation",E14="Partial Sick Leave"),NOT(U14)),"Leave not allowed on this day",IF(AND(E14="Manual Work",OR(NOT(ISNUMBER(F14)),NOT(ISNUMBER(G14)))),"Enter start and end",IF(AND(OR(E14="Partial Vacation",E14="Partial Sick Leave"),OR(NOT(ISNUMBER(H14)),NOT(ISNUMBER(I14)))),"Enter leave from and to",IF(AND(ISNUMBER(F14),ISNUMBER(G14),G14&lt;=F14),"End is before start",IF(AND(ISNUMBER(H14),ISNUMBER(I14),I14&lt;=H14),"Leave end is before start",IF(AND(ISNUMBER(F14),ISNUMBER(G14),ISNUMBER(H14),ISNUMBER(I14),F14&lt;I14,H14&lt;G14),"Work and leave hours overlap",IF(AND(E14&lt;&gt;"",WEEKDAY(A14)=7),"Saturday - administrator only","")))))))</f>
        <v/>
      </c>
      <c r="T14" s="36" t="n">
        <f aca="false">MONTH(A14)</f>
        <v>1</v>
      </c>
      <c r="U14" s="37" t="b">
        <f aca="false">OR(C14="Workday",C14="Eve")</f>
        <v>1</v>
      </c>
      <c r="V14" s="34" t="n">
        <f aca="false">IF(C14="Eve",Settings!$B$8,Settings!$B$7)</f>
        <v>0.6875</v>
      </c>
      <c r="W14" s="14" t="n">
        <f aca="false">IF(U14,(V14-Settings!$B$6)*24,0)</f>
        <v>8.5</v>
      </c>
    </row>
    <row r="15" customFormat="false" ht="15" hidden="false" customHeight="false" outlineLevel="0" collapsed="false">
      <c r="A15" s="29" t="n">
        <v>46031</v>
      </c>
      <c r="B15" s="30" t="str">
        <f aca="false">CHOOSE(WEEKDAY(A15),"Sun","Mon","Tue","Wed","Thu","Fri","Sat")</f>
        <v>Fri</v>
      </c>
      <c r="C15" s="30" t="str">
        <f aca="false">IF(IFERROR(INDEX(Holidays!$D$5:$D$60,MATCH(A15,Holidays!$A$5:$A$60,0)),"")="Holiday","Holiday",IF(WEEKDAY(A15)&gt;=6,"Weekend",IF(IFERROR(INDEX(Holidays!$D$5:$D$60,MATCH(A15,Holidays!$A$5:$A$60,0)),"")="Eve","Eve","Workday")))</f>
        <v>Weekend</v>
      </c>
      <c r="D15" s="18" t="str">
        <f aca="false">IFERROR(INDEX(Holidays!$C$5:$C$60,MATCH(A15,Holidays!$A$5:$A$60,0)),"")</f>
        <v/>
      </c>
      <c r="E15" s="31"/>
      <c r="F15" s="32"/>
      <c r="G15" s="32"/>
      <c r="H15" s="32"/>
      <c r="I15" s="32"/>
      <c r="J15" s="31"/>
      <c r="K15" s="33" t="str">
        <f aca="false">IF(E15&lt;&gt;"",E15,IF(U15,"Present",IF(C15="Holiday","Holiday","Weekend")))</f>
        <v>Weekend</v>
      </c>
      <c r="L15" s="34" t="str">
        <f aca="false">IF(OR(K15="Present",K15="Manual Work",K15="Partial Vacation",K15="Partial Sick Leave"),IF(ISNUMBER(F15),F15,IF(AND(K15="Present",U15),Settings!$B$6,"")),"")</f>
        <v/>
      </c>
      <c r="M15" s="34" t="str">
        <f aca="false">IF(OR(K15="Present",K15="Manual Work",K15="Partial Vacation",K15="Partial Sick Leave"),IF(ISNUMBER(G15),G15,IF(AND(K15="Present",U15),V15,"")),"")</f>
        <v/>
      </c>
      <c r="N15" s="14" t="n">
        <f aca="false">IF(AND(ISNUMBER(L15),ISNUMBER(M15)),MAX(0,(M15-L15)*24),0)</f>
        <v>0</v>
      </c>
      <c r="O15" s="14" t="n">
        <f aca="false">IF(NOT(U15),0,IF(K15="Vacation",IF(C15="Eve",Settings!$B$9*Settings!$B$11,W15),IF(K15="Partial Vacation",IF(AND(ISNUMBER(H15),ISNUMBER(I15)),MAX(0,(I15-H15)*24),0),0)))</f>
        <v>0</v>
      </c>
      <c r="P15" s="14" t="n">
        <f aca="false">IF(NOT(U15),0,IF(K15="Sick Leave",W15,IF(K15="Partial Sick Leave",IF(AND(ISNUMBER(H15),ISNUMBER(I15)),MAX(0,(I15-H15)*24),0),0)))</f>
        <v>0</v>
      </c>
      <c r="Q15" s="14" t="n">
        <f aca="false">IF(NOT(U15),0,IF(K15="Vacation",IF(C15="Eve",Settings!$B$11,1),IF(K15="Partial Vacation",O15/Settings!$B$9,0)))</f>
        <v>0</v>
      </c>
      <c r="R15" s="14" t="n">
        <f aca="false">IF(NOT(U15),0,IF(K15="Sick Leave",1,IF(K15="Partial Sick Leave",P15/Settings!$B$9,0)))</f>
        <v>0</v>
      </c>
      <c r="S15" s="35" t="str">
        <f aca="false">IF(AND(OR(E15="Vacation",E15="Sick Leave",E15="Partial Vacation",E15="Partial Sick Leave"),NOT(U15)),"Leave not allowed on this day",IF(AND(E15="Manual Work",OR(NOT(ISNUMBER(F15)),NOT(ISNUMBER(G15)))),"Enter start and end",IF(AND(OR(E15="Partial Vacation",E15="Partial Sick Leave"),OR(NOT(ISNUMBER(H15)),NOT(ISNUMBER(I15)))),"Enter leave from and to",IF(AND(ISNUMBER(F15),ISNUMBER(G15),G15&lt;=F15),"End is before start",IF(AND(ISNUMBER(H15),ISNUMBER(I15),I15&lt;=H15),"Leave end is before start",IF(AND(ISNUMBER(F15),ISNUMBER(G15),ISNUMBER(H15),ISNUMBER(I15),F15&lt;I15,H15&lt;G15),"Work and leave hours overlap",IF(AND(E15&lt;&gt;"",WEEKDAY(A15)=7),"Saturday - administrator only","")))))))</f>
        <v/>
      </c>
      <c r="T15" s="36" t="n">
        <f aca="false">MONTH(A15)</f>
        <v>1</v>
      </c>
      <c r="U15" s="37" t="b">
        <f aca="false">OR(C15="Workday",C15="Eve")</f>
        <v>0</v>
      </c>
      <c r="V15" s="34" t="n">
        <f aca="false">IF(C15="Eve",Settings!$B$8,Settings!$B$7)</f>
        <v>0.6875</v>
      </c>
      <c r="W15" s="14" t="n">
        <f aca="false">IF(U15,(V15-Settings!$B$6)*24,0)</f>
        <v>0</v>
      </c>
    </row>
    <row r="16" customFormat="false" ht="15" hidden="false" customHeight="false" outlineLevel="0" collapsed="false">
      <c r="A16" s="29" t="n">
        <v>46032</v>
      </c>
      <c r="B16" s="30" t="str">
        <f aca="false">CHOOSE(WEEKDAY(A16),"Sun","Mon","Tue","Wed","Thu","Fri","Sat")</f>
        <v>Sat</v>
      </c>
      <c r="C16" s="30" t="str">
        <f aca="false">IF(IFERROR(INDEX(Holidays!$D$5:$D$60,MATCH(A16,Holidays!$A$5:$A$60,0)),"")="Holiday","Holiday",IF(WEEKDAY(A16)&gt;=6,"Weekend",IF(IFERROR(INDEX(Holidays!$D$5:$D$60,MATCH(A16,Holidays!$A$5:$A$60,0)),"")="Eve","Eve","Workday")))</f>
        <v>Weekend</v>
      </c>
      <c r="D16" s="18" t="str">
        <f aca="false">IFERROR(INDEX(Holidays!$C$5:$C$60,MATCH(A16,Holidays!$A$5:$A$60,0)),"")</f>
        <v/>
      </c>
      <c r="E16" s="31"/>
      <c r="F16" s="32"/>
      <c r="G16" s="32"/>
      <c r="H16" s="32"/>
      <c r="I16" s="32"/>
      <c r="J16" s="31"/>
      <c r="K16" s="33" t="str">
        <f aca="false">IF(E16&lt;&gt;"",E16,IF(U16,"Present",IF(C16="Holiday","Holiday","Weekend")))</f>
        <v>Weekend</v>
      </c>
      <c r="L16" s="34" t="str">
        <f aca="false">IF(OR(K16="Present",K16="Manual Work",K16="Partial Vacation",K16="Partial Sick Leave"),IF(ISNUMBER(F16),F16,IF(AND(K16="Present",U16),Settings!$B$6,"")),"")</f>
        <v/>
      </c>
      <c r="M16" s="34" t="str">
        <f aca="false">IF(OR(K16="Present",K16="Manual Work",K16="Partial Vacation",K16="Partial Sick Leave"),IF(ISNUMBER(G16),G16,IF(AND(K16="Present",U16),V16,"")),"")</f>
        <v/>
      </c>
      <c r="N16" s="14" t="n">
        <f aca="false">IF(AND(ISNUMBER(L16),ISNUMBER(M16)),MAX(0,(M16-L16)*24),0)</f>
        <v>0</v>
      </c>
      <c r="O16" s="14" t="n">
        <f aca="false">IF(NOT(U16),0,IF(K16="Vacation",IF(C16="Eve",Settings!$B$9*Settings!$B$11,W16),IF(K16="Partial Vacation",IF(AND(ISNUMBER(H16),ISNUMBER(I16)),MAX(0,(I16-H16)*24),0),0)))</f>
        <v>0</v>
      </c>
      <c r="P16" s="14" t="n">
        <f aca="false">IF(NOT(U16),0,IF(K16="Sick Leave",W16,IF(K16="Partial Sick Leave",IF(AND(ISNUMBER(H16),ISNUMBER(I16)),MAX(0,(I16-H16)*24),0),0)))</f>
        <v>0</v>
      </c>
      <c r="Q16" s="14" t="n">
        <f aca="false">IF(NOT(U16),0,IF(K16="Vacation",IF(C16="Eve",Settings!$B$11,1),IF(K16="Partial Vacation",O16/Settings!$B$9,0)))</f>
        <v>0</v>
      </c>
      <c r="R16" s="14" t="n">
        <f aca="false">IF(NOT(U16),0,IF(K16="Sick Leave",1,IF(K16="Partial Sick Leave",P16/Settings!$B$9,0)))</f>
        <v>0</v>
      </c>
      <c r="S16" s="35" t="str">
        <f aca="false">IF(AND(OR(E16="Vacation",E16="Sick Leave",E16="Partial Vacation",E16="Partial Sick Leave"),NOT(U16)),"Leave not allowed on this day",IF(AND(E16="Manual Work",OR(NOT(ISNUMBER(F16)),NOT(ISNUMBER(G16)))),"Enter start and end",IF(AND(OR(E16="Partial Vacation",E16="Partial Sick Leave"),OR(NOT(ISNUMBER(H16)),NOT(ISNUMBER(I16)))),"Enter leave from and to",IF(AND(ISNUMBER(F16),ISNUMBER(G16),G16&lt;=F16),"End is before start",IF(AND(ISNUMBER(H16),ISNUMBER(I16),I16&lt;=H16),"Leave end is before start",IF(AND(ISNUMBER(F16),ISNUMBER(G16),ISNUMBER(H16),ISNUMBER(I16),F16&lt;I16,H16&lt;G16),"Work and leave hours overlap",IF(AND(E16&lt;&gt;"",WEEKDAY(A16)=7),"Saturday - administrator only","")))))))</f>
        <v/>
      </c>
      <c r="T16" s="36" t="n">
        <f aca="false">MONTH(A16)</f>
        <v>1</v>
      </c>
      <c r="U16" s="37" t="b">
        <f aca="false">OR(C16="Workday",C16="Eve")</f>
        <v>0</v>
      </c>
      <c r="V16" s="34" t="n">
        <f aca="false">IF(C16="Eve",Settings!$B$8,Settings!$B$7)</f>
        <v>0.6875</v>
      </c>
      <c r="W16" s="14" t="n">
        <f aca="false">IF(U16,(V16-Settings!$B$6)*24,0)</f>
        <v>0</v>
      </c>
    </row>
    <row r="17" customFormat="false" ht="15" hidden="false" customHeight="false" outlineLevel="0" collapsed="false">
      <c r="A17" s="29" t="n">
        <v>46033</v>
      </c>
      <c r="B17" s="30" t="str">
        <f aca="false">CHOOSE(WEEKDAY(A17),"Sun","Mon","Tue","Wed","Thu","Fri","Sat")</f>
        <v>Sun</v>
      </c>
      <c r="C17" s="30" t="str">
        <f aca="false">IF(IFERROR(INDEX(Holidays!$D$5:$D$60,MATCH(A17,Holidays!$A$5:$A$60,0)),"")="Holiday","Holiday",IF(WEEKDAY(A17)&gt;=6,"Weekend",IF(IFERROR(INDEX(Holidays!$D$5:$D$60,MATCH(A17,Holidays!$A$5:$A$60,0)),"")="Eve","Eve","Workday")))</f>
        <v>Workday</v>
      </c>
      <c r="D17" s="18" t="str">
        <f aca="false">IFERROR(INDEX(Holidays!$C$5:$C$60,MATCH(A17,Holidays!$A$5:$A$60,0)),"")</f>
        <v/>
      </c>
      <c r="E17" s="31"/>
      <c r="F17" s="32"/>
      <c r="G17" s="32"/>
      <c r="H17" s="32"/>
      <c r="I17" s="32"/>
      <c r="J17" s="31"/>
      <c r="K17" s="33" t="str">
        <f aca="false">IF(E17&lt;&gt;"",E17,IF(U17,"Present",IF(C17="Holiday","Holiday","Weekend")))</f>
        <v>Present</v>
      </c>
      <c r="L17" s="34" t="n">
        <f aca="false">IF(OR(K17="Present",K17="Manual Work",K17="Partial Vacation",K17="Partial Sick Leave"),IF(ISNUMBER(F17),F17,IF(AND(K17="Present",U17),Settings!$B$6,"")),"")</f>
        <v>0.333333333333333</v>
      </c>
      <c r="M17" s="34" t="n">
        <f aca="false">IF(OR(K17="Present",K17="Manual Work",K17="Partial Vacation",K17="Partial Sick Leave"),IF(ISNUMBER(G17),G17,IF(AND(K17="Present",U17),V17,"")),"")</f>
        <v>0.6875</v>
      </c>
      <c r="N17" s="14" t="n">
        <f aca="false">IF(AND(ISNUMBER(L17),ISNUMBER(M17)),MAX(0,(M17-L17)*24),0)</f>
        <v>8.5</v>
      </c>
      <c r="O17" s="14" t="n">
        <f aca="false">IF(NOT(U17),0,IF(K17="Vacation",IF(C17="Eve",Settings!$B$9*Settings!$B$11,W17),IF(K17="Partial Vacation",IF(AND(ISNUMBER(H17),ISNUMBER(I17)),MAX(0,(I17-H17)*24),0),0)))</f>
        <v>0</v>
      </c>
      <c r="P17" s="14" t="n">
        <f aca="false">IF(NOT(U17),0,IF(K17="Sick Leave",W17,IF(K17="Partial Sick Leave",IF(AND(ISNUMBER(H17),ISNUMBER(I17)),MAX(0,(I17-H17)*24),0),0)))</f>
        <v>0</v>
      </c>
      <c r="Q17" s="14" t="n">
        <f aca="false">IF(NOT(U17),0,IF(K17="Vacation",IF(C17="Eve",Settings!$B$11,1),IF(K17="Partial Vacation",O17/Settings!$B$9,0)))</f>
        <v>0</v>
      </c>
      <c r="R17" s="14" t="n">
        <f aca="false">IF(NOT(U17),0,IF(K17="Sick Leave",1,IF(K17="Partial Sick Leave",P17/Settings!$B$9,0)))</f>
        <v>0</v>
      </c>
      <c r="S17" s="35" t="str">
        <f aca="false">IF(AND(OR(E17="Vacation",E17="Sick Leave",E17="Partial Vacation",E17="Partial Sick Leave"),NOT(U17)),"Leave not allowed on this day",IF(AND(E17="Manual Work",OR(NOT(ISNUMBER(F17)),NOT(ISNUMBER(G17)))),"Enter start and end",IF(AND(OR(E17="Partial Vacation",E17="Partial Sick Leave"),OR(NOT(ISNUMBER(H17)),NOT(ISNUMBER(I17)))),"Enter leave from and to",IF(AND(ISNUMBER(F17),ISNUMBER(G17),G17&lt;=F17),"End is before start",IF(AND(ISNUMBER(H17),ISNUMBER(I17),I17&lt;=H17),"Leave end is before start",IF(AND(ISNUMBER(F17),ISNUMBER(G17),ISNUMBER(H17),ISNUMBER(I17),F17&lt;I17,H17&lt;G17),"Work and leave hours overlap",IF(AND(E17&lt;&gt;"",WEEKDAY(A17)=7),"Saturday - administrator only","")))))))</f>
        <v/>
      </c>
      <c r="T17" s="36" t="n">
        <f aca="false">MONTH(A17)</f>
        <v>1</v>
      </c>
      <c r="U17" s="37" t="b">
        <f aca="false">OR(C17="Workday",C17="Eve")</f>
        <v>1</v>
      </c>
      <c r="V17" s="34" t="n">
        <f aca="false">IF(C17="Eve",Settings!$B$8,Settings!$B$7)</f>
        <v>0.6875</v>
      </c>
      <c r="W17" s="14" t="n">
        <f aca="false">IF(U17,(V17-Settings!$B$6)*24,0)</f>
        <v>8.5</v>
      </c>
    </row>
    <row r="18" customFormat="false" ht="15" hidden="false" customHeight="false" outlineLevel="0" collapsed="false">
      <c r="A18" s="29" t="n">
        <v>46034</v>
      </c>
      <c r="B18" s="30" t="str">
        <f aca="false">CHOOSE(WEEKDAY(A18),"Sun","Mon","Tue","Wed","Thu","Fri","Sat")</f>
        <v>Mon</v>
      </c>
      <c r="C18" s="30" t="str">
        <f aca="false">IF(IFERROR(INDEX(Holidays!$D$5:$D$60,MATCH(A18,Holidays!$A$5:$A$60,0)),"")="Holiday","Holiday",IF(WEEKDAY(A18)&gt;=6,"Weekend",IF(IFERROR(INDEX(Holidays!$D$5:$D$60,MATCH(A18,Holidays!$A$5:$A$60,0)),"")="Eve","Eve","Workday")))</f>
        <v>Workday</v>
      </c>
      <c r="D18" s="18" t="str">
        <f aca="false">IFERROR(INDEX(Holidays!$C$5:$C$60,MATCH(A18,Holidays!$A$5:$A$60,0)),"")</f>
        <v/>
      </c>
      <c r="E18" s="31"/>
      <c r="F18" s="32"/>
      <c r="G18" s="32"/>
      <c r="H18" s="32"/>
      <c r="I18" s="32"/>
      <c r="J18" s="31"/>
      <c r="K18" s="33" t="str">
        <f aca="false">IF(E18&lt;&gt;"",E18,IF(U18,"Present",IF(C18="Holiday","Holiday","Weekend")))</f>
        <v>Present</v>
      </c>
      <c r="L18" s="34" t="n">
        <f aca="false">IF(OR(K18="Present",K18="Manual Work",K18="Partial Vacation",K18="Partial Sick Leave"),IF(ISNUMBER(F18),F18,IF(AND(K18="Present",U18),Settings!$B$6,"")),"")</f>
        <v>0.333333333333333</v>
      </c>
      <c r="M18" s="34" t="n">
        <f aca="false">IF(OR(K18="Present",K18="Manual Work",K18="Partial Vacation",K18="Partial Sick Leave"),IF(ISNUMBER(G18),G18,IF(AND(K18="Present",U18),V18,"")),"")</f>
        <v>0.6875</v>
      </c>
      <c r="N18" s="14" t="n">
        <f aca="false">IF(AND(ISNUMBER(L18),ISNUMBER(M18)),MAX(0,(M18-L18)*24),0)</f>
        <v>8.5</v>
      </c>
      <c r="O18" s="14" t="n">
        <f aca="false">IF(NOT(U18),0,IF(K18="Vacation",IF(C18="Eve",Settings!$B$9*Settings!$B$11,W18),IF(K18="Partial Vacation",IF(AND(ISNUMBER(H18),ISNUMBER(I18)),MAX(0,(I18-H18)*24),0),0)))</f>
        <v>0</v>
      </c>
      <c r="P18" s="14" t="n">
        <f aca="false">IF(NOT(U18),0,IF(K18="Sick Leave",W18,IF(K18="Partial Sick Leave",IF(AND(ISNUMBER(H18),ISNUMBER(I18)),MAX(0,(I18-H18)*24),0),0)))</f>
        <v>0</v>
      </c>
      <c r="Q18" s="14" t="n">
        <f aca="false">IF(NOT(U18),0,IF(K18="Vacation",IF(C18="Eve",Settings!$B$11,1),IF(K18="Partial Vacation",O18/Settings!$B$9,0)))</f>
        <v>0</v>
      </c>
      <c r="R18" s="14" t="n">
        <f aca="false">IF(NOT(U18),0,IF(K18="Sick Leave",1,IF(K18="Partial Sick Leave",P18/Settings!$B$9,0)))</f>
        <v>0</v>
      </c>
      <c r="S18" s="35" t="str">
        <f aca="false">IF(AND(OR(E18="Vacation",E18="Sick Leave",E18="Partial Vacation",E18="Partial Sick Leave"),NOT(U18)),"Leave not allowed on this day",IF(AND(E18="Manual Work",OR(NOT(ISNUMBER(F18)),NOT(ISNUMBER(G18)))),"Enter start and end",IF(AND(OR(E18="Partial Vacation",E18="Partial Sick Leave"),OR(NOT(ISNUMBER(H18)),NOT(ISNUMBER(I18)))),"Enter leave from and to",IF(AND(ISNUMBER(F18),ISNUMBER(G18),G18&lt;=F18),"End is before start",IF(AND(ISNUMBER(H18),ISNUMBER(I18),I18&lt;=H18),"Leave end is before start",IF(AND(ISNUMBER(F18),ISNUMBER(G18),ISNUMBER(H18),ISNUMBER(I18),F18&lt;I18,H18&lt;G18),"Work and leave hours overlap",IF(AND(E18&lt;&gt;"",WEEKDAY(A18)=7),"Saturday - administrator only","")))))))</f>
        <v/>
      </c>
      <c r="T18" s="36" t="n">
        <f aca="false">MONTH(A18)</f>
        <v>1</v>
      </c>
      <c r="U18" s="37" t="b">
        <f aca="false">OR(C18="Workday",C18="Eve")</f>
        <v>1</v>
      </c>
      <c r="V18" s="34" t="n">
        <f aca="false">IF(C18="Eve",Settings!$B$8,Settings!$B$7)</f>
        <v>0.6875</v>
      </c>
      <c r="W18" s="14" t="n">
        <f aca="false">IF(U18,(V18-Settings!$B$6)*24,0)</f>
        <v>8.5</v>
      </c>
    </row>
    <row r="19" customFormat="false" ht="15" hidden="false" customHeight="false" outlineLevel="0" collapsed="false">
      <c r="A19" s="29" t="n">
        <v>46035</v>
      </c>
      <c r="B19" s="30" t="str">
        <f aca="false">CHOOSE(WEEKDAY(A19),"Sun","Mon","Tue","Wed","Thu","Fri","Sat")</f>
        <v>Tue</v>
      </c>
      <c r="C19" s="30" t="str">
        <f aca="false">IF(IFERROR(INDEX(Holidays!$D$5:$D$60,MATCH(A19,Holidays!$A$5:$A$60,0)),"")="Holiday","Holiday",IF(WEEKDAY(A19)&gt;=6,"Weekend",IF(IFERROR(INDEX(Holidays!$D$5:$D$60,MATCH(A19,Holidays!$A$5:$A$60,0)),"")="Eve","Eve","Workday")))</f>
        <v>Workday</v>
      </c>
      <c r="D19" s="18" t="str">
        <f aca="false">IFERROR(INDEX(Holidays!$C$5:$C$60,MATCH(A19,Holidays!$A$5:$A$60,0)),"")</f>
        <v/>
      </c>
      <c r="E19" s="31"/>
      <c r="F19" s="32"/>
      <c r="G19" s="32"/>
      <c r="H19" s="32"/>
      <c r="I19" s="32"/>
      <c r="J19" s="31"/>
      <c r="K19" s="33" t="str">
        <f aca="false">IF(E19&lt;&gt;"",E19,IF(U19,"Present",IF(C19="Holiday","Holiday","Weekend")))</f>
        <v>Present</v>
      </c>
      <c r="L19" s="34" t="n">
        <f aca="false">IF(OR(K19="Present",K19="Manual Work",K19="Partial Vacation",K19="Partial Sick Leave"),IF(ISNUMBER(F19),F19,IF(AND(K19="Present",U19),Settings!$B$6,"")),"")</f>
        <v>0.333333333333333</v>
      </c>
      <c r="M19" s="34" t="n">
        <f aca="false">IF(OR(K19="Present",K19="Manual Work",K19="Partial Vacation",K19="Partial Sick Leave"),IF(ISNUMBER(G19),G19,IF(AND(K19="Present",U19),V19,"")),"")</f>
        <v>0.6875</v>
      </c>
      <c r="N19" s="14" t="n">
        <f aca="false">IF(AND(ISNUMBER(L19),ISNUMBER(M19)),MAX(0,(M19-L19)*24),0)</f>
        <v>8.5</v>
      </c>
      <c r="O19" s="14" t="n">
        <f aca="false">IF(NOT(U19),0,IF(K19="Vacation",IF(C19="Eve",Settings!$B$9*Settings!$B$11,W19),IF(K19="Partial Vacation",IF(AND(ISNUMBER(H19),ISNUMBER(I19)),MAX(0,(I19-H19)*24),0),0)))</f>
        <v>0</v>
      </c>
      <c r="P19" s="14" t="n">
        <f aca="false">IF(NOT(U19),0,IF(K19="Sick Leave",W19,IF(K19="Partial Sick Leave",IF(AND(ISNUMBER(H19),ISNUMBER(I19)),MAX(0,(I19-H19)*24),0),0)))</f>
        <v>0</v>
      </c>
      <c r="Q19" s="14" t="n">
        <f aca="false">IF(NOT(U19),0,IF(K19="Vacation",IF(C19="Eve",Settings!$B$11,1),IF(K19="Partial Vacation",O19/Settings!$B$9,0)))</f>
        <v>0</v>
      </c>
      <c r="R19" s="14" t="n">
        <f aca="false">IF(NOT(U19),0,IF(K19="Sick Leave",1,IF(K19="Partial Sick Leave",P19/Settings!$B$9,0)))</f>
        <v>0</v>
      </c>
      <c r="S19" s="35" t="str">
        <f aca="false">IF(AND(OR(E19="Vacation",E19="Sick Leave",E19="Partial Vacation",E19="Partial Sick Leave"),NOT(U19)),"Leave not allowed on this day",IF(AND(E19="Manual Work",OR(NOT(ISNUMBER(F19)),NOT(ISNUMBER(G19)))),"Enter start and end",IF(AND(OR(E19="Partial Vacation",E19="Partial Sick Leave"),OR(NOT(ISNUMBER(H19)),NOT(ISNUMBER(I19)))),"Enter leave from and to",IF(AND(ISNUMBER(F19),ISNUMBER(G19),G19&lt;=F19),"End is before start",IF(AND(ISNUMBER(H19),ISNUMBER(I19),I19&lt;=H19),"Leave end is before start",IF(AND(ISNUMBER(F19),ISNUMBER(G19),ISNUMBER(H19),ISNUMBER(I19),F19&lt;I19,H19&lt;G19),"Work and leave hours overlap",IF(AND(E19&lt;&gt;"",WEEKDAY(A19)=7),"Saturday - administrator only","")))))))</f>
        <v/>
      </c>
      <c r="T19" s="36" t="n">
        <f aca="false">MONTH(A19)</f>
        <v>1</v>
      </c>
      <c r="U19" s="37" t="b">
        <f aca="false">OR(C19="Workday",C19="Eve")</f>
        <v>1</v>
      </c>
      <c r="V19" s="34" t="n">
        <f aca="false">IF(C19="Eve",Settings!$B$8,Settings!$B$7)</f>
        <v>0.6875</v>
      </c>
      <c r="W19" s="14" t="n">
        <f aca="false">IF(U19,(V19-Settings!$B$6)*24,0)</f>
        <v>8.5</v>
      </c>
    </row>
    <row r="20" customFormat="false" ht="15" hidden="false" customHeight="false" outlineLevel="0" collapsed="false">
      <c r="A20" s="29" t="n">
        <v>46036</v>
      </c>
      <c r="B20" s="30" t="str">
        <f aca="false">CHOOSE(WEEKDAY(A20),"Sun","Mon","Tue","Wed","Thu","Fri","Sat")</f>
        <v>Wed</v>
      </c>
      <c r="C20" s="30" t="str">
        <f aca="false">IF(IFERROR(INDEX(Holidays!$D$5:$D$60,MATCH(A20,Holidays!$A$5:$A$60,0)),"")="Holiday","Holiday",IF(WEEKDAY(A20)&gt;=6,"Weekend",IF(IFERROR(INDEX(Holidays!$D$5:$D$60,MATCH(A20,Holidays!$A$5:$A$60,0)),"")="Eve","Eve","Workday")))</f>
        <v>Workday</v>
      </c>
      <c r="D20" s="18" t="str">
        <f aca="false">IFERROR(INDEX(Holidays!$C$5:$C$60,MATCH(A20,Holidays!$A$5:$A$60,0)),"")</f>
        <v/>
      </c>
      <c r="E20" s="31"/>
      <c r="F20" s="32"/>
      <c r="G20" s="32"/>
      <c r="H20" s="32"/>
      <c r="I20" s="32"/>
      <c r="J20" s="31"/>
      <c r="K20" s="33" t="str">
        <f aca="false">IF(E20&lt;&gt;"",E20,IF(U20,"Present",IF(C20="Holiday","Holiday","Weekend")))</f>
        <v>Present</v>
      </c>
      <c r="L20" s="34" t="n">
        <f aca="false">IF(OR(K20="Present",K20="Manual Work",K20="Partial Vacation",K20="Partial Sick Leave"),IF(ISNUMBER(F20),F20,IF(AND(K20="Present",U20),Settings!$B$6,"")),"")</f>
        <v>0.333333333333333</v>
      </c>
      <c r="M20" s="34" t="n">
        <f aca="false">IF(OR(K20="Present",K20="Manual Work",K20="Partial Vacation",K20="Partial Sick Leave"),IF(ISNUMBER(G20),G20,IF(AND(K20="Present",U20),V20,"")),"")</f>
        <v>0.6875</v>
      </c>
      <c r="N20" s="14" t="n">
        <f aca="false">IF(AND(ISNUMBER(L20),ISNUMBER(M20)),MAX(0,(M20-L20)*24),0)</f>
        <v>8.5</v>
      </c>
      <c r="O20" s="14" t="n">
        <f aca="false">IF(NOT(U20),0,IF(K20="Vacation",IF(C20="Eve",Settings!$B$9*Settings!$B$11,W20),IF(K20="Partial Vacation",IF(AND(ISNUMBER(H20),ISNUMBER(I20)),MAX(0,(I20-H20)*24),0),0)))</f>
        <v>0</v>
      </c>
      <c r="P20" s="14" t="n">
        <f aca="false">IF(NOT(U20),0,IF(K20="Sick Leave",W20,IF(K20="Partial Sick Leave",IF(AND(ISNUMBER(H20),ISNUMBER(I20)),MAX(0,(I20-H20)*24),0),0)))</f>
        <v>0</v>
      </c>
      <c r="Q20" s="14" t="n">
        <f aca="false">IF(NOT(U20),0,IF(K20="Vacation",IF(C20="Eve",Settings!$B$11,1),IF(K20="Partial Vacation",O20/Settings!$B$9,0)))</f>
        <v>0</v>
      </c>
      <c r="R20" s="14" t="n">
        <f aca="false">IF(NOT(U20),0,IF(K20="Sick Leave",1,IF(K20="Partial Sick Leave",P20/Settings!$B$9,0)))</f>
        <v>0</v>
      </c>
      <c r="S20" s="35" t="str">
        <f aca="false">IF(AND(OR(E20="Vacation",E20="Sick Leave",E20="Partial Vacation",E20="Partial Sick Leave"),NOT(U20)),"Leave not allowed on this day",IF(AND(E20="Manual Work",OR(NOT(ISNUMBER(F20)),NOT(ISNUMBER(G20)))),"Enter start and end",IF(AND(OR(E20="Partial Vacation",E20="Partial Sick Leave"),OR(NOT(ISNUMBER(H20)),NOT(ISNUMBER(I20)))),"Enter leave from and to",IF(AND(ISNUMBER(F20),ISNUMBER(G20),G20&lt;=F20),"End is before start",IF(AND(ISNUMBER(H20),ISNUMBER(I20),I20&lt;=H20),"Leave end is before start",IF(AND(ISNUMBER(F20),ISNUMBER(G20),ISNUMBER(H20),ISNUMBER(I20),F20&lt;I20,H20&lt;G20),"Work and leave hours overlap",IF(AND(E20&lt;&gt;"",WEEKDAY(A20)=7),"Saturday - administrator only","")))))))</f>
        <v/>
      </c>
      <c r="T20" s="36" t="n">
        <f aca="false">MONTH(A20)</f>
        <v>1</v>
      </c>
      <c r="U20" s="37" t="b">
        <f aca="false">OR(C20="Workday",C20="Eve")</f>
        <v>1</v>
      </c>
      <c r="V20" s="34" t="n">
        <f aca="false">IF(C20="Eve",Settings!$B$8,Settings!$B$7)</f>
        <v>0.6875</v>
      </c>
      <c r="W20" s="14" t="n">
        <f aca="false">IF(U20,(V20-Settings!$B$6)*24,0)</f>
        <v>8.5</v>
      </c>
    </row>
    <row r="21" customFormat="false" ht="15" hidden="false" customHeight="false" outlineLevel="0" collapsed="false">
      <c r="A21" s="29" t="n">
        <v>46037</v>
      </c>
      <c r="B21" s="30" t="str">
        <f aca="false">CHOOSE(WEEKDAY(A21),"Sun","Mon","Tue","Wed","Thu","Fri","Sat")</f>
        <v>Thu</v>
      </c>
      <c r="C21" s="30" t="str">
        <f aca="false">IF(IFERROR(INDEX(Holidays!$D$5:$D$60,MATCH(A21,Holidays!$A$5:$A$60,0)),"")="Holiday","Holiday",IF(WEEKDAY(A21)&gt;=6,"Weekend",IF(IFERROR(INDEX(Holidays!$D$5:$D$60,MATCH(A21,Holidays!$A$5:$A$60,0)),"")="Eve","Eve","Workday")))</f>
        <v>Workday</v>
      </c>
      <c r="D21" s="18" t="str">
        <f aca="false">IFERROR(INDEX(Holidays!$C$5:$C$60,MATCH(A21,Holidays!$A$5:$A$60,0)),"")</f>
        <v/>
      </c>
      <c r="E21" s="31"/>
      <c r="F21" s="32"/>
      <c r="G21" s="32"/>
      <c r="H21" s="32"/>
      <c r="I21" s="32"/>
      <c r="J21" s="31"/>
      <c r="K21" s="33" t="str">
        <f aca="false">IF(E21&lt;&gt;"",E21,IF(U21,"Present",IF(C21="Holiday","Holiday","Weekend")))</f>
        <v>Present</v>
      </c>
      <c r="L21" s="34" t="n">
        <f aca="false">IF(OR(K21="Present",K21="Manual Work",K21="Partial Vacation",K21="Partial Sick Leave"),IF(ISNUMBER(F21),F21,IF(AND(K21="Present",U21),Settings!$B$6,"")),"")</f>
        <v>0.333333333333333</v>
      </c>
      <c r="M21" s="34" t="n">
        <f aca="false">IF(OR(K21="Present",K21="Manual Work",K21="Partial Vacation",K21="Partial Sick Leave"),IF(ISNUMBER(G21),G21,IF(AND(K21="Present",U21),V21,"")),"")</f>
        <v>0.6875</v>
      </c>
      <c r="N21" s="14" t="n">
        <f aca="false">IF(AND(ISNUMBER(L21),ISNUMBER(M21)),MAX(0,(M21-L21)*24),0)</f>
        <v>8.5</v>
      </c>
      <c r="O21" s="14" t="n">
        <f aca="false">IF(NOT(U21),0,IF(K21="Vacation",IF(C21="Eve",Settings!$B$9*Settings!$B$11,W21),IF(K21="Partial Vacation",IF(AND(ISNUMBER(H21),ISNUMBER(I21)),MAX(0,(I21-H21)*24),0),0)))</f>
        <v>0</v>
      </c>
      <c r="P21" s="14" t="n">
        <f aca="false">IF(NOT(U21),0,IF(K21="Sick Leave",W21,IF(K21="Partial Sick Leave",IF(AND(ISNUMBER(H21),ISNUMBER(I21)),MAX(0,(I21-H21)*24),0),0)))</f>
        <v>0</v>
      </c>
      <c r="Q21" s="14" t="n">
        <f aca="false">IF(NOT(U21),0,IF(K21="Vacation",IF(C21="Eve",Settings!$B$11,1),IF(K21="Partial Vacation",O21/Settings!$B$9,0)))</f>
        <v>0</v>
      </c>
      <c r="R21" s="14" t="n">
        <f aca="false">IF(NOT(U21),0,IF(K21="Sick Leave",1,IF(K21="Partial Sick Leave",P21/Settings!$B$9,0)))</f>
        <v>0</v>
      </c>
      <c r="S21" s="35" t="str">
        <f aca="false">IF(AND(OR(E21="Vacation",E21="Sick Leave",E21="Partial Vacation",E21="Partial Sick Leave"),NOT(U21)),"Leave not allowed on this day",IF(AND(E21="Manual Work",OR(NOT(ISNUMBER(F21)),NOT(ISNUMBER(G21)))),"Enter start and end",IF(AND(OR(E21="Partial Vacation",E21="Partial Sick Leave"),OR(NOT(ISNUMBER(H21)),NOT(ISNUMBER(I21)))),"Enter leave from and to",IF(AND(ISNUMBER(F21),ISNUMBER(G21),G21&lt;=F21),"End is before start",IF(AND(ISNUMBER(H21),ISNUMBER(I21),I21&lt;=H21),"Leave end is before start",IF(AND(ISNUMBER(F21),ISNUMBER(G21),ISNUMBER(H21),ISNUMBER(I21),F21&lt;I21,H21&lt;G21),"Work and leave hours overlap",IF(AND(E21&lt;&gt;"",WEEKDAY(A21)=7),"Saturday - administrator only","")))))))</f>
        <v/>
      </c>
      <c r="T21" s="36" t="n">
        <f aca="false">MONTH(A21)</f>
        <v>1</v>
      </c>
      <c r="U21" s="37" t="b">
        <f aca="false">OR(C21="Workday",C21="Eve")</f>
        <v>1</v>
      </c>
      <c r="V21" s="34" t="n">
        <f aca="false">IF(C21="Eve",Settings!$B$8,Settings!$B$7)</f>
        <v>0.6875</v>
      </c>
      <c r="W21" s="14" t="n">
        <f aca="false">IF(U21,(V21-Settings!$B$6)*24,0)</f>
        <v>8.5</v>
      </c>
    </row>
    <row r="22" customFormat="false" ht="15" hidden="false" customHeight="false" outlineLevel="0" collapsed="false">
      <c r="A22" s="29" t="n">
        <v>46038</v>
      </c>
      <c r="B22" s="30" t="str">
        <f aca="false">CHOOSE(WEEKDAY(A22),"Sun","Mon","Tue","Wed","Thu","Fri","Sat")</f>
        <v>Fri</v>
      </c>
      <c r="C22" s="30" t="str">
        <f aca="false">IF(IFERROR(INDEX(Holidays!$D$5:$D$60,MATCH(A22,Holidays!$A$5:$A$60,0)),"")="Holiday","Holiday",IF(WEEKDAY(A22)&gt;=6,"Weekend",IF(IFERROR(INDEX(Holidays!$D$5:$D$60,MATCH(A22,Holidays!$A$5:$A$60,0)),"")="Eve","Eve","Workday")))</f>
        <v>Weekend</v>
      </c>
      <c r="D22" s="18" t="str">
        <f aca="false">IFERROR(INDEX(Holidays!$C$5:$C$60,MATCH(A22,Holidays!$A$5:$A$60,0)),"")</f>
        <v/>
      </c>
      <c r="E22" s="31"/>
      <c r="F22" s="32"/>
      <c r="G22" s="32"/>
      <c r="H22" s="32"/>
      <c r="I22" s="32"/>
      <c r="J22" s="31"/>
      <c r="K22" s="33" t="str">
        <f aca="false">IF(E22&lt;&gt;"",E22,IF(U22,"Present",IF(C22="Holiday","Holiday","Weekend")))</f>
        <v>Weekend</v>
      </c>
      <c r="L22" s="34" t="str">
        <f aca="false">IF(OR(K22="Present",K22="Manual Work",K22="Partial Vacation",K22="Partial Sick Leave"),IF(ISNUMBER(F22),F22,IF(AND(K22="Present",U22),Settings!$B$6,"")),"")</f>
        <v/>
      </c>
      <c r="M22" s="34" t="str">
        <f aca="false">IF(OR(K22="Present",K22="Manual Work",K22="Partial Vacation",K22="Partial Sick Leave"),IF(ISNUMBER(G22),G22,IF(AND(K22="Present",U22),V22,"")),"")</f>
        <v/>
      </c>
      <c r="N22" s="14" t="n">
        <f aca="false">IF(AND(ISNUMBER(L22),ISNUMBER(M22)),MAX(0,(M22-L22)*24),0)</f>
        <v>0</v>
      </c>
      <c r="O22" s="14" t="n">
        <f aca="false">IF(NOT(U22),0,IF(K22="Vacation",IF(C22="Eve",Settings!$B$9*Settings!$B$11,W22),IF(K22="Partial Vacation",IF(AND(ISNUMBER(H22),ISNUMBER(I22)),MAX(0,(I22-H22)*24),0),0)))</f>
        <v>0</v>
      </c>
      <c r="P22" s="14" t="n">
        <f aca="false">IF(NOT(U22),0,IF(K22="Sick Leave",W22,IF(K22="Partial Sick Leave",IF(AND(ISNUMBER(H22),ISNUMBER(I22)),MAX(0,(I22-H22)*24),0),0)))</f>
        <v>0</v>
      </c>
      <c r="Q22" s="14" t="n">
        <f aca="false">IF(NOT(U22),0,IF(K22="Vacation",IF(C22="Eve",Settings!$B$11,1),IF(K22="Partial Vacation",O22/Settings!$B$9,0)))</f>
        <v>0</v>
      </c>
      <c r="R22" s="14" t="n">
        <f aca="false">IF(NOT(U22),0,IF(K22="Sick Leave",1,IF(K22="Partial Sick Leave",P22/Settings!$B$9,0)))</f>
        <v>0</v>
      </c>
      <c r="S22" s="35" t="str">
        <f aca="false">IF(AND(OR(E22="Vacation",E22="Sick Leave",E22="Partial Vacation",E22="Partial Sick Leave"),NOT(U22)),"Leave not allowed on this day",IF(AND(E22="Manual Work",OR(NOT(ISNUMBER(F22)),NOT(ISNUMBER(G22)))),"Enter start and end",IF(AND(OR(E22="Partial Vacation",E22="Partial Sick Leave"),OR(NOT(ISNUMBER(H22)),NOT(ISNUMBER(I22)))),"Enter leave from and to",IF(AND(ISNUMBER(F22),ISNUMBER(G22),G22&lt;=F22),"End is before start",IF(AND(ISNUMBER(H22),ISNUMBER(I22),I22&lt;=H22),"Leave end is before start",IF(AND(ISNUMBER(F22),ISNUMBER(G22),ISNUMBER(H22),ISNUMBER(I22),F22&lt;I22,H22&lt;G22),"Work and leave hours overlap",IF(AND(E22&lt;&gt;"",WEEKDAY(A22)=7),"Saturday - administrator only","")))))))</f>
        <v/>
      </c>
      <c r="T22" s="36" t="n">
        <f aca="false">MONTH(A22)</f>
        <v>1</v>
      </c>
      <c r="U22" s="37" t="b">
        <f aca="false">OR(C22="Workday",C22="Eve")</f>
        <v>0</v>
      </c>
      <c r="V22" s="34" t="n">
        <f aca="false">IF(C22="Eve",Settings!$B$8,Settings!$B$7)</f>
        <v>0.6875</v>
      </c>
      <c r="W22" s="14" t="n">
        <f aca="false">IF(U22,(V22-Settings!$B$6)*24,0)</f>
        <v>0</v>
      </c>
    </row>
    <row r="23" customFormat="false" ht="15" hidden="false" customHeight="false" outlineLevel="0" collapsed="false">
      <c r="A23" s="29" t="n">
        <v>46039</v>
      </c>
      <c r="B23" s="30" t="str">
        <f aca="false">CHOOSE(WEEKDAY(A23),"Sun","Mon","Tue","Wed","Thu","Fri","Sat")</f>
        <v>Sat</v>
      </c>
      <c r="C23" s="30" t="str">
        <f aca="false">IF(IFERROR(INDEX(Holidays!$D$5:$D$60,MATCH(A23,Holidays!$A$5:$A$60,0)),"")="Holiday","Holiday",IF(WEEKDAY(A23)&gt;=6,"Weekend",IF(IFERROR(INDEX(Holidays!$D$5:$D$60,MATCH(A23,Holidays!$A$5:$A$60,0)),"")="Eve","Eve","Workday")))</f>
        <v>Weekend</v>
      </c>
      <c r="D23" s="18" t="str">
        <f aca="false">IFERROR(INDEX(Holidays!$C$5:$C$60,MATCH(A23,Holidays!$A$5:$A$60,0)),"")</f>
        <v/>
      </c>
      <c r="E23" s="31"/>
      <c r="F23" s="32"/>
      <c r="G23" s="32"/>
      <c r="H23" s="32"/>
      <c r="I23" s="32"/>
      <c r="J23" s="31"/>
      <c r="K23" s="33" t="str">
        <f aca="false">IF(E23&lt;&gt;"",E23,IF(U23,"Present",IF(C23="Holiday","Holiday","Weekend")))</f>
        <v>Weekend</v>
      </c>
      <c r="L23" s="34" t="str">
        <f aca="false">IF(OR(K23="Present",K23="Manual Work",K23="Partial Vacation",K23="Partial Sick Leave"),IF(ISNUMBER(F23),F23,IF(AND(K23="Present",U23),Settings!$B$6,"")),"")</f>
        <v/>
      </c>
      <c r="M23" s="34" t="str">
        <f aca="false">IF(OR(K23="Present",K23="Manual Work",K23="Partial Vacation",K23="Partial Sick Leave"),IF(ISNUMBER(G23),G23,IF(AND(K23="Present",U23),V23,"")),"")</f>
        <v/>
      </c>
      <c r="N23" s="14" t="n">
        <f aca="false">IF(AND(ISNUMBER(L23),ISNUMBER(M23)),MAX(0,(M23-L23)*24),0)</f>
        <v>0</v>
      </c>
      <c r="O23" s="14" t="n">
        <f aca="false">IF(NOT(U23),0,IF(K23="Vacation",IF(C23="Eve",Settings!$B$9*Settings!$B$11,W23),IF(K23="Partial Vacation",IF(AND(ISNUMBER(H23),ISNUMBER(I23)),MAX(0,(I23-H23)*24),0),0)))</f>
        <v>0</v>
      </c>
      <c r="P23" s="14" t="n">
        <f aca="false">IF(NOT(U23),0,IF(K23="Sick Leave",W23,IF(K23="Partial Sick Leave",IF(AND(ISNUMBER(H23),ISNUMBER(I23)),MAX(0,(I23-H23)*24),0),0)))</f>
        <v>0</v>
      </c>
      <c r="Q23" s="14" t="n">
        <f aca="false">IF(NOT(U23),0,IF(K23="Vacation",IF(C23="Eve",Settings!$B$11,1),IF(K23="Partial Vacation",O23/Settings!$B$9,0)))</f>
        <v>0</v>
      </c>
      <c r="R23" s="14" t="n">
        <f aca="false">IF(NOT(U23),0,IF(K23="Sick Leave",1,IF(K23="Partial Sick Leave",P23/Settings!$B$9,0)))</f>
        <v>0</v>
      </c>
      <c r="S23" s="35" t="str">
        <f aca="false">IF(AND(OR(E23="Vacation",E23="Sick Leave",E23="Partial Vacation",E23="Partial Sick Leave"),NOT(U23)),"Leave not allowed on this day",IF(AND(E23="Manual Work",OR(NOT(ISNUMBER(F23)),NOT(ISNUMBER(G23)))),"Enter start and end",IF(AND(OR(E23="Partial Vacation",E23="Partial Sick Leave"),OR(NOT(ISNUMBER(H23)),NOT(ISNUMBER(I23)))),"Enter leave from and to",IF(AND(ISNUMBER(F23),ISNUMBER(G23),G23&lt;=F23),"End is before start",IF(AND(ISNUMBER(H23),ISNUMBER(I23),I23&lt;=H23),"Leave end is before start",IF(AND(ISNUMBER(F23),ISNUMBER(G23),ISNUMBER(H23),ISNUMBER(I23),F23&lt;I23,H23&lt;G23),"Work and leave hours overlap",IF(AND(E23&lt;&gt;"",WEEKDAY(A23)=7),"Saturday - administrator only","")))))))</f>
        <v/>
      </c>
      <c r="T23" s="36" t="n">
        <f aca="false">MONTH(A23)</f>
        <v>1</v>
      </c>
      <c r="U23" s="37" t="b">
        <f aca="false">OR(C23="Workday",C23="Eve")</f>
        <v>0</v>
      </c>
      <c r="V23" s="34" t="n">
        <f aca="false">IF(C23="Eve",Settings!$B$8,Settings!$B$7)</f>
        <v>0.6875</v>
      </c>
      <c r="W23" s="14" t="n">
        <f aca="false">IF(U23,(V23-Settings!$B$6)*24,0)</f>
        <v>0</v>
      </c>
    </row>
    <row r="24" customFormat="false" ht="15" hidden="false" customHeight="false" outlineLevel="0" collapsed="false">
      <c r="A24" s="29" t="n">
        <v>46040</v>
      </c>
      <c r="B24" s="30" t="str">
        <f aca="false">CHOOSE(WEEKDAY(A24),"Sun","Mon","Tue","Wed","Thu","Fri","Sat")</f>
        <v>Sun</v>
      </c>
      <c r="C24" s="30" t="str">
        <f aca="false">IF(IFERROR(INDEX(Holidays!$D$5:$D$60,MATCH(A24,Holidays!$A$5:$A$60,0)),"")="Holiday","Holiday",IF(WEEKDAY(A24)&gt;=6,"Weekend",IF(IFERROR(INDEX(Holidays!$D$5:$D$60,MATCH(A24,Holidays!$A$5:$A$60,0)),"")="Eve","Eve","Workday")))</f>
        <v>Workday</v>
      </c>
      <c r="D24" s="18" t="str">
        <f aca="false">IFERROR(INDEX(Holidays!$C$5:$C$60,MATCH(A24,Holidays!$A$5:$A$60,0)),"")</f>
        <v/>
      </c>
      <c r="E24" s="31"/>
      <c r="F24" s="32"/>
      <c r="G24" s="32"/>
      <c r="H24" s="32"/>
      <c r="I24" s="32"/>
      <c r="J24" s="31"/>
      <c r="K24" s="33" t="str">
        <f aca="false">IF(E24&lt;&gt;"",E24,IF(U24,"Present",IF(C24="Holiday","Holiday","Weekend")))</f>
        <v>Present</v>
      </c>
      <c r="L24" s="34" t="n">
        <f aca="false">IF(OR(K24="Present",K24="Manual Work",K24="Partial Vacation",K24="Partial Sick Leave"),IF(ISNUMBER(F24),F24,IF(AND(K24="Present",U24),Settings!$B$6,"")),"")</f>
        <v>0.333333333333333</v>
      </c>
      <c r="M24" s="34" t="n">
        <f aca="false">IF(OR(K24="Present",K24="Manual Work",K24="Partial Vacation",K24="Partial Sick Leave"),IF(ISNUMBER(G24),G24,IF(AND(K24="Present",U24),V24,"")),"")</f>
        <v>0.6875</v>
      </c>
      <c r="N24" s="14" t="n">
        <f aca="false">IF(AND(ISNUMBER(L24),ISNUMBER(M24)),MAX(0,(M24-L24)*24),0)</f>
        <v>8.5</v>
      </c>
      <c r="O24" s="14" t="n">
        <f aca="false">IF(NOT(U24),0,IF(K24="Vacation",IF(C24="Eve",Settings!$B$9*Settings!$B$11,W24),IF(K24="Partial Vacation",IF(AND(ISNUMBER(H24),ISNUMBER(I24)),MAX(0,(I24-H24)*24),0),0)))</f>
        <v>0</v>
      </c>
      <c r="P24" s="14" t="n">
        <f aca="false">IF(NOT(U24),0,IF(K24="Sick Leave",W24,IF(K24="Partial Sick Leave",IF(AND(ISNUMBER(H24),ISNUMBER(I24)),MAX(0,(I24-H24)*24),0),0)))</f>
        <v>0</v>
      </c>
      <c r="Q24" s="14" t="n">
        <f aca="false">IF(NOT(U24),0,IF(K24="Vacation",IF(C24="Eve",Settings!$B$11,1),IF(K24="Partial Vacation",O24/Settings!$B$9,0)))</f>
        <v>0</v>
      </c>
      <c r="R24" s="14" t="n">
        <f aca="false">IF(NOT(U24),0,IF(K24="Sick Leave",1,IF(K24="Partial Sick Leave",P24/Settings!$B$9,0)))</f>
        <v>0</v>
      </c>
      <c r="S24" s="35" t="str">
        <f aca="false">IF(AND(OR(E24="Vacation",E24="Sick Leave",E24="Partial Vacation",E24="Partial Sick Leave"),NOT(U24)),"Leave not allowed on this day",IF(AND(E24="Manual Work",OR(NOT(ISNUMBER(F24)),NOT(ISNUMBER(G24)))),"Enter start and end",IF(AND(OR(E24="Partial Vacation",E24="Partial Sick Leave"),OR(NOT(ISNUMBER(H24)),NOT(ISNUMBER(I24)))),"Enter leave from and to",IF(AND(ISNUMBER(F24),ISNUMBER(G24),G24&lt;=F24),"End is before start",IF(AND(ISNUMBER(H24),ISNUMBER(I24),I24&lt;=H24),"Leave end is before start",IF(AND(ISNUMBER(F24),ISNUMBER(G24),ISNUMBER(H24),ISNUMBER(I24),F24&lt;I24,H24&lt;G24),"Work and leave hours overlap",IF(AND(E24&lt;&gt;"",WEEKDAY(A24)=7),"Saturday - administrator only","")))))))</f>
        <v/>
      </c>
      <c r="T24" s="36" t="n">
        <f aca="false">MONTH(A24)</f>
        <v>1</v>
      </c>
      <c r="U24" s="37" t="b">
        <f aca="false">OR(C24="Workday",C24="Eve")</f>
        <v>1</v>
      </c>
      <c r="V24" s="34" t="n">
        <f aca="false">IF(C24="Eve",Settings!$B$8,Settings!$B$7)</f>
        <v>0.6875</v>
      </c>
      <c r="W24" s="14" t="n">
        <f aca="false">IF(U24,(V24-Settings!$B$6)*24,0)</f>
        <v>8.5</v>
      </c>
    </row>
    <row r="25" customFormat="false" ht="15" hidden="false" customHeight="false" outlineLevel="0" collapsed="false">
      <c r="A25" s="29" t="n">
        <v>46041</v>
      </c>
      <c r="B25" s="30" t="str">
        <f aca="false">CHOOSE(WEEKDAY(A25),"Sun","Mon","Tue","Wed","Thu","Fri","Sat")</f>
        <v>Mon</v>
      </c>
      <c r="C25" s="30" t="str">
        <f aca="false">IF(IFERROR(INDEX(Holidays!$D$5:$D$60,MATCH(A25,Holidays!$A$5:$A$60,0)),"")="Holiday","Holiday",IF(WEEKDAY(A25)&gt;=6,"Weekend",IF(IFERROR(INDEX(Holidays!$D$5:$D$60,MATCH(A25,Holidays!$A$5:$A$60,0)),"")="Eve","Eve","Workday")))</f>
        <v>Workday</v>
      </c>
      <c r="D25" s="18" t="str">
        <f aca="false">IFERROR(INDEX(Holidays!$C$5:$C$60,MATCH(A25,Holidays!$A$5:$A$60,0)),"")</f>
        <v/>
      </c>
      <c r="E25" s="31"/>
      <c r="F25" s="32"/>
      <c r="G25" s="32"/>
      <c r="H25" s="32"/>
      <c r="I25" s="32"/>
      <c r="J25" s="31"/>
      <c r="K25" s="33" t="str">
        <f aca="false">IF(E25&lt;&gt;"",E25,IF(U25,"Present",IF(C25="Holiday","Holiday","Weekend")))</f>
        <v>Present</v>
      </c>
      <c r="L25" s="34" t="n">
        <f aca="false">IF(OR(K25="Present",K25="Manual Work",K25="Partial Vacation",K25="Partial Sick Leave"),IF(ISNUMBER(F25),F25,IF(AND(K25="Present",U25),Settings!$B$6,"")),"")</f>
        <v>0.333333333333333</v>
      </c>
      <c r="M25" s="34" t="n">
        <f aca="false">IF(OR(K25="Present",K25="Manual Work",K25="Partial Vacation",K25="Partial Sick Leave"),IF(ISNUMBER(G25),G25,IF(AND(K25="Present",U25),V25,"")),"")</f>
        <v>0.6875</v>
      </c>
      <c r="N25" s="14" t="n">
        <f aca="false">IF(AND(ISNUMBER(L25),ISNUMBER(M25)),MAX(0,(M25-L25)*24),0)</f>
        <v>8.5</v>
      </c>
      <c r="O25" s="14" t="n">
        <f aca="false">IF(NOT(U25),0,IF(K25="Vacation",IF(C25="Eve",Settings!$B$9*Settings!$B$11,W25),IF(K25="Partial Vacation",IF(AND(ISNUMBER(H25),ISNUMBER(I25)),MAX(0,(I25-H25)*24),0),0)))</f>
        <v>0</v>
      </c>
      <c r="P25" s="14" t="n">
        <f aca="false">IF(NOT(U25),0,IF(K25="Sick Leave",W25,IF(K25="Partial Sick Leave",IF(AND(ISNUMBER(H25),ISNUMBER(I25)),MAX(0,(I25-H25)*24),0),0)))</f>
        <v>0</v>
      </c>
      <c r="Q25" s="14" t="n">
        <f aca="false">IF(NOT(U25),0,IF(K25="Vacation",IF(C25="Eve",Settings!$B$11,1),IF(K25="Partial Vacation",O25/Settings!$B$9,0)))</f>
        <v>0</v>
      </c>
      <c r="R25" s="14" t="n">
        <f aca="false">IF(NOT(U25),0,IF(K25="Sick Leave",1,IF(K25="Partial Sick Leave",P25/Settings!$B$9,0)))</f>
        <v>0</v>
      </c>
      <c r="S25" s="35" t="str">
        <f aca="false">IF(AND(OR(E25="Vacation",E25="Sick Leave",E25="Partial Vacation",E25="Partial Sick Leave"),NOT(U25)),"Leave not allowed on this day",IF(AND(E25="Manual Work",OR(NOT(ISNUMBER(F25)),NOT(ISNUMBER(G25)))),"Enter start and end",IF(AND(OR(E25="Partial Vacation",E25="Partial Sick Leave"),OR(NOT(ISNUMBER(H25)),NOT(ISNUMBER(I25)))),"Enter leave from and to",IF(AND(ISNUMBER(F25),ISNUMBER(G25),G25&lt;=F25),"End is before start",IF(AND(ISNUMBER(H25),ISNUMBER(I25),I25&lt;=H25),"Leave end is before start",IF(AND(ISNUMBER(F25),ISNUMBER(G25),ISNUMBER(H25),ISNUMBER(I25),F25&lt;I25,H25&lt;G25),"Work and leave hours overlap",IF(AND(E25&lt;&gt;"",WEEKDAY(A25)=7),"Saturday - administrator only","")))))))</f>
        <v/>
      </c>
      <c r="T25" s="36" t="n">
        <f aca="false">MONTH(A25)</f>
        <v>1</v>
      </c>
      <c r="U25" s="37" t="b">
        <f aca="false">OR(C25="Workday",C25="Eve")</f>
        <v>1</v>
      </c>
      <c r="V25" s="34" t="n">
        <f aca="false">IF(C25="Eve",Settings!$B$8,Settings!$B$7)</f>
        <v>0.6875</v>
      </c>
      <c r="W25" s="14" t="n">
        <f aca="false">IF(U25,(V25-Settings!$B$6)*24,0)</f>
        <v>8.5</v>
      </c>
    </row>
    <row r="26" customFormat="false" ht="15" hidden="false" customHeight="false" outlineLevel="0" collapsed="false">
      <c r="A26" s="29" t="n">
        <v>46042</v>
      </c>
      <c r="B26" s="30" t="str">
        <f aca="false">CHOOSE(WEEKDAY(A26),"Sun","Mon","Tue","Wed","Thu","Fri","Sat")</f>
        <v>Tue</v>
      </c>
      <c r="C26" s="30" t="str">
        <f aca="false">IF(IFERROR(INDEX(Holidays!$D$5:$D$60,MATCH(A26,Holidays!$A$5:$A$60,0)),"")="Holiday","Holiday",IF(WEEKDAY(A26)&gt;=6,"Weekend",IF(IFERROR(INDEX(Holidays!$D$5:$D$60,MATCH(A26,Holidays!$A$5:$A$60,0)),"")="Eve","Eve","Workday")))</f>
        <v>Workday</v>
      </c>
      <c r="D26" s="18" t="str">
        <f aca="false">IFERROR(INDEX(Holidays!$C$5:$C$60,MATCH(A26,Holidays!$A$5:$A$60,0)),"")</f>
        <v/>
      </c>
      <c r="E26" s="31"/>
      <c r="F26" s="32"/>
      <c r="G26" s="32"/>
      <c r="H26" s="32"/>
      <c r="I26" s="32"/>
      <c r="J26" s="31"/>
      <c r="K26" s="33" t="str">
        <f aca="false">IF(E26&lt;&gt;"",E26,IF(U26,"Present",IF(C26="Holiday","Holiday","Weekend")))</f>
        <v>Present</v>
      </c>
      <c r="L26" s="34" t="n">
        <f aca="false">IF(OR(K26="Present",K26="Manual Work",K26="Partial Vacation",K26="Partial Sick Leave"),IF(ISNUMBER(F26),F26,IF(AND(K26="Present",U26),Settings!$B$6,"")),"")</f>
        <v>0.333333333333333</v>
      </c>
      <c r="M26" s="34" t="n">
        <f aca="false">IF(OR(K26="Present",K26="Manual Work",K26="Partial Vacation",K26="Partial Sick Leave"),IF(ISNUMBER(G26),G26,IF(AND(K26="Present",U26),V26,"")),"")</f>
        <v>0.6875</v>
      </c>
      <c r="N26" s="14" t="n">
        <f aca="false">IF(AND(ISNUMBER(L26),ISNUMBER(M26)),MAX(0,(M26-L26)*24),0)</f>
        <v>8.5</v>
      </c>
      <c r="O26" s="14" t="n">
        <f aca="false">IF(NOT(U26),0,IF(K26="Vacation",IF(C26="Eve",Settings!$B$9*Settings!$B$11,W26),IF(K26="Partial Vacation",IF(AND(ISNUMBER(H26),ISNUMBER(I26)),MAX(0,(I26-H26)*24),0),0)))</f>
        <v>0</v>
      </c>
      <c r="P26" s="14" t="n">
        <f aca="false">IF(NOT(U26),0,IF(K26="Sick Leave",W26,IF(K26="Partial Sick Leave",IF(AND(ISNUMBER(H26),ISNUMBER(I26)),MAX(0,(I26-H26)*24),0),0)))</f>
        <v>0</v>
      </c>
      <c r="Q26" s="14" t="n">
        <f aca="false">IF(NOT(U26),0,IF(K26="Vacation",IF(C26="Eve",Settings!$B$11,1),IF(K26="Partial Vacation",O26/Settings!$B$9,0)))</f>
        <v>0</v>
      </c>
      <c r="R26" s="14" t="n">
        <f aca="false">IF(NOT(U26),0,IF(K26="Sick Leave",1,IF(K26="Partial Sick Leave",P26/Settings!$B$9,0)))</f>
        <v>0</v>
      </c>
      <c r="S26" s="35" t="str">
        <f aca="false">IF(AND(OR(E26="Vacation",E26="Sick Leave",E26="Partial Vacation",E26="Partial Sick Leave"),NOT(U26)),"Leave not allowed on this day",IF(AND(E26="Manual Work",OR(NOT(ISNUMBER(F26)),NOT(ISNUMBER(G26)))),"Enter start and end",IF(AND(OR(E26="Partial Vacation",E26="Partial Sick Leave"),OR(NOT(ISNUMBER(H26)),NOT(ISNUMBER(I26)))),"Enter leave from and to",IF(AND(ISNUMBER(F26),ISNUMBER(G26),G26&lt;=F26),"End is before start",IF(AND(ISNUMBER(H26),ISNUMBER(I26),I26&lt;=H26),"Leave end is before start",IF(AND(ISNUMBER(F26),ISNUMBER(G26),ISNUMBER(H26),ISNUMBER(I26),F26&lt;I26,H26&lt;G26),"Work and leave hours overlap",IF(AND(E26&lt;&gt;"",WEEKDAY(A26)=7),"Saturday - administrator only","")))))))</f>
        <v/>
      </c>
      <c r="T26" s="36" t="n">
        <f aca="false">MONTH(A26)</f>
        <v>1</v>
      </c>
      <c r="U26" s="37" t="b">
        <f aca="false">OR(C26="Workday",C26="Eve")</f>
        <v>1</v>
      </c>
      <c r="V26" s="34" t="n">
        <f aca="false">IF(C26="Eve",Settings!$B$8,Settings!$B$7)</f>
        <v>0.6875</v>
      </c>
      <c r="W26" s="14" t="n">
        <f aca="false">IF(U26,(V26-Settings!$B$6)*24,0)</f>
        <v>8.5</v>
      </c>
    </row>
    <row r="27" customFormat="false" ht="15" hidden="false" customHeight="false" outlineLevel="0" collapsed="false">
      <c r="A27" s="29" t="n">
        <v>46043</v>
      </c>
      <c r="B27" s="30" t="str">
        <f aca="false">CHOOSE(WEEKDAY(A27),"Sun","Mon","Tue","Wed","Thu","Fri","Sat")</f>
        <v>Wed</v>
      </c>
      <c r="C27" s="30" t="str">
        <f aca="false">IF(IFERROR(INDEX(Holidays!$D$5:$D$60,MATCH(A27,Holidays!$A$5:$A$60,0)),"")="Holiday","Holiday",IF(WEEKDAY(A27)&gt;=6,"Weekend",IF(IFERROR(INDEX(Holidays!$D$5:$D$60,MATCH(A27,Holidays!$A$5:$A$60,0)),"")="Eve","Eve","Workday")))</f>
        <v>Workday</v>
      </c>
      <c r="D27" s="18" t="str">
        <f aca="false">IFERROR(INDEX(Holidays!$C$5:$C$60,MATCH(A27,Holidays!$A$5:$A$60,0)),"")</f>
        <v/>
      </c>
      <c r="E27" s="31"/>
      <c r="F27" s="32"/>
      <c r="G27" s="32"/>
      <c r="H27" s="32"/>
      <c r="I27" s="32"/>
      <c r="J27" s="31"/>
      <c r="K27" s="33" t="str">
        <f aca="false">IF(E27&lt;&gt;"",E27,IF(U27,"Present",IF(C27="Holiday","Holiday","Weekend")))</f>
        <v>Present</v>
      </c>
      <c r="L27" s="34" t="n">
        <f aca="false">IF(OR(K27="Present",K27="Manual Work",K27="Partial Vacation",K27="Partial Sick Leave"),IF(ISNUMBER(F27),F27,IF(AND(K27="Present",U27),Settings!$B$6,"")),"")</f>
        <v>0.333333333333333</v>
      </c>
      <c r="M27" s="34" t="n">
        <f aca="false">IF(OR(K27="Present",K27="Manual Work",K27="Partial Vacation",K27="Partial Sick Leave"),IF(ISNUMBER(G27),G27,IF(AND(K27="Present",U27),V27,"")),"")</f>
        <v>0.6875</v>
      </c>
      <c r="N27" s="14" t="n">
        <f aca="false">IF(AND(ISNUMBER(L27),ISNUMBER(M27)),MAX(0,(M27-L27)*24),0)</f>
        <v>8.5</v>
      </c>
      <c r="O27" s="14" t="n">
        <f aca="false">IF(NOT(U27),0,IF(K27="Vacation",IF(C27="Eve",Settings!$B$9*Settings!$B$11,W27),IF(K27="Partial Vacation",IF(AND(ISNUMBER(H27),ISNUMBER(I27)),MAX(0,(I27-H27)*24),0),0)))</f>
        <v>0</v>
      </c>
      <c r="P27" s="14" t="n">
        <f aca="false">IF(NOT(U27),0,IF(K27="Sick Leave",W27,IF(K27="Partial Sick Leave",IF(AND(ISNUMBER(H27),ISNUMBER(I27)),MAX(0,(I27-H27)*24),0),0)))</f>
        <v>0</v>
      </c>
      <c r="Q27" s="14" t="n">
        <f aca="false">IF(NOT(U27),0,IF(K27="Vacation",IF(C27="Eve",Settings!$B$11,1),IF(K27="Partial Vacation",O27/Settings!$B$9,0)))</f>
        <v>0</v>
      </c>
      <c r="R27" s="14" t="n">
        <f aca="false">IF(NOT(U27),0,IF(K27="Sick Leave",1,IF(K27="Partial Sick Leave",P27/Settings!$B$9,0)))</f>
        <v>0</v>
      </c>
      <c r="S27" s="35" t="str">
        <f aca="false">IF(AND(OR(E27="Vacation",E27="Sick Leave",E27="Partial Vacation",E27="Partial Sick Leave"),NOT(U27)),"Leave not allowed on this day",IF(AND(E27="Manual Work",OR(NOT(ISNUMBER(F27)),NOT(ISNUMBER(G27)))),"Enter start and end",IF(AND(OR(E27="Partial Vacation",E27="Partial Sick Leave"),OR(NOT(ISNUMBER(H27)),NOT(ISNUMBER(I27)))),"Enter leave from and to",IF(AND(ISNUMBER(F27),ISNUMBER(G27),G27&lt;=F27),"End is before start",IF(AND(ISNUMBER(H27),ISNUMBER(I27),I27&lt;=H27),"Leave end is before start",IF(AND(ISNUMBER(F27),ISNUMBER(G27),ISNUMBER(H27),ISNUMBER(I27),F27&lt;I27,H27&lt;G27),"Work and leave hours overlap",IF(AND(E27&lt;&gt;"",WEEKDAY(A27)=7),"Saturday - administrator only","")))))))</f>
        <v/>
      </c>
      <c r="T27" s="36" t="n">
        <f aca="false">MONTH(A27)</f>
        <v>1</v>
      </c>
      <c r="U27" s="37" t="b">
        <f aca="false">OR(C27="Workday",C27="Eve")</f>
        <v>1</v>
      </c>
      <c r="V27" s="34" t="n">
        <f aca="false">IF(C27="Eve",Settings!$B$8,Settings!$B$7)</f>
        <v>0.6875</v>
      </c>
      <c r="W27" s="14" t="n">
        <f aca="false">IF(U27,(V27-Settings!$B$6)*24,0)</f>
        <v>8.5</v>
      </c>
    </row>
    <row r="28" customFormat="false" ht="15" hidden="false" customHeight="false" outlineLevel="0" collapsed="false">
      <c r="A28" s="29" t="n">
        <v>46044</v>
      </c>
      <c r="B28" s="30" t="str">
        <f aca="false">CHOOSE(WEEKDAY(A28),"Sun","Mon","Tue","Wed","Thu","Fri","Sat")</f>
        <v>Thu</v>
      </c>
      <c r="C28" s="30" t="str">
        <f aca="false">IF(IFERROR(INDEX(Holidays!$D$5:$D$60,MATCH(A28,Holidays!$A$5:$A$60,0)),"")="Holiday","Holiday",IF(WEEKDAY(A28)&gt;=6,"Weekend",IF(IFERROR(INDEX(Holidays!$D$5:$D$60,MATCH(A28,Holidays!$A$5:$A$60,0)),"")="Eve","Eve","Workday")))</f>
        <v>Workday</v>
      </c>
      <c r="D28" s="18" t="str">
        <f aca="false">IFERROR(INDEX(Holidays!$C$5:$C$60,MATCH(A28,Holidays!$A$5:$A$60,0)),"")</f>
        <v/>
      </c>
      <c r="E28" s="31"/>
      <c r="F28" s="32"/>
      <c r="G28" s="32"/>
      <c r="H28" s="32"/>
      <c r="I28" s="32"/>
      <c r="J28" s="31"/>
      <c r="K28" s="33" t="str">
        <f aca="false">IF(E28&lt;&gt;"",E28,IF(U28,"Present",IF(C28="Holiday","Holiday","Weekend")))</f>
        <v>Present</v>
      </c>
      <c r="L28" s="34" t="n">
        <f aca="false">IF(OR(K28="Present",K28="Manual Work",K28="Partial Vacation",K28="Partial Sick Leave"),IF(ISNUMBER(F28),F28,IF(AND(K28="Present",U28),Settings!$B$6,"")),"")</f>
        <v>0.333333333333333</v>
      </c>
      <c r="M28" s="34" t="n">
        <f aca="false">IF(OR(K28="Present",K28="Manual Work",K28="Partial Vacation",K28="Partial Sick Leave"),IF(ISNUMBER(G28),G28,IF(AND(K28="Present",U28),V28,"")),"")</f>
        <v>0.6875</v>
      </c>
      <c r="N28" s="14" t="n">
        <f aca="false">IF(AND(ISNUMBER(L28),ISNUMBER(M28)),MAX(0,(M28-L28)*24),0)</f>
        <v>8.5</v>
      </c>
      <c r="O28" s="14" t="n">
        <f aca="false">IF(NOT(U28),0,IF(K28="Vacation",IF(C28="Eve",Settings!$B$9*Settings!$B$11,W28),IF(K28="Partial Vacation",IF(AND(ISNUMBER(H28),ISNUMBER(I28)),MAX(0,(I28-H28)*24),0),0)))</f>
        <v>0</v>
      </c>
      <c r="P28" s="14" t="n">
        <f aca="false">IF(NOT(U28),0,IF(K28="Sick Leave",W28,IF(K28="Partial Sick Leave",IF(AND(ISNUMBER(H28),ISNUMBER(I28)),MAX(0,(I28-H28)*24),0),0)))</f>
        <v>0</v>
      </c>
      <c r="Q28" s="14" t="n">
        <f aca="false">IF(NOT(U28),0,IF(K28="Vacation",IF(C28="Eve",Settings!$B$11,1),IF(K28="Partial Vacation",O28/Settings!$B$9,0)))</f>
        <v>0</v>
      </c>
      <c r="R28" s="14" t="n">
        <f aca="false">IF(NOT(U28),0,IF(K28="Sick Leave",1,IF(K28="Partial Sick Leave",P28/Settings!$B$9,0)))</f>
        <v>0</v>
      </c>
      <c r="S28" s="35" t="str">
        <f aca="false">IF(AND(OR(E28="Vacation",E28="Sick Leave",E28="Partial Vacation",E28="Partial Sick Leave"),NOT(U28)),"Leave not allowed on this day",IF(AND(E28="Manual Work",OR(NOT(ISNUMBER(F28)),NOT(ISNUMBER(G28)))),"Enter start and end",IF(AND(OR(E28="Partial Vacation",E28="Partial Sick Leave"),OR(NOT(ISNUMBER(H28)),NOT(ISNUMBER(I28)))),"Enter leave from and to",IF(AND(ISNUMBER(F28),ISNUMBER(G28),G28&lt;=F28),"End is before start",IF(AND(ISNUMBER(H28),ISNUMBER(I28),I28&lt;=H28),"Leave end is before start",IF(AND(ISNUMBER(F28),ISNUMBER(G28),ISNUMBER(H28),ISNUMBER(I28),F28&lt;I28,H28&lt;G28),"Work and leave hours overlap",IF(AND(E28&lt;&gt;"",WEEKDAY(A28)=7),"Saturday - administrator only","")))))))</f>
        <v/>
      </c>
      <c r="T28" s="36" t="n">
        <f aca="false">MONTH(A28)</f>
        <v>1</v>
      </c>
      <c r="U28" s="37" t="b">
        <f aca="false">OR(C28="Workday",C28="Eve")</f>
        <v>1</v>
      </c>
      <c r="V28" s="34" t="n">
        <f aca="false">IF(C28="Eve",Settings!$B$8,Settings!$B$7)</f>
        <v>0.6875</v>
      </c>
      <c r="W28" s="14" t="n">
        <f aca="false">IF(U28,(V28-Settings!$B$6)*24,0)</f>
        <v>8.5</v>
      </c>
    </row>
    <row r="29" customFormat="false" ht="15" hidden="false" customHeight="false" outlineLevel="0" collapsed="false">
      <c r="A29" s="29" t="n">
        <v>46045</v>
      </c>
      <c r="B29" s="30" t="str">
        <f aca="false">CHOOSE(WEEKDAY(A29),"Sun","Mon","Tue","Wed","Thu","Fri","Sat")</f>
        <v>Fri</v>
      </c>
      <c r="C29" s="30" t="str">
        <f aca="false">IF(IFERROR(INDEX(Holidays!$D$5:$D$60,MATCH(A29,Holidays!$A$5:$A$60,0)),"")="Holiday","Holiday",IF(WEEKDAY(A29)&gt;=6,"Weekend",IF(IFERROR(INDEX(Holidays!$D$5:$D$60,MATCH(A29,Holidays!$A$5:$A$60,0)),"")="Eve","Eve","Workday")))</f>
        <v>Weekend</v>
      </c>
      <c r="D29" s="18" t="str">
        <f aca="false">IFERROR(INDEX(Holidays!$C$5:$C$60,MATCH(A29,Holidays!$A$5:$A$60,0)),"")</f>
        <v/>
      </c>
      <c r="E29" s="31"/>
      <c r="F29" s="32"/>
      <c r="G29" s="32"/>
      <c r="H29" s="32"/>
      <c r="I29" s="32"/>
      <c r="J29" s="31"/>
      <c r="K29" s="33" t="str">
        <f aca="false">IF(E29&lt;&gt;"",E29,IF(U29,"Present",IF(C29="Holiday","Holiday","Weekend")))</f>
        <v>Weekend</v>
      </c>
      <c r="L29" s="34" t="str">
        <f aca="false">IF(OR(K29="Present",K29="Manual Work",K29="Partial Vacation",K29="Partial Sick Leave"),IF(ISNUMBER(F29),F29,IF(AND(K29="Present",U29),Settings!$B$6,"")),"")</f>
        <v/>
      </c>
      <c r="M29" s="34" t="str">
        <f aca="false">IF(OR(K29="Present",K29="Manual Work",K29="Partial Vacation",K29="Partial Sick Leave"),IF(ISNUMBER(G29),G29,IF(AND(K29="Present",U29),V29,"")),"")</f>
        <v/>
      </c>
      <c r="N29" s="14" t="n">
        <f aca="false">IF(AND(ISNUMBER(L29),ISNUMBER(M29)),MAX(0,(M29-L29)*24),0)</f>
        <v>0</v>
      </c>
      <c r="O29" s="14" t="n">
        <f aca="false">IF(NOT(U29),0,IF(K29="Vacation",IF(C29="Eve",Settings!$B$9*Settings!$B$11,W29),IF(K29="Partial Vacation",IF(AND(ISNUMBER(H29),ISNUMBER(I29)),MAX(0,(I29-H29)*24),0),0)))</f>
        <v>0</v>
      </c>
      <c r="P29" s="14" t="n">
        <f aca="false">IF(NOT(U29),0,IF(K29="Sick Leave",W29,IF(K29="Partial Sick Leave",IF(AND(ISNUMBER(H29),ISNUMBER(I29)),MAX(0,(I29-H29)*24),0),0)))</f>
        <v>0</v>
      </c>
      <c r="Q29" s="14" t="n">
        <f aca="false">IF(NOT(U29),0,IF(K29="Vacation",IF(C29="Eve",Settings!$B$11,1),IF(K29="Partial Vacation",O29/Settings!$B$9,0)))</f>
        <v>0</v>
      </c>
      <c r="R29" s="14" t="n">
        <f aca="false">IF(NOT(U29),0,IF(K29="Sick Leave",1,IF(K29="Partial Sick Leave",P29/Settings!$B$9,0)))</f>
        <v>0</v>
      </c>
      <c r="S29" s="35" t="str">
        <f aca="false">IF(AND(OR(E29="Vacation",E29="Sick Leave",E29="Partial Vacation",E29="Partial Sick Leave"),NOT(U29)),"Leave not allowed on this day",IF(AND(E29="Manual Work",OR(NOT(ISNUMBER(F29)),NOT(ISNUMBER(G29)))),"Enter start and end",IF(AND(OR(E29="Partial Vacation",E29="Partial Sick Leave"),OR(NOT(ISNUMBER(H29)),NOT(ISNUMBER(I29)))),"Enter leave from and to",IF(AND(ISNUMBER(F29),ISNUMBER(G29),G29&lt;=F29),"End is before start",IF(AND(ISNUMBER(H29),ISNUMBER(I29),I29&lt;=H29),"Leave end is before start",IF(AND(ISNUMBER(F29),ISNUMBER(G29),ISNUMBER(H29),ISNUMBER(I29),F29&lt;I29,H29&lt;G29),"Work and leave hours overlap",IF(AND(E29&lt;&gt;"",WEEKDAY(A29)=7),"Saturday - administrator only","")))))))</f>
        <v/>
      </c>
      <c r="T29" s="36" t="n">
        <f aca="false">MONTH(A29)</f>
        <v>1</v>
      </c>
      <c r="U29" s="37" t="b">
        <f aca="false">OR(C29="Workday",C29="Eve")</f>
        <v>0</v>
      </c>
      <c r="V29" s="34" t="n">
        <f aca="false">IF(C29="Eve",Settings!$B$8,Settings!$B$7)</f>
        <v>0.6875</v>
      </c>
      <c r="W29" s="14" t="n">
        <f aca="false">IF(U29,(V29-Settings!$B$6)*24,0)</f>
        <v>0</v>
      </c>
    </row>
    <row r="30" customFormat="false" ht="15" hidden="false" customHeight="false" outlineLevel="0" collapsed="false">
      <c r="A30" s="29" t="n">
        <v>46046</v>
      </c>
      <c r="B30" s="30" t="str">
        <f aca="false">CHOOSE(WEEKDAY(A30),"Sun","Mon","Tue","Wed","Thu","Fri","Sat")</f>
        <v>Sat</v>
      </c>
      <c r="C30" s="30" t="str">
        <f aca="false">IF(IFERROR(INDEX(Holidays!$D$5:$D$60,MATCH(A30,Holidays!$A$5:$A$60,0)),"")="Holiday","Holiday",IF(WEEKDAY(A30)&gt;=6,"Weekend",IF(IFERROR(INDEX(Holidays!$D$5:$D$60,MATCH(A30,Holidays!$A$5:$A$60,0)),"")="Eve","Eve","Workday")))</f>
        <v>Weekend</v>
      </c>
      <c r="D30" s="18" t="str">
        <f aca="false">IFERROR(INDEX(Holidays!$C$5:$C$60,MATCH(A30,Holidays!$A$5:$A$60,0)),"")</f>
        <v/>
      </c>
      <c r="E30" s="31"/>
      <c r="F30" s="32"/>
      <c r="G30" s="32"/>
      <c r="H30" s="32"/>
      <c r="I30" s="32"/>
      <c r="J30" s="31"/>
      <c r="K30" s="33" t="str">
        <f aca="false">IF(E30&lt;&gt;"",E30,IF(U30,"Present",IF(C30="Holiday","Holiday","Weekend")))</f>
        <v>Weekend</v>
      </c>
      <c r="L30" s="34" t="str">
        <f aca="false">IF(OR(K30="Present",K30="Manual Work",K30="Partial Vacation",K30="Partial Sick Leave"),IF(ISNUMBER(F30),F30,IF(AND(K30="Present",U30),Settings!$B$6,"")),"")</f>
        <v/>
      </c>
      <c r="M30" s="34" t="str">
        <f aca="false">IF(OR(K30="Present",K30="Manual Work",K30="Partial Vacation",K30="Partial Sick Leave"),IF(ISNUMBER(G30),G30,IF(AND(K30="Present",U30),V30,"")),"")</f>
        <v/>
      </c>
      <c r="N30" s="14" t="n">
        <f aca="false">IF(AND(ISNUMBER(L30),ISNUMBER(M30)),MAX(0,(M30-L30)*24),0)</f>
        <v>0</v>
      </c>
      <c r="O30" s="14" t="n">
        <f aca="false">IF(NOT(U30),0,IF(K30="Vacation",IF(C30="Eve",Settings!$B$9*Settings!$B$11,W30),IF(K30="Partial Vacation",IF(AND(ISNUMBER(H30),ISNUMBER(I30)),MAX(0,(I30-H30)*24),0),0)))</f>
        <v>0</v>
      </c>
      <c r="P30" s="14" t="n">
        <f aca="false">IF(NOT(U30),0,IF(K30="Sick Leave",W30,IF(K30="Partial Sick Leave",IF(AND(ISNUMBER(H30),ISNUMBER(I30)),MAX(0,(I30-H30)*24),0),0)))</f>
        <v>0</v>
      </c>
      <c r="Q30" s="14" t="n">
        <f aca="false">IF(NOT(U30),0,IF(K30="Vacation",IF(C30="Eve",Settings!$B$11,1),IF(K30="Partial Vacation",O30/Settings!$B$9,0)))</f>
        <v>0</v>
      </c>
      <c r="R30" s="14" t="n">
        <f aca="false">IF(NOT(U30),0,IF(K30="Sick Leave",1,IF(K30="Partial Sick Leave",P30/Settings!$B$9,0)))</f>
        <v>0</v>
      </c>
      <c r="S30" s="35" t="str">
        <f aca="false">IF(AND(OR(E30="Vacation",E30="Sick Leave",E30="Partial Vacation",E30="Partial Sick Leave"),NOT(U30)),"Leave not allowed on this day",IF(AND(E30="Manual Work",OR(NOT(ISNUMBER(F30)),NOT(ISNUMBER(G30)))),"Enter start and end",IF(AND(OR(E30="Partial Vacation",E30="Partial Sick Leave"),OR(NOT(ISNUMBER(H30)),NOT(ISNUMBER(I30)))),"Enter leave from and to",IF(AND(ISNUMBER(F30),ISNUMBER(G30),G30&lt;=F30),"End is before start",IF(AND(ISNUMBER(H30),ISNUMBER(I30),I30&lt;=H30),"Leave end is before start",IF(AND(ISNUMBER(F30),ISNUMBER(G30),ISNUMBER(H30),ISNUMBER(I30),F30&lt;I30,H30&lt;G30),"Work and leave hours overlap",IF(AND(E30&lt;&gt;"",WEEKDAY(A30)=7),"Saturday - administrator only","")))))))</f>
        <v/>
      </c>
      <c r="T30" s="36" t="n">
        <f aca="false">MONTH(A30)</f>
        <v>1</v>
      </c>
      <c r="U30" s="37" t="b">
        <f aca="false">OR(C30="Workday",C30="Eve")</f>
        <v>0</v>
      </c>
      <c r="V30" s="34" t="n">
        <f aca="false">IF(C30="Eve",Settings!$B$8,Settings!$B$7)</f>
        <v>0.6875</v>
      </c>
      <c r="W30" s="14" t="n">
        <f aca="false">IF(U30,(V30-Settings!$B$6)*24,0)</f>
        <v>0</v>
      </c>
    </row>
    <row r="31" customFormat="false" ht="15" hidden="false" customHeight="false" outlineLevel="0" collapsed="false">
      <c r="A31" s="29" t="n">
        <v>46047</v>
      </c>
      <c r="B31" s="30" t="str">
        <f aca="false">CHOOSE(WEEKDAY(A31),"Sun","Mon","Tue","Wed","Thu","Fri","Sat")</f>
        <v>Sun</v>
      </c>
      <c r="C31" s="30" t="str">
        <f aca="false">IF(IFERROR(INDEX(Holidays!$D$5:$D$60,MATCH(A31,Holidays!$A$5:$A$60,0)),"")="Holiday","Holiday",IF(WEEKDAY(A31)&gt;=6,"Weekend",IF(IFERROR(INDEX(Holidays!$D$5:$D$60,MATCH(A31,Holidays!$A$5:$A$60,0)),"")="Eve","Eve","Workday")))</f>
        <v>Workday</v>
      </c>
      <c r="D31" s="18" t="str">
        <f aca="false">IFERROR(INDEX(Holidays!$C$5:$C$60,MATCH(A31,Holidays!$A$5:$A$60,0)),"")</f>
        <v/>
      </c>
      <c r="E31" s="31"/>
      <c r="F31" s="32"/>
      <c r="G31" s="32"/>
      <c r="H31" s="32"/>
      <c r="I31" s="32"/>
      <c r="J31" s="31"/>
      <c r="K31" s="33" t="str">
        <f aca="false">IF(E31&lt;&gt;"",E31,IF(U31,"Present",IF(C31="Holiday","Holiday","Weekend")))</f>
        <v>Present</v>
      </c>
      <c r="L31" s="34" t="n">
        <f aca="false">IF(OR(K31="Present",K31="Manual Work",K31="Partial Vacation",K31="Partial Sick Leave"),IF(ISNUMBER(F31),F31,IF(AND(K31="Present",U31),Settings!$B$6,"")),"")</f>
        <v>0.333333333333333</v>
      </c>
      <c r="M31" s="34" t="n">
        <f aca="false">IF(OR(K31="Present",K31="Manual Work",K31="Partial Vacation",K31="Partial Sick Leave"),IF(ISNUMBER(G31),G31,IF(AND(K31="Present",U31),V31,"")),"")</f>
        <v>0.6875</v>
      </c>
      <c r="N31" s="14" t="n">
        <f aca="false">IF(AND(ISNUMBER(L31),ISNUMBER(M31)),MAX(0,(M31-L31)*24),0)</f>
        <v>8.5</v>
      </c>
      <c r="O31" s="14" t="n">
        <f aca="false">IF(NOT(U31),0,IF(K31="Vacation",IF(C31="Eve",Settings!$B$9*Settings!$B$11,W31),IF(K31="Partial Vacation",IF(AND(ISNUMBER(H31),ISNUMBER(I31)),MAX(0,(I31-H31)*24),0),0)))</f>
        <v>0</v>
      </c>
      <c r="P31" s="14" t="n">
        <f aca="false">IF(NOT(U31),0,IF(K31="Sick Leave",W31,IF(K31="Partial Sick Leave",IF(AND(ISNUMBER(H31),ISNUMBER(I31)),MAX(0,(I31-H31)*24),0),0)))</f>
        <v>0</v>
      </c>
      <c r="Q31" s="14" t="n">
        <f aca="false">IF(NOT(U31),0,IF(K31="Vacation",IF(C31="Eve",Settings!$B$11,1),IF(K31="Partial Vacation",O31/Settings!$B$9,0)))</f>
        <v>0</v>
      </c>
      <c r="R31" s="14" t="n">
        <f aca="false">IF(NOT(U31),0,IF(K31="Sick Leave",1,IF(K31="Partial Sick Leave",P31/Settings!$B$9,0)))</f>
        <v>0</v>
      </c>
      <c r="S31" s="35" t="str">
        <f aca="false">IF(AND(OR(E31="Vacation",E31="Sick Leave",E31="Partial Vacation",E31="Partial Sick Leave"),NOT(U31)),"Leave not allowed on this day",IF(AND(E31="Manual Work",OR(NOT(ISNUMBER(F31)),NOT(ISNUMBER(G31)))),"Enter start and end",IF(AND(OR(E31="Partial Vacation",E31="Partial Sick Leave"),OR(NOT(ISNUMBER(H31)),NOT(ISNUMBER(I31)))),"Enter leave from and to",IF(AND(ISNUMBER(F31),ISNUMBER(G31),G31&lt;=F31),"End is before start",IF(AND(ISNUMBER(H31),ISNUMBER(I31),I31&lt;=H31),"Leave end is before start",IF(AND(ISNUMBER(F31),ISNUMBER(G31),ISNUMBER(H31),ISNUMBER(I31),F31&lt;I31,H31&lt;G31),"Work and leave hours overlap",IF(AND(E31&lt;&gt;"",WEEKDAY(A31)=7),"Saturday - administrator only","")))))))</f>
        <v/>
      </c>
      <c r="T31" s="36" t="n">
        <f aca="false">MONTH(A31)</f>
        <v>1</v>
      </c>
      <c r="U31" s="37" t="b">
        <f aca="false">OR(C31="Workday",C31="Eve")</f>
        <v>1</v>
      </c>
      <c r="V31" s="34" t="n">
        <f aca="false">IF(C31="Eve",Settings!$B$8,Settings!$B$7)</f>
        <v>0.6875</v>
      </c>
      <c r="W31" s="14" t="n">
        <f aca="false">IF(U31,(V31-Settings!$B$6)*24,0)</f>
        <v>8.5</v>
      </c>
    </row>
    <row r="32" customFormat="false" ht="15" hidden="false" customHeight="false" outlineLevel="0" collapsed="false">
      <c r="A32" s="29" t="n">
        <v>46048</v>
      </c>
      <c r="B32" s="30" t="str">
        <f aca="false">CHOOSE(WEEKDAY(A32),"Sun","Mon","Tue","Wed","Thu","Fri","Sat")</f>
        <v>Mon</v>
      </c>
      <c r="C32" s="30" t="str">
        <f aca="false">IF(IFERROR(INDEX(Holidays!$D$5:$D$60,MATCH(A32,Holidays!$A$5:$A$60,0)),"")="Holiday","Holiday",IF(WEEKDAY(A32)&gt;=6,"Weekend",IF(IFERROR(INDEX(Holidays!$D$5:$D$60,MATCH(A32,Holidays!$A$5:$A$60,0)),"")="Eve","Eve","Workday")))</f>
        <v>Workday</v>
      </c>
      <c r="D32" s="18" t="str">
        <f aca="false">IFERROR(INDEX(Holidays!$C$5:$C$60,MATCH(A32,Holidays!$A$5:$A$60,0)),"")</f>
        <v/>
      </c>
      <c r="E32" s="31"/>
      <c r="F32" s="32"/>
      <c r="G32" s="32"/>
      <c r="H32" s="32"/>
      <c r="I32" s="32"/>
      <c r="J32" s="31"/>
      <c r="K32" s="33" t="str">
        <f aca="false">IF(E32&lt;&gt;"",E32,IF(U32,"Present",IF(C32="Holiday","Holiday","Weekend")))</f>
        <v>Present</v>
      </c>
      <c r="L32" s="34" t="n">
        <f aca="false">IF(OR(K32="Present",K32="Manual Work",K32="Partial Vacation",K32="Partial Sick Leave"),IF(ISNUMBER(F32),F32,IF(AND(K32="Present",U32),Settings!$B$6,"")),"")</f>
        <v>0.333333333333333</v>
      </c>
      <c r="M32" s="34" t="n">
        <f aca="false">IF(OR(K32="Present",K32="Manual Work",K32="Partial Vacation",K32="Partial Sick Leave"),IF(ISNUMBER(G32),G32,IF(AND(K32="Present",U32),V32,"")),"")</f>
        <v>0.6875</v>
      </c>
      <c r="N32" s="14" t="n">
        <f aca="false">IF(AND(ISNUMBER(L32),ISNUMBER(M32)),MAX(0,(M32-L32)*24),0)</f>
        <v>8.5</v>
      </c>
      <c r="O32" s="14" t="n">
        <f aca="false">IF(NOT(U32),0,IF(K32="Vacation",IF(C32="Eve",Settings!$B$9*Settings!$B$11,W32),IF(K32="Partial Vacation",IF(AND(ISNUMBER(H32),ISNUMBER(I32)),MAX(0,(I32-H32)*24),0),0)))</f>
        <v>0</v>
      </c>
      <c r="P32" s="14" t="n">
        <f aca="false">IF(NOT(U32),0,IF(K32="Sick Leave",W32,IF(K32="Partial Sick Leave",IF(AND(ISNUMBER(H32),ISNUMBER(I32)),MAX(0,(I32-H32)*24),0),0)))</f>
        <v>0</v>
      </c>
      <c r="Q32" s="14" t="n">
        <f aca="false">IF(NOT(U32),0,IF(K32="Vacation",IF(C32="Eve",Settings!$B$11,1),IF(K32="Partial Vacation",O32/Settings!$B$9,0)))</f>
        <v>0</v>
      </c>
      <c r="R32" s="14" t="n">
        <f aca="false">IF(NOT(U32),0,IF(K32="Sick Leave",1,IF(K32="Partial Sick Leave",P32/Settings!$B$9,0)))</f>
        <v>0</v>
      </c>
      <c r="S32" s="35" t="str">
        <f aca="false">IF(AND(OR(E32="Vacation",E32="Sick Leave",E32="Partial Vacation",E32="Partial Sick Leave"),NOT(U32)),"Leave not allowed on this day",IF(AND(E32="Manual Work",OR(NOT(ISNUMBER(F32)),NOT(ISNUMBER(G32)))),"Enter start and end",IF(AND(OR(E32="Partial Vacation",E32="Partial Sick Leave"),OR(NOT(ISNUMBER(H32)),NOT(ISNUMBER(I32)))),"Enter leave from and to",IF(AND(ISNUMBER(F32),ISNUMBER(G32),G32&lt;=F32),"End is before start",IF(AND(ISNUMBER(H32),ISNUMBER(I32),I32&lt;=H32),"Leave end is before start",IF(AND(ISNUMBER(F32),ISNUMBER(G32),ISNUMBER(H32),ISNUMBER(I32),F32&lt;I32,H32&lt;G32),"Work and leave hours overlap",IF(AND(E32&lt;&gt;"",WEEKDAY(A32)=7),"Saturday - administrator only","")))))))</f>
        <v/>
      </c>
      <c r="T32" s="36" t="n">
        <f aca="false">MONTH(A32)</f>
        <v>1</v>
      </c>
      <c r="U32" s="37" t="b">
        <f aca="false">OR(C32="Workday",C32="Eve")</f>
        <v>1</v>
      </c>
      <c r="V32" s="34" t="n">
        <f aca="false">IF(C32="Eve",Settings!$B$8,Settings!$B$7)</f>
        <v>0.6875</v>
      </c>
      <c r="W32" s="14" t="n">
        <f aca="false">IF(U32,(V32-Settings!$B$6)*24,0)</f>
        <v>8.5</v>
      </c>
    </row>
    <row r="33" customFormat="false" ht="15" hidden="false" customHeight="false" outlineLevel="0" collapsed="false">
      <c r="A33" s="29" t="n">
        <v>46049</v>
      </c>
      <c r="B33" s="30" t="str">
        <f aca="false">CHOOSE(WEEKDAY(A33),"Sun","Mon","Tue","Wed","Thu","Fri","Sat")</f>
        <v>Tue</v>
      </c>
      <c r="C33" s="30" t="str">
        <f aca="false">IF(IFERROR(INDEX(Holidays!$D$5:$D$60,MATCH(A33,Holidays!$A$5:$A$60,0)),"")="Holiday","Holiday",IF(WEEKDAY(A33)&gt;=6,"Weekend",IF(IFERROR(INDEX(Holidays!$D$5:$D$60,MATCH(A33,Holidays!$A$5:$A$60,0)),"")="Eve","Eve","Workday")))</f>
        <v>Workday</v>
      </c>
      <c r="D33" s="18" t="str">
        <f aca="false">IFERROR(INDEX(Holidays!$C$5:$C$60,MATCH(A33,Holidays!$A$5:$A$60,0)),"")</f>
        <v/>
      </c>
      <c r="E33" s="31"/>
      <c r="F33" s="32"/>
      <c r="G33" s="32"/>
      <c r="H33" s="32"/>
      <c r="I33" s="32"/>
      <c r="J33" s="31"/>
      <c r="K33" s="33" t="str">
        <f aca="false">IF(E33&lt;&gt;"",E33,IF(U33,"Present",IF(C33="Holiday","Holiday","Weekend")))</f>
        <v>Present</v>
      </c>
      <c r="L33" s="34" t="n">
        <f aca="false">IF(OR(K33="Present",K33="Manual Work",K33="Partial Vacation",K33="Partial Sick Leave"),IF(ISNUMBER(F33),F33,IF(AND(K33="Present",U33),Settings!$B$6,"")),"")</f>
        <v>0.333333333333333</v>
      </c>
      <c r="M33" s="34" t="n">
        <f aca="false">IF(OR(K33="Present",K33="Manual Work",K33="Partial Vacation",K33="Partial Sick Leave"),IF(ISNUMBER(G33),G33,IF(AND(K33="Present",U33),V33,"")),"")</f>
        <v>0.6875</v>
      </c>
      <c r="N33" s="14" t="n">
        <f aca="false">IF(AND(ISNUMBER(L33),ISNUMBER(M33)),MAX(0,(M33-L33)*24),0)</f>
        <v>8.5</v>
      </c>
      <c r="O33" s="14" t="n">
        <f aca="false">IF(NOT(U33),0,IF(K33="Vacation",IF(C33="Eve",Settings!$B$9*Settings!$B$11,W33),IF(K33="Partial Vacation",IF(AND(ISNUMBER(H33),ISNUMBER(I33)),MAX(0,(I33-H33)*24),0),0)))</f>
        <v>0</v>
      </c>
      <c r="P33" s="14" t="n">
        <f aca="false">IF(NOT(U33),0,IF(K33="Sick Leave",W33,IF(K33="Partial Sick Leave",IF(AND(ISNUMBER(H33),ISNUMBER(I33)),MAX(0,(I33-H33)*24),0),0)))</f>
        <v>0</v>
      </c>
      <c r="Q33" s="14" t="n">
        <f aca="false">IF(NOT(U33),0,IF(K33="Vacation",IF(C33="Eve",Settings!$B$11,1),IF(K33="Partial Vacation",O33/Settings!$B$9,0)))</f>
        <v>0</v>
      </c>
      <c r="R33" s="14" t="n">
        <f aca="false">IF(NOT(U33),0,IF(K33="Sick Leave",1,IF(K33="Partial Sick Leave",P33/Settings!$B$9,0)))</f>
        <v>0</v>
      </c>
      <c r="S33" s="35" t="str">
        <f aca="false">IF(AND(OR(E33="Vacation",E33="Sick Leave",E33="Partial Vacation",E33="Partial Sick Leave"),NOT(U33)),"Leave not allowed on this day",IF(AND(E33="Manual Work",OR(NOT(ISNUMBER(F33)),NOT(ISNUMBER(G33)))),"Enter start and end",IF(AND(OR(E33="Partial Vacation",E33="Partial Sick Leave"),OR(NOT(ISNUMBER(H33)),NOT(ISNUMBER(I33)))),"Enter leave from and to",IF(AND(ISNUMBER(F33),ISNUMBER(G33),G33&lt;=F33),"End is before start",IF(AND(ISNUMBER(H33),ISNUMBER(I33),I33&lt;=H33),"Leave end is before start",IF(AND(ISNUMBER(F33),ISNUMBER(G33),ISNUMBER(H33),ISNUMBER(I33),F33&lt;I33,H33&lt;G33),"Work and leave hours overlap",IF(AND(E33&lt;&gt;"",WEEKDAY(A33)=7),"Saturday - administrator only","")))))))</f>
        <v/>
      </c>
      <c r="T33" s="36" t="n">
        <f aca="false">MONTH(A33)</f>
        <v>1</v>
      </c>
      <c r="U33" s="37" t="b">
        <f aca="false">OR(C33="Workday",C33="Eve")</f>
        <v>1</v>
      </c>
      <c r="V33" s="34" t="n">
        <f aca="false">IF(C33="Eve",Settings!$B$8,Settings!$B$7)</f>
        <v>0.6875</v>
      </c>
      <c r="W33" s="14" t="n">
        <f aca="false">IF(U33,(V33-Settings!$B$6)*24,0)</f>
        <v>8.5</v>
      </c>
    </row>
    <row r="34" customFormat="false" ht="15" hidden="false" customHeight="false" outlineLevel="0" collapsed="false">
      <c r="A34" s="29" t="n">
        <v>46050</v>
      </c>
      <c r="B34" s="30" t="str">
        <f aca="false">CHOOSE(WEEKDAY(A34),"Sun","Mon","Tue","Wed","Thu","Fri","Sat")</f>
        <v>Wed</v>
      </c>
      <c r="C34" s="30" t="str">
        <f aca="false">IF(IFERROR(INDEX(Holidays!$D$5:$D$60,MATCH(A34,Holidays!$A$5:$A$60,0)),"")="Holiday","Holiday",IF(WEEKDAY(A34)&gt;=6,"Weekend",IF(IFERROR(INDEX(Holidays!$D$5:$D$60,MATCH(A34,Holidays!$A$5:$A$60,0)),"")="Eve","Eve","Workday")))</f>
        <v>Workday</v>
      </c>
      <c r="D34" s="18" t="str">
        <f aca="false">IFERROR(INDEX(Holidays!$C$5:$C$60,MATCH(A34,Holidays!$A$5:$A$60,0)),"")</f>
        <v/>
      </c>
      <c r="E34" s="31"/>
      <c r="F34" s="32"/>
      <c r="G34" s="32"/>
      <c r="H34" s="32"/>
      <c r="I34" s="32"/>
      <c r="J34" s="31"/>
      <c r="K34" s="33" t="str">
        <f aca="false">IF(E34&lt;&gt;"",E34,IF(U34,"Present",IF(C34="Holiday","Holiday","Weekend")))</f>
        <v>Present</v>
      </c>
      <c r="L34" s="34" t="n">
        <f aca="false">IF(OR(K34="Present",K34="Manual Work",K34="Partial Vacation",K34="Partial Sick Leave"),IF(ISNUMBER(F34),F34,IF(AND(K34="Present",U34),Settings!$B$6,"")),"")</f>
        <v>0.333333333333333</v>
      </c>
      <c r="M34" s="34" t="n">
        <f aca="false">IF(OR(K34="Present",K34="Manual Work",K34="Partial Vacation",K34="Partial Sick Leave"),IF(ISNUMBER(G34),G34,IF(AND(K34="Present",U34),V34,"")),"")</f>
        <v>0.6875</v>
      </c>
      <c r="N34" s="14" t="n">
        <f aca="false">IF(AND(ISNUMBER(L34),ISNUMBER(M34)),MAX(0,(M34-L34)*24),0)</f>
        <v>8.5</v>
      </c>
      <c r="O34" s="14" t="n">
        <f aca="false">IF(NOT(U34),0,IF(K34="Vacation",IF(C34="Eve",Settings!$B$9*Settings!$B$11,W34),IF(K34="Partial Vacation",IF(AND(ISNUMBER(H34),ISNUMBER(I34)),MAX(0,(I34-H34)*24),0),0)))</f>
        <v>0</v>
      </c>
      <c r="P34" s="14" t="n">
        <f aca="false">IF(NOT(U34),0,IF(K34="Sick Leave",W34,IF(K34="Partial Sick Leave",IF(AND(ISNUMBER(H34),ISNUMBER(I34)),MAX(0,(I34-H34)*24),0),0)))</f>
        <v>0</v>
      </c>
      <c r="Q34" s="14" t="n">
        <f aca="false">IF(NOT(U34),0,IF(K34="Vacation",IF(C34="Eve",Settings!$B$11,1),IF(K34="Partial Vacation",O34/Settings!$B$9,0)))</f>
        <v>0</v>
      </c>
      <c r="R34" s="14" t="n">
        <f aca="false">IF(NOT(U34),0,IF(K34="Sick Leave",1,IF(K34="Partial Sick Leave",P34/Settings!$B$9,0)))</f>
        <v>0</v>
      </c>
      <c r="S34" s="35" t="str">
        <f aca="false">IF(AND(OR(E34="Vacation",E34="Sick Leave",E34="Partial Vacation",E34="Partial Sick Leave"),NOT(U34)),"Leave not allowed on this day",IF(AND(E34="Manual Work",OR(NOT(ISNUMBER(F34)),NOT(ISNUMBER(G34)))),"Enter start and end",IF(AND(OR(E34="Partial Vacation",E34="Partial Sick Leave"),OR(NOT(ISNUMBER(H34)),NOT(ISNUMBER(I34)))),"Enter leave from and to",IF(AND(ISNUMBER(F34),ISNUMBER(G34),G34&lt;=F34),"End is before start",IF(AND(ISNUMBER(H34),ISNUMBER(I34),I34&lt;=H34),"Leave end is before start",IF(AND(ISNUMBER(F34),ISNUMBER(G34),ISNUMBER(H34),ISNUMBER(I34),F34&lt;I34,H34&lt;G34),"Work and leave hours overlap",IF(AND(E34&lt;&gt;"",WEEKDAY(A34)=7),"Saturday - administrator only","")))))))</f>
        <v/>
      </c>
      <c r="T34" s="36" t="n">
        <f aca="false">MONTH(A34)</f>
        <v>1</v>
      </c>
      <c r="U34" s="37" t="b">
        <f aca="false">OR(C34="Workday",C34="Eve")</f>
        <v>1</v>
      </c>
      <c r="V34" s="34" t="n">
        <f aca="false">IF(C34="Eve",Settings!$B$8,Settings!$B$7)</f>
        <v>0.6875</v>
      </c>
      <c r="W34" s="14" t="n">
        <f aca="false">IF(U34,(V34-Settings!$B$6)*24,0)</f>
        <v>8.5</v>
      </c>
    </row>
    <row r="35" customFormat="false" ht="15" hidden="false" customHeight="false" outlineLevel="0" collapsed="false">
      <c r="A35" s="29" t="n">
        <v>46051</v>
      </c>
      <c r="B35" s="30" t="str">
        <f aca="false">CHOOSE(WEEKDAY(A35),"Sun","Mon","Tue","Wed","Thu","Fri","Sat")</f>
        <v>Thu</v>
      </c>
      <c r="C35" s="30" t="str">
        <f aca="false">IF(IFERROR(INDEX(Holidays!$D$5:$D$60,MATCH(A35,Holidays!$A$5:$A$60,0)),"")="Holiday","Holiday",IF(WEEKDAY(A35)&gt;=6,"Weekend",IF(IFERROR(INDEX(Holidays!$D$5:$D$60,MATCH(A35,Holidays!$A$5:$A$60,0)),"")="Eve","Eve","Workday")))</f>
        <v>Workday</v>
      </c>
      <c r="D35" s="18" t="str">
        <f aca="false">IFERROR(INDEX(Holidays!$C$5:$C$60,MATCH(A35,Holidays!$A$5:$A$60,0)),"")</f>
        <v/>
      </c>
      <c r="E35" s="31"/>
      <c r="F35" s="32"/>
      <c r="G35" s="32"/>
      <c r="H35" s="32"/>
      <c r="I35" s="32"/>
      <c r="J35" s="31"/>
      <c r="K35" s="33" t="str">
        <f aca="false">IF(E35&lt;&gt;"",E35,IF(U35,"Present",IF(C35="Holiday","Holiday","Weekend")))</f>
        <v>Present</v>
      </c>
      <c r="L35" s="34" t="n">
        <f aca="false">IF(OR(K35="Present",K35="Manual Work",K35="Partial Vacation",K35="Partial Sick Leave"),IF(ISNUMBER(F35),F35,IF(AND(K35="Present",U35),Settings!$B$6,"")),"")</f>
        <v>0.333333333333333</v>
      </c>
      <c r="M35" s="34" t="n">
        <f aca="false">IF(OR(K35="Present",K35="Manual Work",K35="Partial Vacation",K35="Partial Sick Leave"),IF(ISNUMBER(G35),G35,IF(AND(K35="Present",U35),V35,"")),"")</f>
        <v>0.6875</v>
      </c>
      <c r="N35" s="14" t="n">
        <f aca="false">IF(AND(ISNUMBER(L35),ISNUMBER(M35)),MAX(0,(M35-L35)*24),0)</f>
        <v>8.5</v>
      </c>
      <c r="O35" s="14" t="n">
        <f aca="false">IF(NOT(U35),0,IF(K35="Vacation",IF(C35="Eve",Settings!$B$9*Settings!$B$11,W35),IF(K35="Partial Vacation",IF(AND(ISNUMBER(H35),ISNUMBER(I35)),MAX(0,(I35-H35)*24),0),0)))</f>
        <v>0</v>
      </c>
      <c r="P35" s="14" t="n">
        <f aca="false">IF(NOT(U35),0,IF(K35="Sick Leave",W35,IF(K35="Partial Sick Leave",IF(AND(ISNUMBER(H35),ISNUMBER(I35)),MAX(0,(I35-H35)*24),0),0)))</f>
        <v>0</v>
      </c>
      <c r="Q35" s="14" t="n">
        <f aca="false">IF(NOT(U35),0,IF(K35="Vacation",IF(C35="Eve",Settings!$B$11,1),IF(K35="Partial Vacation",O35/Settings!$B$9,0)))</f>
        <v>0</v>
      </c>
      <c r="R35" s="14" t="n">
        <f aca="false">IF(NOT(U35),0,IF(K35="Sick Leave",1,IF(K35="Partial Sick Leave",P35/Settings!$B$9,0)))</f>
        <v>0</v>
      </c>
      <c r="S35" s="35" t="str">
        <f aca="false">IF(AND(OR(E35="Vacation",E35="Sick Leave",E35="Partial Vacation",E35="Partial Sick Leave"),NOT(U35)),"Leave not allowed on this day",IF(AND(E35="Manual Work",OR(NOT(ISNUMBER(F35)),NOT(ISNUMBER(G35)))),"Enter start and end",IF(AND(OR(E35="Partial Vacation",E35="Partial Sick Leave"),OR(NOT(ISNUMBER(H35)),NOT(ISNUMBER(I35)))),"Enter leave from and to",IF(AND(ISNUMBER(F35),ISNUMBER(G35),G35&lt;=F35),"End is before start",IF(AND(ISNUMBER(H35),ISNUMBER(I35),I35&lt;=H35),"Leave end is before start",IF(AND(ISNUMBER(F35),ISNUMBER(G35),ISNUMBER(H35),ISNUMBER(I35),F35&lt;I35,H35&lt;G35),"Work and leave hours overlap",IF(AND(E35&lt;&gt;"",WEEKDAY(A35)=7),"Saturday - administrator only","")))))))</f>
        <v/>
      </c>
      <c r="T35" s="36" t="n">
        <f aca="false">MONTH(A35)</f>
        <v>1</v>
      </c>
      <c r="U35" s="37" t="b">
        <f aca="false">OR(C35="Workday",C35="Eve")</f>
        <v>1</v>
      </c>
      <c r="V35" s="34" t="n">
        <f aca="false">IF(C35="Eve",Settings!$B$8,Settings!$B$7)</f>
        <v>0.6875</v>
      </c>
      <c r="W35" s="14" t="n">
        <f aca="false">IF(U35,(V35-Settings!$B$6)*24,0)</f>
        <v>8.5</v>
      </c>
    </row>
    <row r="36" customFormat="false" ht="15" hidden="false" customHeight="false" outlineLevel="0" collapsed="false">
      <c r="A36" s="29" t="n">
        <v>46052</v>
      </c>
      <c r="B36" s="30" t="str">
        <f aca="false">CHOOSE(WEEKDAY(A36),"Sun","Mon","Tue","Wed","Thu","Fri","Sat")</f>
        <v>Fri</v>
      </c>
      <c r="C36" s="30" t="str">
        <f aca="false">IF(IFERROR(INDEX(Holidays!$D$5:$D$60,MATCH(A36,Holidays!$A$5:$A$60,0)),"")="Holiday","Holiday",IF(WEEKDAY(A36)&gt;=6,"Weekend",IF(IFERROR(INDEX(Holidays!$D$5:$D$60,MATCH(A36,Holidays!$A$5:$A$60,0)),"")="Eve","Eve","Workday")))</f>
        <v>Weekend</v>
      </c>
      <c r="D36" s="18" t="str">
        <f aca="false">IFERROR(INDEX(Holidays!$C$5:$C$60,MATCH(A36,Holidays!$A$5:$A$60,0)),"")</f>
        <v/>
      </c>
      <c r="E36" s="31"/>
      <c r="F36" s="32"/>
      <c r="G36" s="32"/>
      <c r="H36" s="32"/>
      <c r="I36" s="32"/>
      <c r="J36" s="31"/>
      <c r="K36" s="33" t="str">
        <f aca="false">IF(E36&lt;&gt;"",E36,IF(U36,"Present",IF(C36="Holiday","Holiday","Weekend")))</f>
        <v>Weekend</v>
      </c>
      <c r="L36" s="34" t="str">
        <f aca="false">IF(OR(K36="Present",K36="Manual Work",K36="Partial Vacation",K36="Partial Sick Leave"),IF(ISNUMBER(F36),F36,IF(AND(K36="Present",U36),Settings!$B$6,"")),"")</f>
        <v/>
      </c>
      <c r="M36" s="34" t="str">
        <f aca="false">IF(OR(K36="Present",K36="Manual Work",K36="Partial Vacation",K36="Partial Sick Leave"),IF(ISNUMBER(G36),G36,IF(AND(K36="Present",U36),V36,"")),"")</f>
        <v/>
      </c>
      <c r="N36" s="14" t="n">
        <f aca="false">IF(AND(ISNUMBER(L36),ISNUMBER(M36)),MAX(0,(M36-L36)*24),0)</f>
        <v>0</v>
      </c>
      <c r="O36" s="14" t="n">
        <f aca="false">IF(NOT(U36),0,IF(K36="Vacation",IF(C36="Eve",Settings!$B$9*Settings!$B$11,W36),IF(K36="Partial Vacation",IF(AND(ISNUMBER(H36),ISNUMBER(I36)),MAX(0,(I36-H36)*24),0),0)))</f>
        <v>0</v>
      </c>
      <c r="P36" s="14" t="n">
        <f aca="false">IF(NOT(U36),0,IF(K36="Sick Leave",W36,IF(K36="Partial Sick Leave",IF(AND(ISNUMBER(H36),ISNUMBER(I36)),MAX(0,(I36-H36)*24),0),0)))</f>
        <v>0</v>
      </c>
      <c r="Q36" s="14" t="n">
        <f aca="false">IF(NOT(U36),0,IF(K36="Vacation",IF(C36="Eve",Settings!$B$11,1),IF(K36="Partial Vacation",O36/Settings!$B$9,0)))</f>
        <v>0</v>
      </c>
      <c r="R36" s="14" t="n">
        <f aca="false">IF(NOT(U36),0,IF(K36="Sick Leave",1,IF(K36="Partial Sick Leave",P36/Settings!$B$9,0)))</f>
        <v>0</v>
      </c>
      <c r="S36" s="35" t="str">
        <f aca="false">IF(AND(OR(E36="Vacation",E36="Sick Leave",E36="Partial Vacation",E36="Partial Sick Leave"),NOT(U36)),"Leave not allowed on this day",IF(AND(E36="Manual Work",OR(NOT(ISNUMBER(F36)),NOT(ISNUMBER(G36)))),"Enter start and end",IF(AND(OR(E36="Partial Vacation",E36="Partial Sick Leave"),OR(NOT(ISNUMBER(H36)),NOT(ISNUMBER(I36)))),"Enter leave from and to",IF(AND(ISNUMBER(F36),ISNUMBER(G36),G36&lt;=F36),"End is before start",IF(AND(ISNUMBER(H36),ISNUMBER(I36),I36&lt;=H36),"Leave end is before start",IF(AND(ISNUMBER(F36),ISNUMBER(G36),ISNUMBER(H36),ISNUMBER(I36),F36&lt;I36,H36&lt;G36),"Work and leave hours overlap",IF(AND(E36&lt;&gt;"",WEEKDAY(A36)=7),"Saturday - administrator only","")))))))</f>
        <v/>
      </c>
      <c r="T36" s="36" t="n">
        <f aca="false">MONTH(A36)</f>
        <v>1</v>
      </c>
      <c r="U36" s="37" t="b">
        <f aca="false">OR(C36="Workday",C36="Eve")</f>
        <v>0</v>
      </c>
      <c r="V36" s="34" t="n">
        <f aca="false">IF(C36="Eve",Settings!$B$8,Settings!$B$7)</f>
        <v>0.6875</v>
      </c>
      <c r="W36" s="14" t="n">
        <f aca="false">IF(U36,(V36-Settings!$B$6)*24,0)</f>
        <v>0</v>
      </c>
    </row>
    <row r="37" customFormat="false" ht="15" hidden="false" customHeight="false" outlineLevel="0" collapsed="false">
      <c r="A37" s="29" t="n">
        <v>46053</v>
      </c>
      <c r="B37" s="30" t="str">
        <f aca="false">CHOOSE(WEEKDAY(A37),"Sun","Mon","Tue","Wed","Thu","Fri","Sat")</f>
        <v>Sat</v>
      </c>
      <c r="C37" s="30" t="str">
        <f aca="false">IF(IFERROR(INDEX(Holidays!$D$5:$D$60,MATCH(A37,Holidays!$A$5:$A$60,0)),"")="Holiday","Holiday",IF(WEEKDAY(A37)&gt;=6,"Weekend",IF(IFERROR(INDEX(Holidays!$D$5:$D$60,MATCH(A37,Holidays!$A$5:$A$60,0)),"")="Eve","Eve","Workday")))</f>
        <v>Weekend</v>
      </c>
      <c r="D37" s="18" t="str">
        <f aca="false">IFERROR(INDEX(Holidays!$C$5:$C$60,MATCH(A37,Holidays!$A$5:$A$60,0)),"")</f>
        <v/>
      </c>
      <c r="E37" s="31"/>
      <c r="F37" s="32"/>
      <c r="G37" s="32"/>
      <c r="H37" s="32"/>
      <c r="I37" s="32"/>
      <c r="J37" s="31"/>
      <c r="K37" s="33" t="str">
        <f aca="false">IF(E37&lt;&gt;"",E37,IF(U37,"Present",IF(C37="Holiday","Holiday","Weekend")))</f>
        <v>Weekend</v>
      </c>
      <c r="L37" s="34" t="str">
        <f aca="false">IF(OR(K37="Present",K37="Manual Work",K37="Partial Vacation",K37="Partial Sick Leave"),IF(ISNUMBER(F37),F37,IF(AND(K37="Present",U37),Settings!$B$6,"")),"")</f>
        <v/>
      </c>
      <c r="M37" s="34" t="str">
        <f aca="false">IF(OR(K37="Present",K37="Manual Work",K37="Partial Vacation",K37="Partial Sick Leave"),IF(ISNUMBER(G37),G37,IF(AND(K37="Present",U37),V37,"")),"")</f>
        <v/>
      </c>
      <c r="N37" s="14" t="n">
        <f aca="false">IF(AND(ISNUMBER(L37),ISNUMBER(M37)),MAX(0,(M37-L37)*24),0)</f>
        <v>0</v>
      </c>
      <c r="O37" s="14" t="n">
        <f aca="false">IF(NOT(U37),0,IF(K37="Vacation",IF(C37="Eve",Settings!$B$9*Settings!$B$11,W37),IF(K37="Partial Vacation",IF(AND(ISNUMBER(H37),ISNUMBER(I37)),MAX(0,(I37-H37)*24),0),0)))</f>
        <v>0</v>
      </c>
      <c r="P37" s="14" t="n">
        <f aca="false">IF(NOT(U37),0,IF(K37="Sick Leave",W37,IF(K37="Partial Sick Leave",IF(AND(ISNUMBER(H37),ISNUMBER(I37)),MAX(0,(I37-H37)*24),0),0)))</f>
        <v>0</v>
      </c>
      <c r="Q37" s="14" t="n">
        <f aca="false">IF(NOT(U37),0,IF(K37="Vacation",IF(C37="Eve",Settings!$B$11,1),IF(K37="Partial Vacation",O37/Settings!$B$9,0)))</f>
        <v>0</v>
      </c>
      <c r="R37" s="14" t="n">
        <f aca="false">IF(NOT(U37),0,IF(K37="Sick Leave",1,IF(K37="Partial Sick Leave",P37/Settings!$B$9,0)))</f>
        <v>0</v>
      </c>
      <c r="S37" s="35" t="str">
        <f aca="false">IF(AND(OR(E37="Vacation",E37="Sick Leave",E37="Partial Vacation",E37="Partial Sick Leave"),NOT(U37)),"Leave not allowed on this day",IF(AND(E37="Manual Work",OR(NOT(ISNUMBER(F37)),NOT(ISNUMBER(G37)))),"Enter start and end",IF(AND(OR(E37="Partial Vacation",E37="Partial Sick Leave"),OR(NOT(ISNUMBER(H37)),NOT(ISNUMBER(I37)))),"Enter leave from and to",IF(AND(ISNUMBER(F37),ISNUMBER(G37),G37&lt;=F37),"End is before start",IF(AND(ISNUMBER(H37),ISNUMBER(I37),I37&lt;=H37),"Leave end is before start",IF(AND(ISNUMBER(F37),ISNUMBER(G37),ISNUMBER(H37),ISNUMBER(I37),F37&lt;I37,H37&lt;G37),"Work and leave hours overlap",IF(AND(E37&lt;&gt;"",WEEKDAY(A37)=7),"Saturday - administrator only","")))))))</f>
        <v/>
      </c>
      <c r="T37" s="36" t="n">
        <f aca="false">MONTH(A37)</f>
        <v>1</v>
      </c>
      <c r="U37" s="37" t="b">
        <f aca="false">OR(C37="Workday",C37="Eve")</f>
        <v>0</v>
      </c>
      <c r="V37" s="34" t="n">
        <f aca="false">IF(C37="Eve",Settings!$B$8,Settings!$B$7)</f>
        <v>0.6875</v>
      </c>
      <c r="W37" s="14" t="n">
        <f aca="false">IF(U37,(V37-Settings!$B$6)*24,0)</f>
        <v>0</v>
      </c>
    </row>
    <row r="38" customFormat="false" ht="15" hidden="false" customHeight="false" outlineLevel="0" collapsed="false">
      <c r="A38" s="29" t="n">
        <v>46054</v>
      </c>
      <c r="B38" s="30" t="str">
        <f aca="false">CHOOSE(WEEKDAY(A38),"Sun","Mon","Tue","Wed","Thu","Fri","Sat")</f>
        <v>Sun</v>
      </c>
      <c r="C38" s="30" t="str">
        <f aca="false">IF(IFERROR(INDEX(Holidays!$D$5:$D$60,MATCH(A38,Holidays!$A$5:$A$60,0)),"")="Holiday","Holiday",IF(WEEKDAY(A38)&gt;=6,"Weekend",IF(IFERROR(INDEX(Holidays!$D$5:$D$60,MATCH(A38,Holidays!$A$5:$A$60,0)),"")="Eve","Eve","Workday")))</f>
        <v>Workday</v>
      </c>
      <c r="D38" s="18" t="str">
        <f aca="false">IFERROR(INDEX(Holidays!$C$5:$C$60,MATCH(A38,Holidays!$A$5:$A$60,0)),"")</f>
        <v/>
      </c>
      <c r="E38" s="31"/>
      <c r="F38" s="32"/>
      <c r="G38" s="32"/>
      <c r="H38" s="32"/>
      <c r="I38" s="32"/>
      <c r="J38" s="31"/>
      <c r="K38" s="33" t="str">
        <f aca="false">IF(E38&lt;&gt;"",E38,IF(U38,"Present",IF(C38="Holiday","Holiday","Weekend")))</f>
        <v>Present</v>
      </c>
      <c r="L38" s="34" t="n">
        <f aca="false">IF(OR(K38="Present",K38="Manual Work",K38="Partial Vacation",K38="Partial Sick Leave"),IF(ISNUMBER(F38),F38,IF(AND(K38="Present",U38),Settings!$B$6,"")),"")</f>
        <v>0.333333333333333</v>
      </c>
      <c r="M38" s="34" t="n">
        <f aca="false">IF(OR(K38="Present",K38="Manual Work",K38="Partial Vacation",K38="Partial Sick Leave"),IF(ISNUMBER(G38),G38,IF(AND(K38="Present",U38),V38,"")),"")</f>
        <v>0.6875</v>
      </c>
      <c r="N38" s="14" t="n">
        <f aca="false">IF(AND(ISNUMBER(L38),ISNUMBER(M38)),MAX(0,(M38-L38)*24),0)</f>
        <v>8.5</v>
      </c>
      <c r="O38" s="14" t="n">
        <f aca="false">IF(NOT(U38),0,IF(K38="Vacation",IF(C38="Eve",Settings!$B$9*Settings!$B$11,W38),IF(K38="Partial Vacation",IF(AND(ISNUMBER(H38),ISNUMBER(I38)),MAX(0,(I38-H38)*24),0),0)))</f>
        <v>0</v>
      </c>
      <c r="P38" s="14" t="n">
        <f aca="false">IF(NOT(U38),0,IF(K38="Sick Leave",W38,IF(K38="Partial Sick Leave",IF(AND(ISNUMBER(H38),ISNUMBER(I38)),MAX(0,(I38-H38)*24),0),0)))</f>
        <v>0</v>
      </c>
      <c r="Q38" s="14" t="n">
        <f aca="false">IF(NOT(U38),0,IF(K38="Vacation",IF(C38="Eve",Settings!$B$11,1),IF(K38="Partial Vacation",O38/Settings!$B$9,0)))</f>
        <v>0</v>
      </c>
      <c r="R38" s="14" t="n">
        <f aca="false">IF(NOT(U38),0,IF(K38="Sick Leave",1,IF(K38="Partial Sick Leave",P38/Settings!$B$9,0)))</f>
        <v>0</v>
      </c>
      <c r="S38" s="35" t="str">
        <f aca="false">IF(AND(OR(E38="Vacation",E38="Sick Leave",E38="Partial Vacation",E38="Partial Sick Leave"),NOT(U38)),"Leave not allowed on this day",IF(AND(E38="Manual Work",OR(NOT(ISNUMBER(F38)),NOT(ISNUMBER(G38)))),"Enter start and end",IF(AND(OR(E38="Partial Vacation",E38="Partial Sick Leave"),OR(NOT(ISNUMBER(H38)),NOT(ISNUMBER(I38)))),"Enter leave from and to",IF(AND(ISNUMBER(F38),ISNUMBER(G38),G38&lt;=F38),"End is before start",IF(AND(ISNUMBER(H38),ISNUMBER(I38),I38&lt;=H38),"Leave end is before start",IF(AND(ISNUMBER(F38),ISNUMBER(G38),ISNUMBER(H38),ISNUMBER(I38),F38&lt;I38,H38&lt;G38),"Work and leave hours overlap",IF(AND(E38&lt;&gt;"",WEEKDAY(A38)=7),"Saturday - administrator only","")))))))</f>
        <v/>
      </c>
      <c r="T38" s="36" t="n">
        <f aca="false">MONTH(A38)</f>
        <v>2</v>
      </c>
      <c r="U38" s="37" t="b">
        <f aca="false">OR(C38="Workday",C38="Eve")</f>
        <v>1</v>
      </c>
      <c r="V38" s="34" t="n">
        <f aca="false">IF(C38="Eve",Settings!$B$8,Settings!$B$7)</f>
        <v>0.6875</v>
      </c>
      <c r="W38" s="14" t="n">
        <f aca="false">IF(U38,(V38-Settings!$B$6)*24,0)</f>
        <v>8.5</v>
      </c>
    </row>
    <row r="39" customFormat="false" ht="15" hidden="false" customHeight="false" outlineLevel="0" collapsed="false">
      <c r="A39" s="29" t="n">
        <v>46055</v>
      </c>
      <c r="B39" s="30" t="str">
        <f aca="false">CHOOSE(WEEKDAY(A39),"Sun","Mon","Tue","Wed","Thu","Fri","Sat")</f>
        <v>Mon</v>
      </c>
      <c r="C39" s="30" t="str">
        <f aca="false">IF(IFERROR(INDEX(Holidays!$D$5:$D$60,MATCH(A39,Holidays!$A$5:$A$60,0)),"")="Holiday","Holiday",IF(WEEKDAY(A39)&gt;=6,"Weekend",IF(IFERROR(INDEX(Holidays!$D$5:$D$60,MATCH(A39,Holidays!$A$5:$A$60,0)),"")="Eve","Eve","Workday")))</f>
        <v>Workday</v>
      </c>
      <c r="D39" s="18" t="str">
        <f aca="false">IFERROR(INDEX(Holidays!$C$5:$C$60,MATCH(A39,Holidays!$A$5:$A$60,0)),"")</f>
        <v/>
      </c>
      <c r="E39" s="31"/>
      <c r="F39" s="32"/>
      <c r="G39" s="32"/>
      <c r="H39" s="32"/>
      <c r="I39" s="32"/>
      <c r="J39" s="31"/>
      <c r="K39" s="33" t="str">
        <f aca="false">IF(E39&lt;&gt;"",E39,IF(U39,"Present",IF(C39="Holiday","Holiday","Weekend")))</f>
        <v>Present</v>
      </c>
      <c r="L39" s="34" t="n">
        <f aca="false">IF(OR(K39="Present",K39="Manual Work",K39="Partial Vacation",K39="Partial Sick Leave"),IF(ISNUMBER(F39),F39,IF(AND(K39="Present",U39),Settings!$B$6,"")),"")</f>
        <v>0.333333333333333</v>
      </c>
      <c r="M39" s="34" t="n">
        <f aca="false">IF(OR(K39="Present",K39="Manual Work",K39="Partial Vacation",K39="Partial Sick Leave"),IF(ISNUMBER(G39),G39,IF(AND(K39="Present",U39),V39,"")),"")</f>
        <v>0.6875</v>
      </c>
      <c r="N39" s="14" t="n">
        <f aca="false">IF(AND(ISNUMBER(L39),ISNUMBER(M39)),MAX(0,(M39-L39)*24),0)</f>
        <v>8.5</v>
      </c>
      <c r="O39" s="14" t="n">
        <f aca="false">IF(NOT(U39),0,IF(K39="Vacation",IF(C39="Eve",Settings!$B$9*Settings!$B$11,W39),IF(K39="Partial Vacation",IF(AND(ISNUMBER(H39),ISNUMBER(I39)),MAX(0,(I39-H39)*24),0),0)))</f>
        <v>0</v>
      </c>
      <c r="P39" s="14" t="n">
        <f aca="false">IF(NOT(U39),0,IF(K39="Sick Leave",W39,IF(K39="Partial Sick Leave",IF(AND(ISNUMBER(H39),ISNUMBER(I39)),MAX(0,(I39-H39)*24),0),0)))</f>
        <v>0</v>
      </c>
      <c r="Q39" s="14" t="n">
        <f aca="false">IF(NOT(U39),0,IF(K39="Vacation",IF(C39="Eve",Settings!$B$11,1),IF(K39="Partial Vacation",O39/Settings!$B$9,0)))</f>
        <v>0</v>
      </c>
      <c r="R39" s="14" t="n">
        <f aca="false">IF(NOT(U39),0,IF(K39="Sick Leave",1,IF(K39="Partial Sick Leave",P39/Settings!$B$9,0)))</f>
        <v>0</v>
      </c>
      <c r="S39" s="35" t="str">
        <f aca="false">IF(AND(OR(E39="Vacation",E39="Sick Leave",E39="Partial Vacation",E39="Partial Sick Leave"),NOT(U39)),"Leave not allowed on this day",IF(AND(E39="Manual Work",OR(NOT(ISNUMBER(F39)),NOT(ISNUMBER(G39)))),"Enter start and end",IF(AND(OR(E39="Partial Vacation",E39="Partial Sick Leave"),OR(NOT(ISNUMBER(H39)),NOT(ISNUMBER(I39)))),"Enter leave from and to",IF(AND(ISNUMBER(F39),ISNUMBER(G39),G39&lt;=F39),"End is before start",IF(AND(ISNUMBER(H39),ISNUMBER(I39),I39&lt;=H39),"Leave end is before start",IF(AND(ISNUMBER(F39),ISNUMBER(G39),ISNUMBER(H39),ISNUMBER(I39),F39&lt;I39,H39&lt;G39),"Work and leave hours overlap",IF(AND(E39&lt;&gt;"",WEEKDAY(A39)=7),"Saturday - administrator only","")))))))</f>
        <v/>
      </c>
      <c r="T39" s="36" t="n">
        <f aca="false">MONTH(A39)</f>
        <v>2</v>
      </c>
      <c r="U39" s="37" t="b">
        <f aca="false">OR(C39="Workday",C39="Eve")</f>
        <v>1</v>
      </c>
      <c r="V39" s="34" t="n">
        <f aca="false">IF(C39="Eve",Settings!$B$8,Settings!$B$7)</f>
        <v>0.6875</v>
      </c>
      <c r="W39" s="14" t="n">
        <f aca="false">IF(U39,(V39-Settings!$B$6)*24,0)</f>
        <v>8.5</v>
      </c>
    </row>
    <row r="40" customFormat="false" ht="15" hidden="false" customHeight="false" outlineLevel="0" collapsed="false">
      <c r="A40" s="29" t="n">
        <v>46056</v>
      </c>
      <c r="B40" s="30" t="str">
        <f aca="false">CHOOSE(WEEKDAY(A40),"Sun","Mon","Tue","Wed","Thu","Fri","Sat")</f>
        <v>Tue</v>
      </c>
      <c r="C40" s="30" t="str">
        <f aca="false">IF(IFERROR(INDEX(Holidays!$D$5:$D$60,MATCH(A40,Holidays!$A$5:$A$60,0)),"")="Holiday","Holiday",IF(WEEKDAY(A40)&gt;=6,"Weekend",IF(IFERROR(INDEX(Holidays!$D$5:$D$60,MATCH(A40,Holidays!$A$5:$A$60,0)),"")="Eve","Eve","Workday")))</f>
        <v>Workday</v>
      </c>
      <c r="D40" s="18" t="str">
        <f aca="false">IFERROR(INDEX(Holidays!$C$5:$C$60,MATCH(A40,Holidays!$A$5:$A$60,0)),"")</f>
        <v/>
      </c>
      <c r="E40" s="31"/>
      <c r="F40" s="32"/>
      <c r="G40" s="32"/>
      <c r="H40" s="32"/>
      <c r="I40" s="32"/>
      <c r="J40" s="31"/>
      <c r="K40" s="33" t="str">
        <f aca="false">IF(E40&lt;&gt;"",E40,IF(U40,"Present",IF(C40="Holiday","Holiday","Weekend")))</f>
        <v>Present</v>
      </c>
      <c r="L40" s="34" t="n">
        <f aca="false">IF(OR(K40="Present",K40="Manual Work",K40="Partial Vacation",K40="Partial Sick Leave"),IF(ISNUMBER(F40),F40,IF(AND(K40="Present",U40),Settings!$B$6,"")),"")</f>
        <v>0.333333333333333</v>
      </c>
      <c r="M40" s="34" t="n">
        <f aca="false">IF(OR(K40="Present",K40="Manual Work",K40="Partial Vacation",K40="Partial Sick Leave"),IF(ISNUMBER(G40),G40,IF(AND(K40="Present",U40),V40,"")),"")</f>
        <v>0.6875</v>
      </c>
      <c r="N40" s="14" t="n">
        <f aca="false">IF(AND(ISNUMBER(L40),ISNUMBER(M40)),MAX(0,(M40-L40)*24),0)</f>
        <v>8.5</v>
      </c>
      <c r="O40" s="14" t="n">
        <f aca="false">IF(NOT(U40),0,IF(K40="Vacation",IF(C40="Eve",Settings!$B$9*Settings!$B$11,W40),IF(K40="Partial Vacation",IF(AND(ISNUMBER(H40),ISNUMBER(I40)),MAX(0,(I40-H40)*24),0),0)))</f>
        <v>0</v>
      </c>
      <c r="P40" s="14" t="n">
        <f aca="false">IF(NOT(U40),0,IF(K40="Sick Leave",W40,IF(K40="Partial Sick Leave",IF(AND(ISNUMBER(H40),ISNUMBER(I40)),MAX(0,(I40-H40)*24),0),0)))</f>
        <v>0</v>
      </c>
      <c r="Q40" s="14" t="n">
        <f aca="false">IF(NOT(U40),0,IF(K40="Vacation",IF(C40="Eve",Settings!$B$11,1),IF(K40="Partial Vacation",O40/Settings!$B$9,0)))</f>
        <v>0</v>
      </c>
      <c r="R40" s="14" t="n">
        <f aca="false">IF(NOT(U40),0,IF(K40="Sick Leave",1,IF(K40="Partial Sick Leave",P40/Settings!$B$9,0)))</f>
        <v>0</v>
      </c>
      <c r="S40" s="35" t="str">
        <f aca="false">IF(AND(OR(E40="Vacation",E40="Sick Leave",E40="Partial Vacation",E40="Partial Sick Leave"),NOT(U40)),"Leave not allowed on this day",IF(AND(E40="Manual Work",OR(NOT(ISNUMBER(F40)),NOT(ISNUMBER(G40)))),"Enter start and end",IF(AND(OR(E40="Partial Vacation",E40="Partial Sick Leave"),OR(NOT(ISNUMBER(H40)),NOT(ISNUMBER(I40)))),"Enter leave from and to",IF(AND(ISNUMBER(F40),ISNUMBER(G40),G40&lt;=F40),"End is before start",IF(AND(ISNUMBER(H40),ISNUMBER(I40),I40&lt;=H40),"Leave end is before start",IF(AND(ISNUMBER(F40),ISNUMBER(G40),ISNUMBER(H40),ISNUMBER(I40),F40&lt;I40,H40&lt;G40),"Work and leave hours overlap",IF(AND(E40&lt;&gt;"",WEEKDAY(A40)=7),"Saturday - administrator only","")))))))</f>
        <v/>
      </c>
      <c r="T40" s="36" t="n">
        <f aca="false">MONTH(A40)</f>
        <v>2</v>
      </c>
      <c r="U40" s="37" t="b">
        <f aca="false">OR(C40="Workday",C40="Eve")</f>
        <v>1</v>
      </c>
      <c r="V40" s="34" t="n">
        <f aca="false">IF(C40="Eve",Settings!$B$8,Settings!$B$7)</f>
        <v>0.6875</v>
      </c>
      <c r="W40" s="14" t="n">
        <f aca="false">IF(U40,(V40-Settings!$B$6)*24,0)</f>
        <v>8.5</v>
      </c>
    </row>
    <row r="41" customFormat="false" ht="15" hidden="false" customHeight="false" outlineLevel="0" collapsed="false">
      <c r="A41" s="29" t="n">
        <v>46057</v>
      </c>
      <c r="B41" s="30" t="str">
        <f aca="false">CHOOSE(WEEKDAY(A41),"Sun","Mon","Tue","Wed","Thu","Fri","Sat")</f>
        <v>Wed</v>
      </c>
      <c r="C41" s="30" t="str">
        <f aca="false">IF(IFERROR(INDEX(Holidays!$D$5:$D$60,MATCH(A41,Holidays!$A$5:$A$60,0)),"")="Holiday","Holiday",IF(WEEKDAY(A41)&gt;=6,"Weekend",IF(IFERROR(INDEX(Holidays!$D$5:$D$60,MATCH(A41,Holidays!$A$5:$A$60,0)),"")="Eve","Eve","Workday")))</f>
        <v>Workday</v>
      </c>
      <c r="D41" s="18" t="str">
        <f aca="false">IFERROR(INDEX(Holidays!$C$5:$C$60,MATCH(A41,Holidays!$A$5:$A$60,0)),"")</f>
        <v/>
      </c>
      <c r="E41" s="31"/>
      <c r="F41" s="32"/>
      <c r="G41" s="32"/>
      <c r="H41" s="32"/>
      <c r="I41" s="32"/>
      <c r="J41" s="31"/>
      <c r="K41" s="33" t="str">
        <f aca="false">IF(E41&lt;&gt;"",E41,IF(U41,"Present",IF(C41="Holiday","Holiday","Weekend")))</f>
        <v>Present</v>
      </c>
      <c r="L41" s="34" t="n">
        <f aca="false">IF(OR(K41="Present",K41="Manual Work",K41="Partial Vacation",K41="Partial Sick Leave"),IF(ISNUMBER(F41),F41,IF(AND(K41="Present",U41),Settings!$B$6,"")),"")</f>
        <v>0.333333333333333</v>
      </c>
      <c r="M41" s="34" t="n">
        <f aca="false">IF(OR(K41="Present",K41="Manual Work",K41="Partial Vacation",K41="Partial Sick Leave"),IF(ISNUMBER(G41),G41,IF(AND(K41="Present",U41),V41,"")),"")</f>
        <v>0.6875</v>
      </c>
      <c r="N41" s="14" t="n">
        <f aca="false">IF(AND(ISNUMBER(L41),ISNUMBER(M41)),MAX(0,(M41-L41)*24),0)</f>
        <v>8.5</v>
      </c>
      <c r="O41" s="14" t="n">
        <f aca="false">IF(NOT(U41),0,IF(K41="Vacation",IF(C41="Eve",Settings!$B$9*Settings!$B$11,W41),IF(K41="Partial Vacation",IF(AND(ISNUMBER(H41),ISNUMBER(I41)),MAX(0,(I41-H41)*24),0),0)))</f>
        <v>0</v>
      </c>
      <c r="P41" s="14" t="n">
        <f aca="false">IF(NOT(U41),0,IF(K41="Sick Leave",W41,IF(K41="Partial Sick Leave",IF(AND(ISNUMBER(H41),ISNUMBER(I41)),MAX(0,(I41-H41)*24),0),0)))</f>
        <v>0</v>
      </c>
      <c r="Q41" s="14" t="n">
        <f aca="false">IF(NOT(U41),0,IF(K41="Vacation",IF(C41="Eve",Settings!$B$11,1),IF(K41="Partial Vacation",O41/Settings!$B$9,0)))</f>
        <v>0</v>
      </c>
      <c r="R41" s="14" t="n">
        <f aca="false">IF(NOT(U41),0,IF(K41="Sick Leave",1,IF(K41="Partial Sick Leave",P41/Settings!$B$9,0)))</f>
        <v>0</v>
      </c>
      <c r="S41" s="35" t="str">
        <f aca="false">IF(AND(OR(E41="Vacation",E41="Sick Leave",E41="Partial Vacation",E41="Partial Sick Leave"),NOT(U41)),"Leave not allowed on this day",IF(AND(E41="Manual Work",OR(NOT(ISNUMBER(F41)),NOT(ISNUMBER(G41)))),"Enter start and end",IF(AND(OR(E41="Partial Vacation",E41="Partial Sick Leave"),OR(NOT(ISNUMBER(H41)),NOT(ISNUMBER(I41)))),"Enter leave from and to",IF(AND(ISNUMBER(F41),ISNUMBER(G41),G41&lt;=F41),"End is before start",IF(AND(ISNUMBER(H41),ISNUMBER(I41),I41&lt;=H41),"Leave end is before start",IF(AND(ISNUMBER(F41),ISNUMBER(G41),ISNUMBER(H41),ISNUMBER(I41),F41&lt;I41,H41&lt;G41),"Work and leave hours overlap",IF(AND(E41&lt;&gt;"",WEEKDAY(A41)=7),"Saturday - administrator only","")))))))</f>
        <v/>
      </c>
      <c r="T41" s="36" t="n">
        <f aca="false">MONTH(A41)</f>
        <v>2</v>
      </c>
      <c r="U41" s="37" t="b">
        <f aca="false">OR(C41="Workday",C41="Eve")</f>
        <v>1</v>
      </c>
      <c r="V41" s="34" t="n">
        <f aca="false">IF(C41="Eve",Settings!$B$8,Settings!$B$7)</f>
        <v>0.6875</v>
      </c>
      <c r="W41" s="14" t="n">
        <f aca="false">IF(U41,(V41-Settings!$B$6)*24,0)</f>
        <v>8.5</v>
      </c>
    </row>
    <row r="42" customFormat="false" ht="15" hidden="false" customHeight="false" outlineLevel="0" collapsed="false">
      <c r="A42" s="29" t="n">
        <v>46058</v>
      </c>
      <c r="B42" s="30" t="str">
        <f aca="false">CHOOSE(WEEKDAY(A42),"Sun","Mon","Tue","Wed","Thu","Fri","Sat")</f>
        <v>Thu</v>
      </c>
      <c r="C42" s="30" t="str">
        <f aca="false">IF(IFERROR(INDEX(Holidays!$D$5:$D$60,MATCH(A42,Holidays!$A$5:$A$60,0)),"")="Holiday","Holiday",IF(WEEKDAY(A42)&gt;=6,"Weekend",IF(IFERROR(INDEX(Holidays!$D$5:$D$60,MATCH(A42,Holidays!$A$5:$A$60,0)),"")="Eve","Eve","Workday")))</f>
        <v>Workday</v>
      </c>
      <c r="D42" s="18" t="str">
        <f aca="false">IFERROR(INDEX(Holidays!$C$5:$C$60,MATCH(A42,Holidays!$A$5:$A$60,0)),"")</f>
        <v/>
      </c>
      <c r="E42" s="31"/>
      <c r="F42" s="32"/>
      <c r="G42" s="32"/>
      <c r="H42" s="32"/>
      <c r="I42" s="32"/>
      <c r="J42" s="31"/>
      <c r="K42" s="33" t="str">
        <f aca="false">IF(E42&lt;&gt;"",E42,IF(U42,"Present",IF(C42="Holiday","Holiday","Weekend")))</f>
        <v>Present</v>
      </c>
      <c r="L42" s="34" t="n">
        <f aca="false">IF(OR(K42="Present",K42="Manual Work",K42="Partial Vacation",K42="Partial Sick Leave"),IF(ISNUMBER(F42),F42,IF(AND(K42="Present",U42),Settings!$B$6,"")),"")</f>
        <v>0.333333333333333</v>
      </c>
      <c r="M42" s="34" t="n">
        <f aca="false">IF(OR(K42="Present",K42="Manual Work",K42="Partial Vacation",K42="Partial Sick Leave"),IF(ISNUMBER(G42),G42,IF(AND(K42="Present",U42),V42,"")),"")</f>
        <v>0.6875</v>
      </c>
      <c r="N42" s="14" t="n">
        <f aca="false">IF(AND(ISNUMBER(L42),ISNUMBER(M42)),MAX(0,(M42-L42)*24),0)</f>
        <v>8.5</v>
      </c>
      <c r="O42" s="14" t="n">
        <f aca="false">IF(NOT(U42),0,IF(K42="Vacation",IF(C42="Eve",Settings!$B$9*Settings!$B$11,W42),IF(K42="Partial Vacation",IF(AND(ISNUMBER(H42),ISNUMBER(I42)),MAX(0,(I42-H42)*24),0),0)))</f>
        <v>0</v>
      </c>
      <c r="P42" s="14" t="n">
        <f aca="false">IF(NOT(U42),0,IF(K42="Sick Leave",W42,IF(K42="Partial Sick Leave",IF(AND(ISNUMBER(H42),ISNUMBER(I42)),MAX(0,(I42-H42)*24),0),0)))</f>
        <v>0</v>
      </c>
      <c r="Q42" s="14" t="n">
        <f aca="false">IF(NOT(U42),0,IF(K42="Vacation",IF(C42="Eve",Settings!$B$11,1),IF(K42="Partial Vacation",O42/Settings!$B$9,0)))</f>
        <v>0</v>
      </c>
      <c r="R42" s="14" t="n">
        <f aca="false">IF(NOT(U42),0,IF(K42="Sick Leave",1,IF(K42="Partial Sick Leave",P42/Settings!$B$9,0)))</f>
        <v>0</v>
      </c>
      <c r="S42" s="35" t="str">
        <f aca="false">IF(AND(OR(E42="Vacation",E42="Sick Leave",E42="Partial Vacation",E42="Partial Sick Leave"),NOT(U42)),"Leave not allowed on this day",IF(AND(E42="Manual Work",OR(NOT(ISNUMBER(F42)),NOT(ISNUMBER(G42)))),"Enter start and end",IF(AND(OR(E42="Partial Vacation",E42="Partial Sick Leave"),OR(NOT(ISNUMBER(H42)),NOT(ISNUMBER(I42)))),"Enter leave from and to",IF(AND(ISNUMBER(F42),ISNUMBER(G42),G42&lt;=F42),"End is before start",IF(AND(ISNUMBER(H42),ISNUMBER(I42),I42&lt;=H42),"Leave end is before start",IF(AND(ISNUMBER(F42),ISNUMBER(G42),ISNUMBER(H42),ISNUMBER(I42),F42&lt;I42,H42&lt;G42),"Work and leave hours overlap",IF(AND(E42&lt;&gt;"",WEEKDAY(A42)=7),"Saturday - administrator only","")))))))</f>
        <v/>
      </c>
      <c r="T42" s="36" t="n">
        <f aca="false">MONTH(A42)</f>
        <v>2</v>
      </c>
      <c r="U42" s="37" t="b">
        <f aca="false">OR(C42="Workday",C42="Eve")</f>
        <v>1</v>
      </c>
      <c r="V42" s="34" t="n">
        <f aca="false">IF(C42="Eve",Settings!$B$8,Settings!$B$7)</f>
        <v>0.6875</v>
      </c>
      <c r="W42" s="14" t="n">
        <f aca="false">IF(U42,(V42-Settings!$B$6)*24,0)</f>
        <v>8.5</v>
      </c>
    </row>
    <row r="43" customFormat="false" ht="15" hidden="false" customHeight="false" outlineLevel="0" collapsed="false">
      <c r="A43" s="29" t="n">
        <v>46059</v>
      </c>
      <c r="B43" s="30" t="str">
        <f aca="false">CHOOSE(WEEKDAY(A43),"Sun","Mon","Tue","Wed","Thu","Fri","Sat")</f>
        <v>Fri</v>
      </c>
      <c r="C43" s="30" t="str">
        <f aca="false">IF(IFERROR(INDEX(Holidays!$D$5:$D$60,MATCH(A43,Holidays!$A$5:$A$60,0)),"")="Holiday","Holiday",IF(WEEKDAY(A43)&gt;=6,"Weekend",IF(IFERROR(INDEX(Holidays!$D$5:$D$60,MATCH(A43,Holidays!$A$5:$A$60,0)),"")="Eve","Eve","Workday")))</f>
        <v>Weekend</v>
      </c>
      <c r="D43" s="18" t="str">
        <f aca="false">IFERROR(INDEX(Holidays!$C$5:$C$60,MATCH(A43,Holidays!$A$5:$A$60,0)),"")</f>
        <v/>
      </c>
      <c r="E43" s="31"/>
      <c r="F43" s="32"/>
      <c r="G43" s="32"/>
      <c r="H43" s="32"/>
      <c r="I43" s="32"/>
      <c r="J43" s="31"/>
      <c r="K43" s="33" t="str">
        <f aca="false">IF(E43&lt;&gt;"",E43,IF(U43,"Present",IF(C43="Holiday","Holiday","Weekend")))</f>
        <v>Weekend</v>
      </c>
      <c r="L43" s="34" t="str">
        <f aca="false">IF(OR(K43="Present",K43="Manual Work",K43="Partial Vacation",K43="Partial Sick Leave"),IF(ISNUMBER(F43),F43,IF(AND(K43="Present",U43),Settings!$B$6,"")),"")</f>
        <v/>
      </c>
      <c r="M43" s="34" t="str">
        <f aca="false">IF(OR(K43="Present",K43="Manual Work",K43="Partial Vacation",K43="Partial Sick Leave"),IF(ISNUMBER(G43),G43,IF(AND(K43="Present",U43),V43,"")),"")</f>
        <v/>
      </c>
      <c r="N43" s="14" t="n">
        <f aca="false">IF(AND(ISNUMBER(L43),ISNUMBER(M43)),MAX(0,(M43-L43)*24),0)</f>
        <v>0</v>
      </c>
      <c r="O43" s="14" t="n">
        <f aca="false">IF(NOT(U43),0,IF(K43="Vacation",IF(C43="Eve",Settings!$B$9*Settings!$B$11,W43),IF(K43="Partial Vacation",IF(AND(ISNUMBER(H43),ISNUMBER(I43)),MAX(0,(I43-H43)*24),0),0)))</f>
        <v>0</v>
      </c>
      <c r="P43" s="14" t="n">
        <f aca="false">IF(NOT(U43),0,IF(K43="Sick Leave",W43,IF(K43="Partial Sick Leave",IF(AND(ISNUMBER(H43),ISNUMBER(I43)),MAX(0,(I43-H43)*24),0),0)))</f>
        <v>0</v>
      </c>
      <c r="Q43" s="14" t="n">
        <f aca="false">IF(NOT(U43),0,IF(K43="Vacation",IF(C43="Eve",Settings!$B$11,1),IF(K43="Partial Vacation",O43/Settings!$B$9,0)))</f>
        <v>0</v>
      </c>
      <c r="R43" s="14" t="n">
        <f aca="false">IF(NOT(U43),0,IF(K43="Sick Leave",1,IF(K43="Partial Sick Leave",P43/Settings!$B$9,0)))</f>
        <v>0</v>
      </c>
      <c r="S43" s="35" t="str">
        <f aca="false">IF(AND(OR(E43="Vacation",E43="Sick Leave",E43="Partial Vacation",E43="Partial Sick Leave"),NOT(U43)),"Leave not allowed on this day",IF(AND(E43="Manual Work",OR(NOT(ISNUMBER(F43)),NOT(ISNUMBER(G43)))),"Enter start and end",IF(AND(OR(E43="Partial Vacation",E43="Partial Sick Leave"),OR(NOT(ISNUMBER(H43)),NOT(ISNUMBER(I43)))),"Enter leave from and to",IF(AND(ISNUMBER(F43),ISNUMBER(G43),G43&lt;=F43),"End is before start",IF(AND(ISNUMBER(H43),ISNUMBER(I43),I43&lt;=H43),"Leave end is before start",IF(AND(ISNUMBER(F43),ISNUMBER(G43),ISNUMBER(H43),ISNUMBER(I43),F43&lt;I43,H43&lt;G43),"Work and leave hours overlap",IF(AND(E43&lt;&gt;"",WEEKDAY(A43)=7),"Saturday - administrator only","")))))))</f>
        <v/>
      </c>
      <c r="T43" s="36" t="n">
        <f aca="false">MONTH(A43)</f>
        <v>2</v>
      </c>
      <c r="U43" s="37" t="b">
        <f aca="false">OR(C43="Workday",C43="Eve")</f>
        <v>0</v>
      </c>
      <c r="V43" s="34" t="n">
        <f aca="false">IF(C43="Eve",Settings!$B$8,Settings!$B$7)</f>
        <v>0.6875</v>
      </c>
      <c r="W43" s="14" t="n">
        <f aca="false">IF(U43,(V43-Settings!$B$6)*24,0)</f>
        <v>0</v>
      </c>
    </row>
    <row r="44" customFormat="false" ht="15" hidden="false" customHeight="false" outlineLevel="0" collapsed="false">
      <c r="A44" s="29" t="n">
        <v>46060</v>
      </c>
      <c r="B44" s="30" t="str">
        <f aca="false">CHOOSE(WEEKDAY(A44),"Sun","Mon","Tue","Wed","Thu","Fri","Sat")</f>
        <v>Sat</v>
      </c>
      <c r="C44" s="30" t="str">
        <f aca="false">IF(IFERROR(INDEX(Holidays!$D$5:$D$60,MATCH(A44,Holidays!$A$5:$A$60,0)),"")="Holiday","Holiday",IF(WEEKDAY(A44)&gt;=6,"Weekend",IF(IFERROR(INDEX(Holidays!$D$5:$D$60,MATCH(A44,Holidays!$A$5:$A$60,0)),"")="Eve","Eve","Workday")))</f>
        <v>Weekend</v>
      </c>
      <c r="D44" s="18" t="str">
        <f aca="false">IFERROR(INDEX(Holidays!$C$5:$C$60,MATCH(A44,Holidays!$A$5:$A$60,0)),"")</f>
        <v/>
      </c>
      <c r="E44" s="31"/>
      <c r="F44" s="32"/>
      <c r="G44" s="32"/>
      <c r="H44" s="32"/>
      <c r="I44" s="32"/>
      <c r="J44" s="31"/>
      <c r="K44" s="33" t="str">
        <f aca="false">IF(E44&lt;&gt;"",E44,IF(U44,"Present",IF(C44="Holiday","Holiday","Weekend")))</f>
        <v>Weekend</v>
      </c>
      <c r="L44" s="34" t="str">
        <f aca="false">IF(OR(K44="Present",K44="Manual Work",K44="Partial Vacation",K44="Partial Sick Leave"),IF(ISNUMBER(F44),F44,IF(AND(K44="Present",U44),Settings!$B$6,"")),"")</f>
        <v/>
      </c>
      <c r="M44" s="34" t="str">
        <f aca="false">IF(OR(K44="Present",K44="Manual Work",K44="Partial Vacation",K44="Partial Sick Leave"),IF(ISNUMBER(G44),G44,IF(AND(K44="Present",U44),V44,"")),"")</f>
        <v/>
      </c>
      <c r="N44" s="14" t="n">
        <f aca="false">IF(AND(ISNUMBER(L44),ISNUMBER(M44)),MAX(0,(M44-L44)*24),0)</f>
        <v>0</v>
      </c>
      <c r="O44" s="14" t="n">
        <f aca="false">IF(NOT(U44),0,IF(K44="Vacation",IF(C44="Eve",Settings!$B$9*Settings!$B$11,W44),IF(K44="Partial Vacation",IF(AND(ISNUMBER(H44),ISNUMBER(I44)),MAX(0,(I44-H44)*24),0),0)))</f>
        <v>0</v>
      </c>
      <c r="P44" s="14" t="n">
        <f aca="false">IF(NOT(U44),0,IF(K44="Sick Leave",W44,IF(K44="Partial Sick Leave",IF(AND(ISNUMBER(H44),ISNUMBER(I44)),MAX(0,(I44-H44)*24),0),0)))</f>
        <v>0</v>
      </c>
      <c r="Q44" s="14" t="n">
        <f aca="false">IF(NOT(U44),0,IF(K44="Vacation",IF(C44="Eve",Settings!$B$11,1),IF(K44="Partial Vacation",O44/Settings!$B$9,0)))</f>
        <v>0</v>
      </c>
      <c r="R44" s="14" t="n">
        <f aca="false">IF(NOT(U44),0,IF(K44="Sick Leave",1,IF(K44="Partial Sick Leave",P44/Settings!$B$9,0)))</f>
        <v>0</v>
      </c>
      <c r="S44" s="35" t="str">
        <f aca="false">IF(AND(OR(E44="Vacation",E44="Sick Leave",E44="Partial Vacation",E44="Partial Sick Leave"),NOT(U44)),"Leave not allowed on this day",IF(AND(E44="Manual Work",OR(NOT(ISNUMBER(F44)),NOT(ISNUMBER(G44)))),"Enter start and end",IF(AND(OR(E44="Partial Vacation",E44="Partial Sick Leave"),OR(NOT(ISNUMBER(H44)),NOT(ISNUMBER(I44)))),"Enter leave from and to",IF(AND(ISNUMBER(F44),ISNUMBER(G44),G44&lt;=F44),"End is before start",IF(AND(ISNUMBER(H44),ISNUMBER(I44),I44&lt;=H44),"Leave end is before start",IF(AND(ISNUMBER(F44),ISNUMBER(G44),ISNUMBER(H44),ISNUMBER(I44),F44&lt;I44,H44&lt;G44),"Work and leave hours overlap",IF(AND(E44&lt;&gt;"",WEEKDAY(A44)=7),"Saturday - administrator only","")))))))</f>
        <v/>
      </c>
      <c r="T44" s="36" t="n">
        <f aca="false">MONTH(A44)</f>
        <v>2</v>
      </c>
      <c r="U44" s="37" t="b">
        <f aca="false">OR(C44="Workday",C44="Eve")</f>
        <v>0</v>
      </c>
      <c r="V44" s="34" t="n">
        <f aca="false">IF(C44="Eve",Settings!$B$8,Settings!$B$7)</f>
        <v>0.6875</v>
      </c>
      <c r="W44" s="14" t="n">
        <f aca="false">IF(U44,(V44-Settings!$B$6)*24,0)</f>
        <v>0</v>
      </c>
    </row>
    <row r="45" customFormat="false" ht="15" hidden="false" customHeight="false" outlineLevel="0" collapsed="false">
      <c r="A45" s="29" t="n">
        <v>46061</v>
      </c>
      <c r="B45" s="30" t="str">
        <f aca="false">CHOOSE(WEEKDAY(A45),"Sun","Mon","Tue","Wed","Thu","Fri","Sat")</f>
        <v>Sun</v>
      </c>
      <c r="C45" s="30" t="str">
        <f aca="false">IF(IFERROR(INDEX(Holidays!$D$5:$D$60,MATCH(A45,Holidays!$A$5:$A$60,0)),"")="Holiday","Holiday",IF(WEEKDAY(A45)&gt;=6,"Weekend",IF(IFERROR(INDEX(Holidays!$D$5:$D$60,MATCH(A45,Holidays!$A$5:$A$60,0)),"")="Eve","Eve","Workday")))</f>
        <v>Workday</v>
      </c>
      <c r="D45" s="18" t="str">
        <f aca="false">IFERROR(INDEX(Holidays!$C$5:$C$60,MATCH(A45,Holidays!$A$5:$A$60,0)),"")</f>
        <v/>
      </c>
      <c r="E45" s="31"/>
      <c r="F45" s="32"/>
      <c r="G45" s="32"/>
      <c r="H45" s="32"/>
      <c r="I45" s="32"/>
      <c r="J45" s="31"/>
      <c r="K45" s="33" t="str">
        <f aca="false">IF(E45&lt;&gt;"",E45,IF(U45,"Present",IF(C45="Holiday","Holiday","Weekend")))</f>
        <v>Present</v>
      </c>
      <c r="L45" s="34" t="n">
        <f aca="false">IF(OR(K45="Present",K45="Manual Work",K45="Partial Vacation",K45="Partial Sick Leave"),IF(ISNUMBER(F45),F45,IF(AND(K45="Present",U45),Settings!$B$6,"")),"")</f>
        <v>0.333333333333333</v>
      </c>
      <c r="M45" s="34" t="n">
        <f aca="false">IF(OR(K45="Present",K45="Manual Work",K45="Partial Vacation",K45="Partial Sick Leave"),IF(ISNUMBER(G45),G45,IF(AND(K45="Present",U45),V45,"")),"")</f>
        <v>0.6875</v>
      </c>
      <c r="N45" s="14" t="n">
        <f aca="false">IF(AND(ISNUMBER(L45),ISNUMBER(M45)),MAX(0,(M45-L45)*24),0)</f>
        <v>8.5</v>
      </c>
      <c r="O45" s="14" t="n">
        <f aca="false">IF(NOT(U45),0,IF(K45="Vacation",IF(C45="Eve",Settings!$B$9*Settings!$B$11,W45),IF(K45="Partial Vacation",IF(AND(ISNUMBER(H45),ISNUMBER(I45)),MAX(0,(I45-H45)*24),0),0)))</f>
        <v>0</v>
      </c>
      <c r="P45" s="14" t="n">
        <f aca="false">IF(NOT(U45),0,IF(K45="Sick Leave",W45,IF(K45="Partial Sick Leave",IF(AND(ISNUMBER(H45),ISNUMBER(I45)),MAX(0,(I45-H45)*24),0),0)))</f>
        <v>0</v>
      </c>
      <c r="Q45" s="14" t="n">
        <f aca="false">IF(NOT(U45),0,IF(K45="Vacation",IF(C45="Eve",Settings!$B$11,1),IF(K45="Partial Vacation",O45/Settings!$B$9,0)))</f>
        <v>0</v>
      </c>
      <c r="R45" s="14" t="n">
        <f aca="false">IF(NOT(U45),0,IF(K45="Sick Leave",1,IF(K45="Partial Sick Leave",P45/Settings!$B$9,0)))</f>
        <v>0</v>
      </c>
      <c r="S45" s="35" t="str">
        <f aca="false">IF(AND(OR(E45="Vacation",E45="Sick Leave",E45="Partial Vacation",E45="Partial Sick Leave"),NOT(U45)),"Leave not allowed on this day",IF(AND(E45="Manual Work",OR(NOT(ISNUMBER(F45)),NOT(ISNUMBER(G45)))),"Enter start and end",IF(AND(OR(E45="Partial Vacation",E45="Partial Sick Leave"),OR(NOT(ISNUMBER(H45)),NOT(ISNUMBER(I45)))),"Enter leave from and to",IF(AND(ISNUMBER(F45),ISNUMBER(G45),G45&lt;=F45),"End is before start",IF(AND(ISNUMBER(H45),ISNUMBER(I45),I45&lt;=H45),"Leave end is before start",IF(AND(ISNUMBER(F45),ISNUMBER(G45),ISNUMBER(H45),ISNUMBER(I45),F45&lt;I45,H45&lt;G45),"Work and leave hours overlap",IF(AND(E45&lt;&gt;"",WEEKDAY(A45)=7),"Saturday - administrator only","")))))))</f>
        <v/>
      </c>
      <c r="T45" s="36" t="n">
        <f aca="false">MONTH(A45)</f>
        <v>2</v>
      </c>
      <c r="U45" s="37" t="b">
        <f aca="false">OR(C45="Workday",C45="Eve")</f>
        <v>1</v>
      </c>
      <c r="V45" s="34" t="n">
        <f aca="false">IF(C45="Eve",Settings!$B$8,Settings!$B$7)</f>
        <v>0.6875</v>
      </c>
      <c r="W45" s="14" t="n">
        <f aca="false">IF(U45,(V45-Settings!$B$6)*24,0)</f>
        <v>8.5</v>
      </c>
    </row>
    <row r="46" customFormat="false" ht="15" hidden="false" customHeight="false" outlineLevel="0" collapsed="false">
      <c r="A46" s="29" t="n">
        <v>46062</v>
      </c>
      <c r="B46" s="30" t="str">
        <f aca="false">CHOOSE(WEEKDAY(A46),"Sun","Mon","Tue","Wed","Thu","Fri","Sat")</f>
        <v>Mon</v>
      </c>
      <c r="C46" s="30" t="str">
        <f aca="false">IF(IFERROR(INDEX(Holidays!$D$5:$D$60,MATCH(A46,Holidays!$A$5:$A$60,0)),"")="Holiday","Holiday",IF(WEEKDAY(A46)&gt;=6,"Weekend",IF(IFERROR(INDEX(Holidays!$D$5:$D$60,MATCH(A46,Holidays!$A$5:$A$60,0)),"")="Eve","Eve","Workday")))</f>
        <v>Workday</v>
      </c>
      <c r="D46" s="18" t="str">
        <f aca="false">IFERROR(INDEX(Holidays!$C$5:$C$60,MATCH(A46,Holidays!$A$5:$A$60,0)),"")</f>
        <v/>
      </c>
      <c r="E46" s="31"/>
      <c r="F46" s="32"/>
      <c r="G46" s="32"/>
      <c r="H46" s="32"/>
      <c r="I46" s="32"/>
      <c r="J46" s="31"/>
      <c r="K46" s="33" t="str">
        <f aca="false">IF(E46&lt;&gt;"",E46,IF(U46,"Present",IF(C46="Holiday","Holiday","Weekend")))</f>
        <v>Present</v>
      </c>
      <c r="L46" s="34" t="n">
        <f aca="false">IF(OR(K46="Present",K46="Manual Work",K46="Partial Vacation",K46="Partial Sick Leave"),IF(ISNUMBER(F46),F46,IF(AND(K46="Present",U46),Settings!$B$6,"")),"")</f>
        <v>0.333333333333333</v>
      </c>
      <c r="M46" s="34" t="n">
        <f aca="false">IF(OR(K46="Present",K46="Manual Work",K46="Partial Vacation",K46="Partial Sick Leave"),IF(ISNUMBER(G46),G46,IF(AND(K46="Present",U46),V46,"")),"")</f>
        <v>0.6875</v>
      </c>
      <c r="N46" s="14" t="n">
        <f aca="false">IF(AND(ISNUMBER(L46),ISNUMBER(M46)),MAX(0,(M46-L46)*24),0)</f>
        <v>8.5</v>
      </c>
      <c r="O46" s="14" t="n">
        <f aca="false">IF(NOT(U46),0,IF(K46="Vacation",IF(C46="Eve",Settings!$B$9*Settings!$B$11,W46),IF(K46="Partial Vacation",IF(AND(ISNUMBER(H46),ISNUMBER(I46)),MAX(0,(I46-H46)*24),0),0)))</f>
        <v>0</v>
      </c>
      <c r="P46" s="14" t="n">
        <f aca="false">IF(NOT(U46),0,IF(K46="Sick Leave",W46,IF(K46="Partial Sick Leave",IF(AND(ISNUMBER(H46),ISNUMBER(I46)),MAX(0,(I46-H46)*24),0),0)))</f>
        <v>0</v>
      </c>
      <c r="Q46" s="14" t="n">
        <f aca="false">IF(NOT(U46),0,IF(K46="Vacation",IF(C46="Eve",Settings!$B$11,1),IF(K46="Partial Vacation",O46/Settings!$B$9,0)))</f>
        <v>0</v>
      </c>
      <c r="R46" s="14" t="n">
        <f aca="false">IF(NOT(U46),0,IF(K46="Sick Leave",1,IF(K46="Partial Sick Leave",P46/Settings!$B$9,0)))</f>
        <v>0</v>
      </c>
      <c r="S46" s="35" t="str">
        <f aca="false">IF(AND(OR(E46="Vacation",E46="Sick Leave",E46="Partial Vacation",E46="Partial Sick Leave"),NOT(U46)),"Leave not allowed on this day",IF(AND(E46="Manual Work",OR(NOT(ISNUMBER(F46)),NOT(ISNUMBER(G46)))),"Enter start and end",IF(AND(OR(E46="Partial Vacation",E46="Partial Sick Leave"),OR(NOT(ISNUMBER(H46)),NOT(ISNUMBER(I46)))),"Enter leave from and to",IF(AND(ISNUMBER(F46),ISNUMBER(G46),G46&lt;=F46),"End is before start",IF(AND(ISNUMBER(H46),ISNUMBER(I46),I46&lt;=H46),"Leave end is before start",IF(AND(ISNUMBER(F46),ISNUMBER(G46),ISNUMBER(H46),ISNUMBER(I46),F46&lt;I46,H46&lt;G46),"Work and leave hours overlap",IF(AND(E46&lt;&gt;"",WEEKDAY(A46)=7),"Saturday - administrator only","")))))))</f>
        <v/>
      </c>
      <c r="T46" s="36" t="n">
        <f aca="false">MONTH(A46)</f>
        <v>2</v>
      </c>
      <c r="U46" s="37" t="b">
        <f aca="false">OR(C46="Workday",C46="Eve")</f>
        <v>1</v>
      </c>
      <c r="V46" s="34" t="n">
        <f aca="false">IF(C46="Eve",Settings!$B$8,Settings!$B$7)</f>
        <v>0.6875</v>
      </c>
      <c r="W46" s="14" t="n">
        <f aca="false">IF(U46,(V46-Settings!$B$6)*24,0)</f>
        <v>8.5</v>
      </c>
    </row>
    <row r="47" customFormat="false" ht="15" hidden="false" customHeight="false" outlineLevel="0" collapsed="false">
      <c r="A47" s="29" t="n">
        <v>46063</v>
      </c>
      <c r="B47" s="30" t="str">
        <f aca="false">CHOOSE(WEEKDAY(A47),"Sun","Mon","Tue","Wed","Thu","Fri","Sat")</f>
        <v>Tue</v>
      </c>
      <c r="C47" s="30" t="str">
        <f aca="false">IF(IFERROR(INDEX(Holidays!$D$5:$D$60,MATCH(A47,Holidays!$A$5:$A$60,0)),"")="Holiday","Holiday",IF(WEEKDAY(A47)&gt;=6,"Weekend",IF(IFERROR(INDEX(Holidays!$D$5:$D$60,MATCH(A47,Holidays!$A$5:$A$60,0)),"")="Eve","Eve","Workday")))</f>
        <v>Workday</v>
      </c>
      <c r="D47" s="18" t="str">
        <f aca="false">IFERROR(INDEX(Holidays!$C$5:$C$60,MATCH(A47,Holidays!$A$5:$A$60,0)),"")</f>
        <v/>
      </c>
      <c r="E47" s="31"/>
      <c r="F47" s="32"/>
      <c r="G47" s="32"/>
      <c r="H47" s="32"/>
      <c r="I47" s="32"/>
      <c r="J47" s="31"/>
      <c r="K47" s="33" t="str">
        <f aca="false">IF(E47&lt;&gt;"",E47,IF(U47,"Present",IF(C47="Holiday","Holiday","Weekend")))</f>
        <v>Present</v>
      </c>
      <c r="L47" s="34" t="n">
        <f aca="false">IF(OR(K47="Present",K47="Manual Work",K47="Partial Vacation",K47="Partial Sick Leave"),IF(ISNUMBER(F47),F47,IF(AND(K47="Present",U47),Settings!$B$6,"")),"")</f>
        <v>0.333333333333333</v>
      </c>
      <c r="M47" s="34" t="n">
        <f aca="false">IF(OR(K47="Present",K47="Manual Work",K47="Partial Vacation",K47="Partial Sick Leave"),IF(ISNUMBER(G47),G47,IF(AND(K47="Present",U47),V47,"")),"")</f>
        <v>0.6875</v>
      </c>
      <c r="N47" s="14" t="n">
        <f aca="false">IF(AND(ISNUMBER(L47),ISNUMBER(M47)),MAX(0,(M47-L47)*24),0)</f>
        <v>8.5</v>
      </c>
      <c r="O47" s="14" t="n">
        <f aca="false">IF(NOT(U47),0,IF(K47="Vacation",IF(C47="Eve",Settings!$B$9*Settings!$B$11,W47),IF(K47="Partial Vacation",IF(AND(ISNUMBER(H47),ISNUMBER(I47)),MAX(0,(I47-H47)*24),0),0)))</f>
        <v>0</v>
      </c>
      <c r="P47" s="14" t="n">
        <f aca="false">IF(NOT(U47),0,IF(K47="Sick Leave",W47,IF(K47="Partial Sick Leave",IF(AND(ISNUMBER(H47),ISNUMBER(I47)),MAX(0,(I47-H47)*24),0),0)))</f>
        <v>0</v>
      </c>
      <c r="Q47" s="14" t="n">
        <f aca="false">IF(NOT(U47),0,IF(K47="Vacation",IF(C47="Eve",Settings!$B$11,1),IF(K47="Partial Vacation",O47/Settings!$B$9,0)))</f>
        <v>0</v>
      </c>
      <c r="R47" s="14" t="n">
        <f aca="false">IF(NOT(U47),0,IF(K47="Sick Leave",1,IF(K47="Partial Sick Leave",P47/Settings!$B$9,0)))</f>
        <v>0</v>
      </c>
      <c r="S47" s="35" t="str">
        <f aca="false">IF(AND(OR(E47="Vacation",E47="Sick Leave",E47="Partial Vacation",E47="Partial Sick Leave"),NOT(U47)),"Leave not allowed on this day",IF(AND(E47="Manual Work",OR(NOT(ISNUMBER(F47)),NOT(ISNUMBER(G47)))),"Enter start and end",IF(AND(OR(E47="Partial Vacation",E47="Partial Sick Leave"),OR(NOT(ISNUMBER(H47)),NOT(ISNUMBER(I47)))),"Enter leave from and to",IF(AND(ISNUMBER(F47),ISNUMBER(G47),G47&lt;=F47),"End is before start",IF(AND(ISNUMBER(H47),ISNUMBER(I47),I47&lt;=H47),"Leave end is before start",IF(AND(ISNUMBER(F47),ISNUMBER(G47),ISNUMBER(H47),ISNUMBER(I47),F47&lt;I47,H47&lt;G47),"Work and leave hours overlap",IF(AND(E47&lt;&gt;"",WEEKDAY(A47)=7),"Saturday - administrator only","")))))))</f>
        <v/>
      </c>
      <c r="T47" s="36" t="n">
        <f aca="false">MONTH(A47)</f>
        <v>2</v>
      </c>
      <c r="U47" s="37" t="b">
        <f aca="false">OR(C47="Workday",C47="Eve")</f>
        <v>1</v>
      </c>
      <c r="V47" s="34" t="n">
        <f aca="false">IF(C47="Eve",Settings!$B$8,Settings!$B$7)</f>
        <v>0.6875</v>
      </c>
      <c r="W47" s="14" t="n">
        <f aca="false">IF(U47,(V47-Settings!$B$6)*24,0)</f>
        <v>8.5</v>
      </c>
    </row>
    <row r="48" customFormat="false" ht="15" hidden="false" customHeight="false" outlineLevel="0" collapsed="false">
      <c r="A48" s="29" t="n">
        <v>46064</v>
      </c>
      <c r="B48" s="30" t="str">
        <f aca="false">CHOOSE(WEEKDAY(A48),"Sun","Mon","Tue","Wed","Thu","Fri","Sat")</f>
        <v>Wed</v>
      </c>
      <c r="C48" s="30" t="str">
        <f aca="false">IF(IFERROR(INDEX(Holidays!$D$5:$D$60,MATCH(A48,Holidays!$A$5:$A$60,0)),"")="Holiday","Holiday",IF(WEEKDAY(A48)&gt;=6,"Weekend",IF(IFERROR(INDEX(Holidays!$D$5:$D$60,MATCH(A48,Holidays!$A$5:$A$60,0)),"")="Eve","Eve","Workday")))</f>
        <v>Workday</v>
      </c>
      <c r="D48" s="18" t="str">
        <f aca="false">IFERROR(INDEX(Holidays!$C$5:$C$60,MATCH(A48,Holidays!$A$5:$A$60,0)),"")</f>
        <v/>
      </c>
      <c r="E48" s="31"/>
      <c r="F48" s="32"/>
      <c r="G48" s="32"/>
      <c r="H48" s="32"/>
      <c r="I48" s="32"/>
      <c r="J48" s="31"/>
      <c r="K48" s="33" t="str">
        <f aca="false">IF(E48&lt;&gt;"",E48,IF(U48,"Present",IF(C48="Holiday","Holiday","Weekend")))</f>
        <v>Present</v>
      </c>
      <c r="L48" s="34" t="n">
        <f aca="false">IF(OR(K48="Present",K48="Manual Work",K48="Partial Vacation",K48="Partial Sick Leave"),IF(ISNUMBER(F48),F48,IF(AND(K48="Present",U48),Settings!$B$6,"")),"")</f>
        <v>0.333333333333333</v>
      </c>
      <c r="M48" s="34" t="n">
        <f aca="false">IF(OR(K48="Present",K48="Manual Work",K48="Partial Vacation",K48="Partial Sick Leave"),IF(ISNUMBER(G48),G48,IF(AND(K48="Present",U48),V48,"")),"")</f>
        <v>0.6875</v>
      </c>
      <c r="N48" s="14" t="n">
        <f aca="false">IF(AND(ISNUMBER(L48),ISNUMBER(M48)),MAX(0,(M48-L48)*24),0)</f>
        <v>8.5</v>
      </c>
      <c r="O48" s="14" t="n">
        <f aca="false">IF(NOT(U48),0,IF(K48="Vacation",IF(C48="Eve",Settings!$B$9*Settings!$B$11,W48),IF(K48="Partial Vacation",IF(AND(ISNUMBER(H48),ISNUMBER(I48)),MAX(0,(I48-H48)*24),0),0)))</f>
        <v>0</v>
      </c>
      <c r="P48" s="14" t="n">
        <f aca="false">IF(NOT(U48),0,IF(K48="Sick Leave",W48,IF(K48="Partial Sick Leave",IF(AND(ISNUMBER(H48),ISNUMBER(I48)),MAX(0,(I48-H48)*24),0),0)))</f>
        <v>0</v>
      </c>
      <c r="Q48" s="14" t="n">
        <f aca="false">IF(NOT(U48),0,IF(K48="Vacation",IF(C48="Eve",Settings!$B$11,1),IF(K48="Partial Vacation",O48/Settings!$B$9,0)))</f>
        <v>0</v>
      </c>
      <c r="R48" s="14" t="n">
        <f aca="false">IF(NOT(U48),0,IF(K48="Sick Leave",1,IF(K48="Partial Sick Leave",P48/Settings!$B$9,0)))</f>
        <v>0</v>
      </c>
      <c r="S48" s="35" t="str">
        <f aca="false">IF(AND(OR(E48="Vacation",E48="Sick Leave",E48="Partial Vacation",E48="Partial Sick Leave"),NOT(U48)),"Leave not allowed on this day",IF(AND(E48="Manual Work",OR(NOT(ISNUMBER(F48)),NOT(ISNUMBER(G48)))),"Enter start and end",IF(AND(OR(E48="Partial Vacation",E48="Partial Sick Leave"),OR(NOT(ISNUMBER(H48)),NOT(ISNUMBER(I48)))),"Enter leave from and to",IF(AND(ISNUMBER(F48),ISNUMBER(G48),G48&lt;=F48),"End is before start",IF(AND(ISNUMBER(H48),ISNUMBER(I48),I48&lt;=H48),"Leave end is before start",IF(AND(ISNUMBER(F48),ISNUMBER(G48),ISNUMBER(H48),ISNUMBER(I48),F48&lt;I48,H48&lt;G48),"Work and leave hours overlap",IF(AND(E48&lt;&gt;"",WEEKDAY(A48)=7),"Saturday - administrator only","")))))))</f>
        <v/>
      </c>
      <c r="T48" s="36" t="n">
        <f aca="false">MONTH(A48)</f>
        <v>2</v>
      </c>
      <c r="U48" s="37" t="b">
        <f aca="false">OR(C48="Workday",C48="Eve")</f>
        <v>1</v>
      </c>
      <c r="V48" s="34" t="n">
        <f aca="false">IF(C48="Eve",Settings!$B$8,Settings!$B$7)</f>
        <v>0.6875</v>
      </c>
      <c r="W48" s="14" t="n">
        <f aca="false">IF(U48,(V48-Settings!$B$6)*24,0)</f>
        <v>8.5</v>
      </c>
    </row>
    <row r="49" customFormat="false" ht="15" hidden="false" customHeight="false" outlineLevel="0" collapsed="false">
      <c r="A49" s="29" t="n">
        <v>46065</v>
      </c>
      <c r="B49" s="30" t="str">
        <f aca="false">CHOOSE(WEEKDAY(A49),"Sun","Mon","Tue","Wed","Thu","Fri","Sat")</f>
        <v>Thu</v>
      </c>
      <c r="C49" s="30" t="str">
        <f aca="false">IF(IFERROR(INDEX(Holidays!$D$5:$D$60,MATCH(A49,Holidays!$A$5:$A$60,0)),"")="Holiday","Holiday",IF(WEEKDAY(A49)&gt;=6,"Weekend",IF(IFERROR(INDEX(Holidays!$D$5:$D$60,MATCH(A49,Holidays!$A$5:$A$60,0)),"")="Eve","Eve","Workday")))</f>
        <v>Workday</v>
      </c>
      <c r="D49" s="18" t="str">
        <f aca="false">IFERROR(INDEX(Holidays!$C$5:$C$60,MATCH(A49,Holidays!$A$5:$A$60,0)),"")</f>
        <v/>
      </c>
      <c r="E49" s="31"/>
      <c r="F49" s="32"/>
      <c r="G49" s="32"/>
      <c r="H49" s="32"/>
      <c r="I49" s="32"/>
      <c r="J49" s="31"/>
      <c r="K49" s="33" t="str">
        <f aca="false">IF(E49&lt;&gt;"",E49,IF(U49,"Present",IF(C49="Holiday","Holiday","Weekend")))</f>
        <v>Present</v>
      </c>
      <c r="L49" s="34" t="n">
        <f aca="false">IF(OR(K49="Present",K49="Manual Work",K49="Partial Vacation",K49="Partial Sick Leave"),IF(ISNUMBER(F49),F49,IF(AND(K49="Present",U49),Settings!$B$6,"")),"")</f>
        <v>0.333333333333333</v>
      </c>
      <c r="M49" s="34" t="n">
        <f aca="false">IF(OR(K49="Present",K49="Manual Work",K49="Partial Vacation",K49="Partial Sick Leave"),IF(ISNUMBER(G49),G49,IF(AND(K49="Present",U49),V49,"")),"")</f>
        <v>0.6875</v>
      </c>
      <c r="N49" s="14" t="n">
        <f aca="false">IF(AND(ISNUMBER(L49),ISNUMBER(M49)),MAX(0,(M49-L49)*24),0)</f>
        <v>8.5</v>
      </c>
      <c r="O49" s="14" t="n">
        <f aca="false">IF(NOT(U49),0,IF(K49="Vacation",IF(C49="Eve",Settings!$B$9*Settings!$B$11,W49),IF(K49="Partial Vacation",IF(AND(ISNUMBER(H49),ISNUMBER(I49)),MAX(0,(I49-H49)*24),0),0)))</f>
        <v>0</v>
      </c>
      <c r="P49" s="14" t="n">
        <f aca="false">IF(NOT(U49),0,IF(K49="Sick Leave",W49,IF(K49="Partial Sick Leave",IF(AND(ISNUMBER(H49),ISNUMBER(I49)),MAX(0,(I49-H49)*24),0),0)))</f>
        <v>0</v>
      </c>
      <c r="Q49" s="14" t="n">
        <f aca="false">IF(NOT(U49),0,IF(K49="Vacation",IF(C49="Eve",Settings!$B$11,1),IF(K49="Partial Vacation",O49/Settings!$B$9,0)))</f>
        <v>0</v>
      </c>
      <c r="R49" s="14" t="n">
        <f aca="false">IF(NOT(U49),0,IF(K49="Sick Leave",1,IF(K49="Partial Sick Leave",P49/Settings!$B$9,0)))</f>
        <v>0</v>
      </c>
      <c r="S49" s="35" t="str">
        <f aca="false">IF(AND(OR(E49="Vacation",E49="Sick Leave",E49="Partial Vacation",E49="Partial Sick Leave"),NOT(U49)),"Leave not allowed on this day",IF(AND(E49="Manual Work",OR(NOT(ISNUMBER(F49)),NOT(ISNUMBER(G49)))),"Enter start and end",IF(AND(OR(E49="Partial Vacation",E49="Partial Sick Leave"),OR(NOT(ISNUMBER(H49)),NOT(ISNUMBER(I49)))),"Enter leave from and to",IF(AND(ISNUMBER(F49),ISNUMBER(G49),G49&lt;=F49),"End is before start",IF(AND(ISNUMBER(H49),ISNUMBER(I49),I49&lt;=H49),"Leave end is before start",IF(AND(ISNUMBER(F49),ISNUMBER(G49),ISNUMBER(H49),ISNUMBER(I49),F49&lt;I49,H49&lt;G49),"Work and leave hours overlap",IF(AND(E49&lt;&gt;"",WEEKDAY(A49)=7),"Saturday - administrator only","")))))))</f>
        <v/>
      </c>
      <c r="T49" s="36" t="n">
        <f aca="false">MONTH(A49)</f>
        <v>2</v>
      </c>
      <c r="U49" s="37" t="b">
        <f aca="false">OR(C49="Workday",C49="Eve")</f>
        <v>1</v>
      </c>
      <c r="V49" s="34" t="n">
        <f aca="false">IF(C49="Eve",Settings!$B$8,Settings!$B$7)</f>
        <v>0.6875</v>
      </c>
      <c r="W49" s="14" t="n">
        <f aca="false">IF(U49,(V49-Settings!$B$6)*24,0)</f>
        <v>8.5</v>
      </c>
    </row>
    <row r="50" customFormat="false" ht="15" hidden="false" customHeight="false" outlineLevel="0" collapsed="false">
      <c r="A50" s="29" t="n">
        <v>46066</v>
      </c>
      <c r="B50" s="30" t="str">
        <f aca="false">CHOOSE(WEEKDAY(A50),"Sun","Mon","Tue","Wed","Thu","Fri","Sat")</f>
        <v>Fri</v>
      </c>
      <c r="C50" s="30" t="str">
        <f aca="false">IF(IFERROR(INDEX(Holidays!$D$5:$D$60,MATCH(A50,Holidays!$A$5:$A$60,0)),"")="Holiday","Holiday",IF(WEEKDAY(A50)&gt;=6,"Weekend",IF(IFERROR(INDEX(Holidays!$D$5:$D$60,MATCH(A50,Holidays!$A$5:$A$60,0)),"")="Eve","Eve","Workday")))</f>
        <v>Weekend</v>
      </c>
      <c r="D50" s="18" t="str">
        <f aca="false">IFERROR(INDEX(Holidays!$C$5:$C$60,MATCH(A50,Holidays!$A$5:$A$60,0)),"")</f>
        <v/>
      </c>
      <c r="E50" s="31"/>
      <c r="F50" s="32"/>
      <c r="G50" s="32"/>
      <c r="H50" s="32"/>
      <c r="I50" s="32"/>
      <c r="J50" s="31"/>
      <c r="K50" s="33" t="str">
        <f aca="false">IF(E50&lt;&gt;"",E50,IF(U50,"Present",IF(C50="Holiday","Holiday","Weekend")))</f>
        <v>Weekend</v>
      </c>
      <c r="L50" s="34" t="str">
        <f aca="false">IF(OR(K50="Present",K50="Manual Work",K50="Partial Vacation",K50="Partial Sick Leave"),IF(ISNUMBER(F50),F50,IF(AND(K50="Present",U50),Settings!$B$6,"")),"")</f>
        <v/>
      </c>
      <c r="M50" s="34" t="str">
        <f aca="false">IF(OR(K50="Present",K50="Manual Work",K50="Partial Vacation",K50="Partial Sick Leave"),IF(ISNUMBER(G50),G50,IF(AND(K50="Present",U50),V50,"")),"")</f>
        <v/>
      </c>
      <c r="N50" s="14" t="n">
        <f aca="false">IF(AND(ISNUMBER(L50),ISNUMBER(M50)),MAX(0,(M50-L50)*24),0)</f>
        <v>0</v>
      </c>
      <c r="O50" s="14" t="n">
        <f aca="false">IF(NOT(U50),0,IF(K50="Vacation",IF(C50="Eve",Settings!$B$9*Settings!$B$11,W50),IF(K50="Partial Vacation",IF(AND(ISNUMBER(H50),ISNUMBER(I50)),MAX(0,(I50-H50)*24),0),0)))</f>
        <v>0</v>
      </c>
      <c r="P50" s="14" t="n">
        <f aca="false">IF(NOT(U50),0,IF(K50="Sick Leave",W50,IF(K50="Partial Sick Leave",IF(AND(ISNUMBER(H50),ISNUMBER(I50)),MAX(0,(I50-H50)*24),0),0)))</f>
        <v>0</v>
      </c>
      <c r="Q50" s="14" t="n">
        <f aca="false">IF(NOT(U50),0,IF(K50="Vacation",IF(C50="Eve",Settings!$B$11,1),IF(K50="Partial Vacation",O50/Settings!$B$9,0)))</f>
        <v>0</v>
      </c>
      <c r="R50" s="14" t="n">
        <f aca="false">IF(NOT(U50),0,IF(K50="Sick Leave",1,IF(K50="Partial Sick Leave",P50/Settings!$B$9,0)))</f>
        <v>0</v>
      </c>
      <c r="S50" s="35" t="str">
        <f aca="false">IF(AND(OR(E50="Vacation",E50="Sick Leave",E50="Partial Vacation",E50="Partial Sick Leave"),NOT(U50)),"Leave not allowed on this day",IF(AND(E50="Manual Work",OR(NOT(ISNUMBER(F50)),NOT(ISNUMBER(G50)))),"Enter start and end",IF(AND(OR(E50="Partial Vacation",E50="Partial Sick Leave"),OR(NOT(ISNUMBER(H50)),NOT(ISNUMBER(I50)))),"Enter leave from and to",IF(AND(ISNUMBER(F50),ISNUMBER(G50),G50&lt;=F50),"End is before start",IF(AND(ISNUMBER(H50),ISNUMBER(I50),I50&lt;=H50),"Leave end is before start",IF(AND(ISNUMBER(F50),ISNUMBER(G50),ISNUMBER(H50),ISNUMBER(I50),F50&lt;I50,H50&lt;G50),"Work and leave hours overlap",IF(AND(E50&lt;&gt;"",WEEKDAY(A50)=7),"Saturday - administrator only","")))))))</f>
        <v/>
      </c>
      <c r="T50" s="36" t="n">
        <f aca="false">MONTH(A50)</f>
        <v>2</v>
      </c>
      <c r="U50" s="37" t="b">
        <f aca="false">OR(C50="Workday",C50="Eve")</f>
        <v>0</v>
      </c>
      <c r="V50" s="34" t="n">
        <f aca="false">IF(C50="Eve",Settings!$B$8,Settings!$B$7)</f>
        <v>0.6875</v>
      </c>
      <c r="W50" s="14" t="n">
        <f aca="false">IF(U50,(V50-Settings!$B$6)*24,0)</f>
        <v>0</v>
      </c>
    </row>
    <row r="51" customFormat="false" ht="15" hidden="false" customHeight="false" outlineLevel="0" collapsed="false">
      <c r="A51" s="29" t="n">
        <v>46067</v>
      </c>
      <c r="B51" s="30" t="str">
        <f aca="false">CHOOSE(WEEKDAY(A51),"Sun","Mon","Tue","Wed","Thu","Fri","Sat")</f>
        <v>Sat</v>
      </c>
      <c r="C51" s="30" t="str">
        <f aca="false">IF(IFERROR(INDEX(Holidays!$D$5:$D$60,MATCH(A51,Holidays!$A$5:$A$60,0)),"")="Holiday","Holiday",IF(WEEKDAY(A51)&gt;=6,"Weekend",IF(IFERROR(INDEX(Holidays!$D$5:$D$60,MATCH(A51,Holidays!$A$5:$A$60,0)),"")="Eve","Eve","Workday")))</f>
        <v>Weekend</v>
      </c>
      <c r="D51" s="18" t="str">
        <f aca="false">IFERROR(INDEX(Holidays!$C$5:$C$60,MATCH(A51,Holidays!$A$5:$A$60,0)),"")</f>
        <v/>
      </c>
      <c r="E51" s="31"/>
      <c r="F51" s="32"/>
      <c r="G51" s="32"/>
      <c r="H51" s="32"/>
      <c r="I51" s="32"/>
      <c r="J51" s="31"/>
      <c r="K51" s="33" t="str">
        <f aca="false">IF(E51&lt;&gt;"",E51,IF(U51,"Present",IF(C51="Holiday","Holiday","Weekend")))</f>
        <v>Weekend</v>
      </c>
      <c r="L51" s="34" t="str">
        <f aca="false">IF(OR(K51="Present",K51="Manual Work",K51="Partial Vacation",K51="Partial Sick Leave"),IF(ISNUMBER(F51),F51,IF(AND(K51="Present",U51),Settings!$B$6,"")),"")</f>
        <v/>
      </c>
      <c r="M51" s="34" t="str">
        <f aca="false">IF(OR(K51="Present",K51="Manual Work",K51="Partial Vacation",K51="Partial Sick Leave"),IF(ISNUMBER(G51),G51,IF(AND(K51="Present",U51),V51,"")),"")</f>
        <v/>
      </c>
      <c r="N51" s="14" t="n">
        <f aca="false">IF(AND(ISNUMBER(L51),ISNUMBER(M51)),MAX(0,(M51-L51)*24),0)</f>
        <v>0</v>
      </c>
      <c r="O51" s="14" t="n">
        <f aca="false">IF(NOT(U51),0,IF(K51="Vacation",IF(C51="Eve",Settings!$B$9*Settings!$B$11,W51),IF(K51="Partial Vacation",IF(AND(ISNUMBER(H51),ISNUMBER(I51)),MAX(0,(I51-H51)*24),0),0)))</f>
        <v>0</v>
      </c>
      <c r="P51" s="14" t="n">
        <f aca="false">IF(NOT(U51),0,IF(K51="Sick Leave",W51,IF(K51="Partial Sick Leave",IF(AND(ISNUMBER(H51),ISNUMBER(I51)),MAX(0,(I51-H51)*24),0),0)))</f>
        <v>0</v>
      </c>
      <c r="Q51" s="14" t="n">
        <f aca="false">IF(NOT(U51),0,IF(K51="Vacation",IF(C51="Eve",Settings!$B$11,1),IF(K51="Partial Vacation",O51/Settings!$B$9,0)))</f>
        <v>0</v>
      </c>
      <c r="R51" s="14" t="n">
        <f aca="false">IF(NOT(U51),0,IF(K51="Sick Leave",1,IF(K51="Partial Sick Leave",P51/Settings!$B$9,0)))</f>
        <v>0</v>
      </c>
      <c r="S51" s="35" t="str">
        <f aca="false">IF(AND(OR(E51="Vacation",E51="Sick Leave",E51="Partial Vacation",E51="Partial Sick Leave"),NOT(U51)),"Leave not allowed on this day",IF(AND(E51="Manual Work",OR(NOT(ISNUMBER(F51)),NOT(ISNUMBER(G51)))),"Enter start and end",IF(AND(OR(E51="Partial Vacation",E51="Partial Sick Leave"),OR(NOT(ISNUMBER(H51)),NOT(ISNUMBER(I51)))),"Enter leave from and to",IF(AND(ISNUMBER(F51),ISNUMBER(G51),G51&lt;=F51),"End is before start",IF(AND(ISNUMBER(H51),ISNUMBER(I51),I51&lt;=H51),"Leave end is before start",IF(AND(ISNUMBER(F51),ISNUMBER(G51),ISNUMBER(H51),ISNUMBER(I51),F51&lt;I51,H51&lt;G51),"Work and leave hours overlap",IF(AND(E51&lt;&gt;"",WEEKDAY(A51)=7),"Saturday - administrator only","")))))))</f>
        <v/>
      </c>
      <c r="T51" s="36" t="n">
        <f aca="false">MONTH(A51)</f>
        <v>2</v>
      </c>
      <c r="U51" s="37" t="b">
        <f aca="false">OR(C51="Workday",C51="Eve")</f>
        <v>0</v>
      </c>
      <c r="V51" s="34" t="n">
        <f aca="false">IF(C51="Eve",Settings!$B$8,Settings!$B$7)</f>
        <v>0.6875</v>
      </c>
      <c r="W51" s="14" t="n">
        <f aca="false">IF(U51,(V51-Settings!$B$6)*24,0)</f>
        <v>0</v>
      </c>
    </row>
    <row r="52" customFormat="false" ht="15" hidden="false" customHeight="false" outlineLevel="0" collapsed="false">
      <c r="A52" s="29" t="n">
        <v>46068</v>
      </c>
      <c r="B52" s="30" t="str">
        <f aca="false">CHOOSE(WEEKDAY(A52),"Sun","Mon","Tue","Wed","Thu","Fri","Sat")</f>
        <v>Sun</v>
      </c>
      <c r="C52" s="30" t="str">
        <f aca="false">IF(IFERROR(INDEX(Holidays!$D$5:$D$60,MATCH(A52,Holidays!$A$5:$A$60,0)),"")="Holiday","Holiday",IF(WEEKDAY(A52)&gt;=6,"Weekend",IF(IFERROR(INDEX(Holidays!$D$5:$D$60,MATCH(A52,Holidays!$A$5:$A$60,0)),"")="Eve","Eve","Workday")))</f>
        <v>Workday</v>
      </c>
      <c r="D52" s="18" t="str">
        <f aca="false">IFERROR(INDEX(Holidays!$C$5:$C$60,MATCH(A52,Holidays!$A$5:$A$60,0)),"")</f>
        <v/>
      </c>
      <c r="E52" s="31"/>
      <c r="F52" s="32"/>
      <c r="G52" s="32"/>
      <c r="H52" s="32"/>
      <c r="I52" s="32"/>
      <c r="J52" s="31"/>
      <c r="K52" s="33" t="str">
        <f aca="false">IF(E52&lt;&gt;"",E52,IF(U52,"Present",IF(C52="Holiday","Holiday","Weekend")))</f>
        <v>Present</v>
      </c>
      <c r="L52" s="34" t="n">
        <f aca="false">IF(OR(K52="Present",K52="Manual Work",K52="Partial Vacation",K52="Partial Sick Leave"),IF(ISNUMBER(F52),F52,IF(AND(K52="Present",U52),Settings!$B$6,"")),"")</f>
        <v>0.333333333333333</v>
      </c>
      <c r="M52" s="34" t="n">
        <f aca="false">IF(OR(K52="Present",K52="Manual Work",K52="Partial Vacation",K52="Partial Sick Leave"),IF(ISNUMBER(G52),G52,IF(AND(K52="Present",U52),V52,"")),"")</f>
        <v>0.6875</v>
      </c>
      <c r="N52" s="14" t="n">
        <f aca="false">IF(AND(ISNUMBER(L52),ISNUMBER(M52)),MAX(0,(M52-L52)*24),0)</f>
        <v>8.5</v>
      </c>
      <c r="O52" s="14" t="n">
        <f aca="false">IF(NOT(U52),0,IF(K52="Vacation",IF(C52="Eve",Settings!$B$9*Settings!$B$11,W52),IF(K52="Partial Vacation",IF(AND(ISNUMBER(H52),ISNUMBER(I52)),MAX(0,(I52-H52)*24),0),0)))</f>
        <v>0</v>
      </c>
      <c r="P52" s="14" t="n">
        <f aca="false">IF(NOT(U52),0,IF(K52="Sick Leave",W52,IF(K52="Partial Sick Leave",IF(AND(ISNUMBER(H52),ISNUMBER(I52)),MAX(0,(I52-H52)*24),0),0)))</f>
        <v>0</v>
      </c>
      <c r="Q52" s="14" t="n">
        <f aca="false">IF(NOT(U52),0,IF(K52="Vacation",IF(C52="Eve",Settings!$B$11,1),IF(K52="Partial Vacation",O52/Settings!$B$9,0)))</f>
        <v>0</v>
      </c>
      <c r="R52" s="14" t="n">
        <f aca="false">IF(NOT(U52),0,IF(K52="Sick Leave",1,IF(K52="Partial Sick Leave",P52/Settings!$B$9,0)))</f>
        <v>0</v>
      </c>
      <c r="S52" s="35" t="str">
        <f aca="false">IF(AND(OR(E52="Vacation",E52="Sick Leave",E52="Partial Vacation",E52="Partial Sick Leave"),NOT(U52)),"Leave not allowed on this day",IF(AND(E52="Manual Work",OR(NOT(ISNUMBER(F52)),NOT(ISNUMBER(G52)))),"Enter start and end",IF(AND(OR(E52="Partial Vacation",E52="Partial Sick Leave"),OR(NOT(ISNUMBER(H52)),NOT(ISNUMBER(I52)))),"Enter leave from and to",IF(AND(ISNUMBER(F52),ISNUMBER(G52),G52&lt;=F52),"End is before start",IF(AND(ISNUMBER(H52),ISNUMBER(I52),I52&lt;=H52),"Leave end is before start",IF(AND(ISNUMBER(F52),ISNUMBER(G52),ISNUMBER(H52),ISNUMBER(I52),F52&lt;I52,H52&lt;G52),"Work and leave hours overlap",IF(AND(E52&lt;&gt;"",WEEKDAY(A52)=7),"Saturday - administrator only","")))))))</f>
        <v/>
      </c>
      <c r="T52" s="36" t="n">
        <f aca="false">MONTH(A52)</f>
        <v>2</v>
      </c>
      <c r="U52" s="37" t="b">
        <f aca="false">OR(C52="Workday",C52="Eve")</f>
        <v>1</v>
      </c>
      <c r="V52" s="34" t="n">
        <f aca="false">IF(C52="Eve",Settings!$B$8,Settings!$B$7)</f>
        <v>0.6875</v>
      </c>
      <c r="W52" s="14" t="n">
        <f aca="false">IF(U52,(V52-Settings!$B$6)*24,0)</f>
        <v>8.5</v>
      </c>
    </row>
    <row r="53" customFormat="false" ht="15" hidden="false" customHeight="false" outlineLevel="0" collapsed="false">
      <c r="A53" s="29" t="n">
        <v>46069</v>
      </c>
      <c r="B53" s="30" t="str">
        <f aca="false">CHOOSE(WEEKDAY(A53),"Sun","Mon","Tue","Wed","Thu","Fri","Sat")</f>
        <v>Mon</v>
      </c>
      <c r="C53" s="30" t="str">
        <f aca="false">IF(IFERROR(INDEX(Holidays!$D$5:$D$60,MATCH(A53,Holidays!$A$5:$A$60,0)),"")="Holiday","Holiday",IF(WEEKDAY(A53)&gt;=6,"Weekend",IF(IFERROR(INDEX(Holidays!$D$5:$D$60,MATCH(A53,Holidays!$A$5:$A$60,0)),"")="Eve","Eve","Workday")))</f>
        <v>Workday</v>
      </c>
      <c r="D53" s="18" t="str">
        <f aca="false">IFERROR(INDEX(Holidays!$C$5:$C$60,MATCH(A53,Holidays!$A$5:$A$60,0)),"")</f>
        <v/>
      </c>
      <c r="E53" s="31"/>
      <c r="F53" s="32"/>
      <c r="G53" s="32"/>
      <c r="H53" s="32"/>
      <c r="I53" s="32"/>
      <c r="J53" s="31"/>
      <c r="K53" s="33" t="str">
        <f aca="false">IF(E53&lt;&gt;"",E53,IF(U53,"Present",IF(C53="Holiday","Holiday","Weekend")))</f>
        <v>Present</v>
      </c>
      <c r="L53" s="34" t="n">
        <f aca="false">IF(OR(K53="Present",K53="Manual Work",K53="Partial Vacation",K53="Partial Sick Leave"),IF(ISNUMBER(F53),F53,IF(AND(K53="Present",U53),Settings!$B$6,"")),"")</f>
        <v>0.333333333333333</v>
      </c>
      <c r="M53" s="34" t="n">
        <f aca="false">IF(OR(K53="Present",K53="Manual Work",K53="Partial Vacation",K53="Partial Sick Leave"),IF(ISNUMBER(G53),G53,IF(AND(K53="Present",U53),V53,"")),"")</f>
        <v>0.6875</v>
      </c>
      <c r="N53" s="14" t="n">
        <f aca="false">IF(AND(ISNUMBER(L53),ISNUMBER(M53)),MAX(0,(M53-L53)*24),0)</f>
        <v>8.5</v>
      </c>
      <c r="O53" s="14" t="n">
        <f aca="false">IF(NOT(U53),0,IF(K53="Vacation",IF(C53="Eve",Settings!$B$9*Settings!$B$11,W53),IF(K53="Partial Vacation",IF(AND(ISNUMBER(H53),ISNUMBER(I53)),MAX(0,(I53-H53)*24),0),0)))</f>
        <v>0</v>
      </c>
      <c r="P53" s="14" t="n">
        <f aca="false">IF(NOT(U53),0,IF(K53="Sick Leave",W53,IF(K53="Partial Sick Leave",IF(AND(ISNUMBER(H53),ISNUMBER(I53)),MAX(0,(I53-H53)*24),0),0)))</f>
        <v>0</v>
      </c>
      <c r="Q53" s="14" t="n">
        <f aca="false">IF(NOT(U53),0,IF(K53="Vacation",IF(C53="Eve",Settings!$B$11,1),IF(K53="Partial Vacation",O53/Settings!$B$9,0)))</f>
        <v>0</v>
      </c>
      <c r="R53" s="14" t="n">
        <f aca="false">IF(NOT(U53),0,IF(K53="Sick Leave",1,IF(K53="Partial Sick Leave",P53/Settings!$B$9,0)))</f>
        <v>0</v>
      </c>
      <c r="S53" s="35" t="str">
        <f aca="false">IF(AND(OR(E53="Vacation",E53="Sick Leave",E53="Partial Vacation",E53="Partial Sick Leave"),NOT(U53)),"Leave not allowed on this day",IF(AND(E53="Manual Work",OR(NOT(ISNUMBER(F53)),NOT(ISNUMBER(G53)))),"Enter start and end",IF(AND(OR(E53="Partial Vacation",E53="Partial Sick Leave"),OR(NOT(ISNUMBER(H53)),NOT(ISNUMBER(I53)))),"Enter leave from and to",IF(AND(ISNUMBER(F53),ISNUMBER(G53),G53&lt;=F53),"End is before start",IF(AND(ISNUMBER(H53),ISNUMBER(I53),I53&lt;=H53),"Leave end is before start",IF(AND(ISNUMBER(F53),ISNUMBER(G53),ISNUMBER(H53),ISNUMBER(I53),F53&lt;I53,H53&lt;G53),"Work and leave hours overlap",IF(AND(E53&lt;&gt;"",WEEKDAY(A53)=7),"Saturday - administrator only","")))))))</f>
        <v/>
      </c>
      <c r="T53" s="36" t="n">
        <f aca="false">MONTH(A53)</f>
        <v>2</v>
      </c>
      <c r="U53" s="37" t="b">
        <f aca="false">OR(C53="Workday",C53="Eve")</f>
        <v>1</v>
      </c>
      <c r="V53" s="34" t="n">
        <f aca="false">IF(C53="Eve",Settings!$B$8,Settings!$B$7)</f>
        <v>0.6875</v>
      </c>
      <c r="W53" s="14" t="n">
        <f aca="false">IF(U53,(V53-Settings!$B$6)*24,0)</f>
        <v>8.5</v>
      </c>
    </row>
    <row r="54" customFormat="false" ht="15" hidden="false" customHeight="false" outlineLevel="0" collapsed="false">
      <c r="A54" s="29" t="n">
        <v>46070</v>
      </c>
      <c r="B54" s="30" t="str">
        <f aca="false">CHOOSE(WEEKDAY(A54),"Sun","Mon","Tue","Wed","Thu","Fri","Sat")</f>
        <v>Tue</v>
      </c>
      <c r="C54" s="30" t="str">
        <f aca="false">IF(IFERROR(INDEX(Holidays!$D$5:$D$60,MATCH(A54,Holidays!$A$5:$A$60,0)),"")="Holiday","Holiday",IF(WEEKDAY(A54)&gt;=6,"Weekend",IF(IFERROR(INDEX(Holidays!$D$5:$D$60,MATCH(A54,Holidays!$A$5:$A$60,0)),"")="Eve","Eve","Workday")))</f>
        <v>Workday</v>
      </c>
      <c r="D54" s="18" t="str">
        <f aca="false">IFERROR(INDEX(Holidays!$C$5:$C$60,MATCH(A54,Holidays!$A$5:$A$60,0)),"")</f>
        <v/>
      </c>
      <c r="E54" s="31"/>
      <c r="F54" s="32"/>
      <c r="G54" s="32"/>
      <c r="H54" s="32"/>
      <c r="I54" s="32"/>
      <c r="J54" s="31"/>
      <c r="K54" s="33" t="str">
        <f aca="false">IF(E54&lt;&gt;"",E54,IF(U54,"Present",IF(C54="Holiday","Holiday","Weekend")))</f>
        <v>Present</v>
      </c>
      <c r="L54" s="34" t="n">
        <f aca="false">IF(OR(K54="Present",K54="Manual Work",K54="Partial Vacation",K54="Partial Sick Leave"),IF(ISNUMBER(F54),F54,IF(AND(K54="Present",U54),Settings!$B$6,"")),"")</f>
        <v>0.333333333333333</v>
      </c>
      <c r="M54" s="34" t="n">
        <f aca="false">IF(OR(K54="Present",K54="Manual Work",K54="Partial Vacation",K54="Partial Sick Leave"),IF(ISNUMBER(G54),G54,IF(AND(K54="Present",U54),V54,"")),"")</f>
        <v>0.6875</v>
      </c>
      <c r="N54" s="14" t="n">
        <f aca="false">IF(AND(ISNUMBER(L54),ISNUMBER(M54)),MAX(0,(M54-L54)*24),0)</f>
        <v>8.5</v>
      </c>
      <c r="O54" s="14" t="n">
        <f aca="false">IF(NOT(U54),0,IF(K54="Vacation",IF(C54="Eve",Settings!$B$9*Settings!$B$11,W54),IF(K54="Partial Vacation",IF(AND(ISNUMBER(H54),ISNUMBER(I54)),MAX(0,(I54-H54)*24),0),0)))</f>
        <v>0</v>
      </c>
      <c r="P54" s="14" t="n">
        <f aca="false">IF(NOT(U54),0,IF(K54="Sick Leave",W54,IF(K54="Partial Sick Leave",IF(AND(ISNUMBER(H54),ISNUMBER(I54)),MAX(0,(I54-H54)*24),0),0)))</f>
        <v>0</v>
      </c>
      <c r="Q54" s="14" t="n">
        <f aca="false">IF(NOT(U54),0,IF(K54="Vacation",IF(C54="Eve",Settings!$B$11,1),IF(K54="Partial Vacation",O54/Settings!$B$9,0)))</f>
        <v>0</v>
      </c>
      <c r="R54" s="14" t="n">
        <f aca="false">IF(NOT(U54),0,IF(K54="Sick Leave",1,IF(K54="Partial Sick Leave",P54/Settings!$B$9,0)))</f>
        <v>0</v>
      </c>
      <c r="S54" s="35" t="str">
        <f aca="false">IF(AND(OR(E54="Vacation",E54="Sick Leave",E54="Partial Vacation",E54="Partial Sick Leave"),NOT(U54)),"Leave not allowed on this day",IF(AND(E54="Manual Work",OR(NOT(ISNUMBER(F54)),NOT(ISNUMBER(G54)))),"Enter start and end",IF(AND(OR(E54="Partial Vacation",E54="Partial Sick Leave"),OR(NOT(ISNUMBER(H54)),NOT(ISNUMBER(I54)))),"Enter leave from and to",IF(AND(ISNUMBER(F54),ISNUMBER(G54),G54&lt;=F54),"End is before start",IF(AND(ISNUMBER(H54),ISNUMBER(I54),I54&lt;=H54),"Leave end is before start",IF(AND(ISNUMBER(F54),ISNUMBER(G54),ISNUMBER(H54),ISNUMBER(I54),F54&lt;I54,H54&lt;G54),"Work and leave hours overlap",IF(AND(E54&lt;&gt;"",WEEKDAY(A54)=7),"Saturday - administrator only","")))))))</f>
        <v/>
      </c>
      <c r="T54" s="36" t="n">
        <f aca="false">MONTH(A54)</f>
        <v>2</v>
      </c>
      <c r="U54" s="37" t="b">
        <f aca="false">OR(C54="Workday",C54="Eve")</f>
        <v>1</v>
      </c>
      <c r="V54" s="34" t="n">
        <f aca="false">IF(C54="Eve",Settings!$B$8,Settings!$B$7)</f>
        <v>0.6875</v>
      </c>
      <c r="W54" s="14" t="n">
        <f aca="false">IF(U54,(V54-Settings!$B$6)*24,0)</f>
        <v>8.5</v>
      </c>
    </row>
    <row r="55" customFormat="false" ht="15" hidden="false" customHeight="false" outlineLevel="0" collapsed="false">
      <c r="A55" s="29" t="n">
        <v>46071</v>
      </c>
      <c r="B55" s="30" t="str">
        <f aca="false">CHOOSE(WEEKDAY(A55),"Sun","Mon","Tue","Wed","Thu","Fri","Sat")</f>
        <v>Wed</v>
      </c>
      <c r="C55" s="30" t="str">
        <f aca="false">IF(IFERROR(INDEX(Holidays!$D$5:$D$60,MATCH(A55,Holidays!$A$5:$A$60,0)),"")="Holiday","Holiday",IF(WEEKDAY(A55)&gt;=6,"Weekend",IF(IFERROR(INDEX(Holidays!$D$5:$D$60,MATCH(A55,Holidays!$A$5:$A$60,0)),"")="Eve","Eve","Workday")))</f>
        <v>Workday</v>
      </c>
      <c r="D55" s="18" t="str">
        <f aca="false">IFERROR(INDEX(Holidays!$C$5:$C$60,MATCH(A55,Holidays!$A$5:$A$60,0)),"")</f>
        <v/>
      </c>
      <c r="E55" s="31"/>
      <c r="F55" s="32"/>
      <c r="G55" s="32"/>
      <c r="H55" s="32"/>
      <c r="I55" s="32"/>
      <c r="J55" s="31"/>
      <c r="K55" s="33" t="str">
        <f aca="false">IF(E55&lt;&gt;"",E55,IF(U55,"Present",IF(C55="Holiday","Holiday","Weekend")))</f>
        <v>Present</v>
      </c>
      <c r="L55" s="34" t="n">
        <f aca="false">IF(OR(K55="Present",K55="Manual Work",K55="Partial Vacation",K55="Partial Sick Leave"),IF(ISNUMBER(F55),F55,IF(AND(K55="Present",U55),Settings!$B$6,"")),"")</f>
        <v>0.333333333333333</v>
      </c>
      <c r="M55" s="34" t="n">
        <f aca="false">IF(OR(K55="Present",K55="Manual Work",K55="Partial Vacation",K55="Partial Sick Leave"),IF(ISNUMBER(G55),G55,IF(AND(K55="Present",U55),V55,"")),"")</f>
        <v>0.6875</v>
      </c>
      <c r="N55" s="14" t="n">
        <f aca="false">IF(AND(ISNUMBER(L55),ISNUMBER(M55)),MAX(0,(M55-L55)*24),0)</f>
        <v>8.5</v>
      </c>
      <c r="O55" s="14" t="n">
        <f aca="false">IF(NOT(U55),0,IF(K55="Vacation",IF(C55="Eve",Settings!$B$9*Settings!$B$11,W55),IF(K55="Partial Vacation",IF(AND(ISNUMBER(H55),ISNUMBER(I55)),MAX(0,(I55-H55)*24),0),0)))</f>
        <v>0</v>
      </c>
      <c r="P55" s="14" t="n">
        <f aca="false">IF(NOT(U55),0,IF(K55="Sick Leave",W55,IF(K55="Partial Sick Leave",IF(AND(ISNUMBER(H55),ISNUMBER(I55)),MAX(0,(I55-H55)*24),0),0)))</f>
        <v>0</v>
      </c>
      <c r="Q55" s="14" t="n">
        <f aca="false">IF(NOT(U55),0,IF(K55="Vacation",IF(C55="Eve",Settings!$B$11,1),IF(K55="Partial Vacation",O55/Settings!$B$9,0)))</f>
        <v>0</v>
      </c>
      <c r="R55" s="14" t="n">
        <f aca="false">IF(NOT(U55),0,IF(K55="Sick Leave",1,IF(K55="Partial Sick Leave",P55/Settings!$B$9,0)))</f>
        <v>0</v>
      </c>
      <c r="S55" s="35" t="str">
        <f aca="false">IF(AND(OR(E55="Vacation",E55="Sick Leave",E55="Partial Vacation",E55="Partial Sick Leave"),NOT(U55)),"Leave not allowed on this day",IF(AND(E55="Manual Work",OR(NOT(ISNUMBER(F55)),NOT(ISNUMBER(G55)))),"Enter start and end",IF(AND(OR(E55="Partial Vacation",E55="Partial Sick Leave"),OR(NOT(ISNUMBER(H55)),NOT(ISNUMBER(I55)))),"Enter leave from and to",IF(AND(ISNUMBER(F55),ISNUMBER(G55),G55&lt;=F55),"End is before start",IF(AND(ISNUMBER(H55),ISNUMBER(I55),I55&lt;=H55),"Leave end is before start",IF(AND(ISNUMBER(F55),ISNUMBER(G55),ISNUMBER(H55),ISNUMBER(I55),F55&lt;I55,H55&lt;G55),"Work and leave hours overlap",IF(AND(E55&lt;&gt;"",WEEKDAY(A55)=7),"Saturday - administrator only","")))))))</f>
        <v/>
      </c>
      <c r="T55" s="36" t="n">
        <f aca="false">MONTH(A55)</f>
        <v>2</v>
      </c>
      <c r="U55" s="37" t="b">
        <f aca="false">OR(C55="Workday",C55="Eve")</f>
        <v>1</v>
      </c>
      <c r="V55" s="34" t="n">
        <f aca="false">IF(C55="Eve",Settings!$B$8,Settings!$B$7)</f>
        <v>0.6875</v>
      </c>
      <c r="W55" s="14" t="n">
        <f aca="false">IF(U55,(V55-Settings!$B$6)*24,0)</f>
        <v>8.5</v>
      </c>
    </row>
    <row r="56" customFormat="false" ht="15" hidden="false" customHeight="false" outlineLevel="0" collapsed="false">
      <c r="A56" s="29" t="n">
        <v>46072</v>
      </c>
      <c r="B56" s="30" t="str">
        <f aca="false">CHOOSE(WEEKDAY(A56),"Sun","Mon","Tue","Wed","Thu","Fri","Sat")</f>
        <v>Thu</v>
      </c>
      <c r="C56" s="30" t="str">
        <f aca="false">IF(IFERROR(INDEX(Holidays!$D$5:$D$60,MATCH(A56,Holidays!$A$5:$A$60,0)),"")="Holiday","Holiday",IF(WEEKDAY(A56)&gt;=6,"Weekend",IF(IFERROR(INDEX(Holidays!$D$5:$D$60,MATCH(A56,Holidays!$A$5:$A$60,0)),"")="Eve","Eve","Workday")))</f>
        <v>Workday</v>
      </c>
      <c r="D56" s="18" t="str">
        <f aca="false">IFERROR(INDEX(Holidays!$C$5:$C$60,MATCH(A56,Holidays!$A$5:$A$60,0)),"")</f>
        <v/>
      </c>
      <c r="E56" s="31"/>
      <c r="F56" s="32"/>
      <c r="G56" s="32"/>
      <c r="H56" s="32"/>
      <c r="I56" s="32"/>
      <c r="J56" s="31"/>
      <c r="K56" s="33" t="str">
        <f aca="false">IF(E56&lt;&gt;"",E56,IF(U56,"Present",IF(C56="Holiday","Holiday","Weekend")))</f>
        <v>Present</v>
      </c>
      <c r="L56" s="34" t="n">
        <f aca="false">IF(OR(K56="Present",K56="Manual Work",K56="Partial Vacation",K56="Partial Sick Leave"),IF(ISNUMBER(F56),F56,IF(AND(K56="Present",U56),Settings!$B$6,"")),"")</f>
        <v>0.333333333333333</v>
      </c>
      <c r="M56" s="34" t="n">
        <f aca="false">IF(OR(K56="Present",K56="Manual Work",K56="Partial Vacation",K56="Partial Sick Leave"),IF(ISNUMBER(G56),G56,IF(AND(K56="Present",U56),V56,"")),"")</f>
        <v>0.6875</v>
      </c>
      <c r="N56" s="14" t="n">
        <f aca="false">IF(AND(ISNUMBER(L56),ISNUMBER(M56)),MAX(0,(M56-L56)*24),0)</f>
        <v>8.5</v>
      </c>
      <c r="O56" s="14" t="n">
        <f aca="false">IF(NOT(U56),0,IF(K56="Vacation",IF(C56="Eve",Settings!$B$9*Settings!$B$11,W56),IF(K56="Partial Vacation",IF(AND(ISNUMBER(H56),ISNUMBER(I56)),MAX(0,(I56-H56)*24),0),0)))</f>
        <v>0</v>
      </c>
      <c r="P56" s="14" t="n">
        <f aca="false">IF(NOT(U56),0,IF(K56="Sick Leave",W56,IF(K56="Partial Sick Leave",IF(AND(ISNUMBER(H56),ISNUMBER(I56)),MAX(0,(I56-H56)*24),0),0)))</f>
        <v>0</v>
      </c>
      <c r="Q56" s="14" t="n">
        <f aca="false">IF(NOT(U56),0,IF(K56="Vacation",IF(C56="Eve",Settings!$B$11,1),IF(K56="Partial Vacation",O56/Settings!$B$9,0)))</f>
        <v>0</v>
      </c>
      <c r="R56" s="14" t="n">
        <f aca="false">IF(NOT(U56),0,IF(K56="Sick Leave",1,IF(K56="Partial Sick Leave",P56/Settings!$B$9,0)))</f>
        <v>0</v>
      </c>
      <c r="S56" s="35" t="str">
        <f aca="false">IF(AND(OR(E56="Vacation",E56="Sick Leave",E56="Partial Vacation",E56="Partial Sick Leave"),NOT(U56)),"Leave not allowed on this day",IF(AND(E56="Manual Work",OR(NOT(ISNUMBER(F56)),NOT(ISNUMBER(G56)))),"Enter start and end",IF(AND(OR(E56="Partial Vacation",E56="Partial Sick Leave"),OR(NOT(ISNUMBER(H56)),NOT(ISNUMBER(I56)))),"Enter leave from and to",IF(AND(ISNUMBER(F56),ISNUMBER(G56),G56&lt;=F56),"End is before start",IF(AND(ISNUMBER(H56),ISNUMBER(I56),I56&lt;=H56),"Leave end is before start",IF(AND(ISNUMBER(F56),ISNUMBER(G56),ISNUMBER(H56),ISNUMBER(I56),F56&lt;I56,H56&lt;G56),"Work and leave hours overlap",IF(AND(E56&lt;&gt;"",WEEKDAY(A56)=7),"Saturday - administrator only","")))))))</f>
        <v/>
      </c>
      <c r="T56" s="36" t="n">
        <f aca="false">MONTH(A56)</f>
        <v>2</v>
      </c>
      <c r="U56" s="37" t="b">
        <f aca="false">OR(C56="Workday",C56="Eve")</f>
        <v>1</v>
      </c>
      <c r="V56" s="34" t="n">
        <f aca="false">IF(C56="Eve",Settings!$B$8,Settings!$B$7)</f>
        <v>0.6875</v>
      </c>
      <c r="W56" s="14" t="n">
        <f aca="false">IF(U56,(V56-Settings!$B$6)*24,0)</f>
        <v>8.5</v>
      </c>
    </row>
    <row r="57" customFormat="false" ht="15" hidden="false" customHeight="false" outlineLevel="0" collapsed="false">
      <c r="A57" s="29" t="n">
        <v>46073</v>
      </c>
      <c r="B57" s="30" t="str">
        <f aca="false">CHOOSE(WEEKDAY(A57),"Sun","Mon","Tue","Wed","Thu","Fri","Sat")</f>
        <v>Fri</v>
      </c>
      <c r="C57" s="30" t="str">
        <f aca="false">IF(IFERROR(INDEX(Holidays!$D$5:$D$60,MATCH(A57,Holidays!$A$5:$A$60,0)),"")="Holiday","Holiday",IF(WEEKDAY(A57)&gt;=6,"Weekend",IF(IFERROR(INDEX(Holidays!$D$5:$D$60,MATCH(A57,Holidays!$A$5:$A$60,0)),"")="Eve","Eve","Workday")))</f>
        <v>Weekend</v>
      </c>
      <c r="D57" s="18" t="str">
        <f aca="false">IFERROR(INDEX(Holidays!$C$5:$C$60,MATCH(A57,Holidays!$A$5:$A$60,0)),"")</f>
        <v/>
      </c>
      <c r="E57" s="31"/>
      <c r="F57" s="32"/>
      <c r="G57" s="32"/>
      <c r="H57" s="32"/>
      <c r="I57" s="32"/>
      <c r="J57" s="31"/>
      <c r="K57" s="33" t="str">
        <f aca="false">IF(E57&lt;&gt;"",E57,IF(U57,"Present",IF(C57="Holiday","Holiday","Weekend")))</f>
        <v>Weekend</v>
      </c>
      <c r="L57" s="34" t="str">
        <f aca="false">IF(OR(K57="Present",K57="Manual Work",K57="Partial Vacation",K57="Partial Sick Leave"),IF(ISNUMBER(F57),F57,IF(AND(K57="Present",U57),Settings!$B$6,"")),"")</f>
        <v/>
      </c>
      <c r="M57" s="34" t="str">
        <f aca="false">IF(OR(K57="Present",K57="Manual Work",K57="Partial Vacation",K57="Partial Sick Leave"),IF(ISNUMBER(G57),G57,IF(AND(K57="Present",U57),V57,"")),"")</f>
        <v/>
      </c>
      <c r="N57" s="14" t="n">
        <f aca="false">IF(AND(ISNUMBER(L57),ISNUMBER(M57)),MAX(0,(M57-L57)*24),0)</f>
        <v>0</v>
      </c>
      <c r="O57" s="14" t="n">
        <f aca="false">IF(NOT(U57),0,IF(K57="Vacation",IF(C57="Eve",Settings!$B$9*Settings!$B$11,W57),IF(K57="Partial Vacation",IF(AND(ISNUMBER(H57),ISNUMBER(I57)),MAX(0,(I57-H57)*24),0),0)))</f>
        <v>0</v>
      </c>
      <c r="P57" s="14" t="n">
        <f aca="false">IF(NOT(U57),0,IF(K57="Sick Leave",W57,IF(K57="Partial Sick Leave",IF(AND(ISNUMBER(H57),ISNUMBER(I57)),MAX(0,(I57-H57)*24),0),0)))</f>
        <v>0</v>
      </c>
      <c r="Q57" s="14" t="n">
        <f aca="false">IF(NOT(U57),0,IF(K57="Vacation",IF(C57="Eve",Settings!$B$11,1),IF(K57="Partial Vacation",O57/Settings!$B$9,0)))</f>
        <v>0</v>
      </c>
      <c r="R57" s="14" t="n">
        <f aca="false">IF(NOT(U57),0,IF(K57="Sick Leave",1,IF(K57="Partial Sick Leave",P57/Settings!$B$9,0)))</f>
        <v>0</v>
      </c>
      <c r="S57" s="35" t="str">
        <f aca="false">IF(AND(OR(E57="Vacation",E57="Sick Leave",E57="Partial Vacation",E57="Partial Sick Leave"),NOT(U57)),"Leave not allowed on this day",IF(AND(E57="Manual Work",OR(NOT(ISNUMBER(F57)),NOT(ISNUMBER(G57)))),"Enter start and end",IF(AND(OR(E57="Partial Vacation",E57="Partial Sick Leave"),OR(NOT(ISNUMBER(H57)),NOT(ISNUMBER(I57)))),"Enter leave from and to",IF(AND(ISNUMBER(F57),ISNUMBER(G57),G57&lt;=F57),"End is before start",IF(AND(ISNUMBER(H57),ISNUMBER(I57),I57&lt;=H57),"Leave end is before start",IF(AND(ISNUMBER(F57),ISNUMBER(G57),ISNUMBER(H57),ISNUMBER(I57),F57&lt;I57,H57&lt;G57),"Work and leave hours overlap",IF(AND(E57&lt;&gt;"",WEEKDAY(A57)=7),"Saturday - administrator only","")))))))</f>
        <v/>
      </c>
      <c r="T57" s="36" t="n">
        <f aca="false">MONTH(A57)</f>
        <v>2</v>
      </c>
      <c r="U57" s="37" t="b">
        <f aca="false">OR(C57="Workday",C57="Eve")</f>
        <v>0</v>
      </c>
      <c r="V57" s="34" t="n">
        <f aca="false">IF(C57="Eve",Settings!$B$8,Settings!$B$7)</f>
        <v>0.6875</v>
      </c>
      <c r="W57" s="14" t="n">
        <f aca="false">IF(U57,(V57-Settings!$B$6)*24,0)</f>
        <v>0</v>
      </c>
    </row>
    <row r="58" customFormat="false" ht="15" hidden="false" customHeight="false" outlineLevel="0" collapsed="false">
      <c r="A58" s="29" t="n">
        <v>46074</v>
      </c>
      <c r="B58" s="30" t="str">
        <f aca="false">CHOOSE(WEEKDAY(A58),"Sun","Mon","Tue","Wed","Thu","Fri","Sat")</f>
        <v>Sat</v>
      </c>
      <c r="C58" s="30" t="str">
        <f aca="false">IF(IFERROR(INDEX(Holidays!$D$5:$D$60,MATCH(A58,Holidays!$A$5:$A$60,0)),"")="Holiday","Holiday",IF(WEEKDAY(A58)&gt;=6,"Weekend",IF(IFERROR(INDEX(Holidays!$D$5:$D$60,MATCH(A58,Holidays!$A$5:$A$60,0)),"")="Eve","Eve","Workday")))</f>
        <v>Weekend</v>
      </c>
      <c r="D58" s="18" t="str">
        <f aca="false">IFERROR(INDEX(Holidays!$C$5:$C$60,MATCH(A58,Holidays!$A$5:$A$60,0)),"")</f>
        <v/>
      </c>
      <c r="E58" s="31"/>
      <c r="F58" s="32"/>
      <c r="G58" s="32"/>
      <c r="H58" s="32"/>
      <c r="I58" s="32"/>
      <c r="J58" s="31"/>
      <c r="K58" s="33" t="str">
        <f aca="false">IF(E58&lt;&gt;"",E58,IF(U58,"Present",IF(C58="Holiday","Holiday","Weekend")))</f>
        <v>Weekend</v>
      </c>
      <c r="L58" s="34" t="str">
        <f aca="false">IF(OR(K58="Present",K58="Manual Work",K58="Partial Vacation",K58="Partial Sick Leave"),IF(ISNUMBER(F58),F58,IF(AND(K58="Present",U58),Settings!$B$6,"")),"")</f>
        <v/>
      </c>
      <c r="M58" s="34" t="str">
        <f aca="false">IF(OR(K58="Present",K58="Manual Work",K58="Partial Vacation",K58="Partial Sick Leave"),IF(ISNUMBER(G58),G58,IF(AND(K58="Present",U58),V58,"")),"")</f>
        <v/>
      </c>
      <c r="N58" s="14" t="n">
        <f aca="false">IF(AND(ISNUMBER(L58),ISNUMBER(M58)),MAX(0,(M58-L58)*24),0)</f>
        <v>0</v>
      </c>
      <c r="O58" s="14" t="n">
        <f aca="false">IF(NOT(U58),0,IF(K58="Vacation",IF(C58="Eve",Settings!$B$9*Settings!$B$11,W58),IF(K58="Partial Vacation",IF(AND(ISNUMBER(H58),ISNUMBER(I58)),MAX(0,(I58-H58)*24),0),0)))</f>
        <v>0</v>
      </c>
      <c r="P58" s="14" t="n">
        <f aca="false">IF(NOT(U58),0,IF(K58="Sick Leave",W58,IF(K58="Partial Sick Leave",IF(AND(ISNUMBER(H58),ISNUMBER(I58)),MAX(0,(I58-H58)*24),0),0)))</f>
        <v>0</v>
      </c>
      <c r="Q58" s="14" t="n">
        <f aca="false">IF(NOT(U58),0,IF(K58="Vacation",IF(C58="Eve",Settings!$B$11,1),IF(K58="Partial Vacation",O58/Settings!$B$9,0)))</f>
        <v>0</v>
      </c>
      <c r="R58" s="14" t="n">
        <f aca="false">IF(NOT(U58),0,IF(K58="Sick Leave",1,IF(K58="Partial Sick Leave",P58/Settings!$B$9,0)))</f>
        <v>0</v>
      </c>
      <c r="S58" s="35" t="str">
        <f aca="false">IF(AND(OR(E58="Vacation",E58="Sick Leave",E58="Partial Vacation",E58="Partial Sick Leave"),NOT(U58)),"Leave not allowed on this day",IF(AND(E58="Manual Work",OR(NOT(ISNUMBER(F58)),NOT(ISNUMBER(G58)))),"Enter start and end",IF(AND(OR(E58="Partial Vacation",E58="Partial Sick Leave"),OR(NOT(ISNUMBER(H58)),NOT(ISNUMBER(I58)))),"Enter leave from and to",IF(AND(ISNUMBER(F58),ISNUMBER(G58),G58&lt;=F58),"End is before start",IF(AND(ISNUMBER(H58),ISNUMBER(I58),I58&lt;=H58),"Leave end is before start",IF(AND(ISNUMBER(F58),ISNUMBER(G58),ISNUMBER(H58),ISNUMBER(I58),F58&lt;I58,H58&lt;G58),"Work and leave hours overlap",IF(AND(E58&lt;&gt;"",WEEKDAY(A58)=7),"Saturday - administrator only","")))))))</f>
        <v/>
      </c>
      <c r="T58" s="36" t="n">
        <f aca="false">MONTH(A58)</f>
        <v>2</v>
      </c>
      <c r="U58" s="37" t="b">
        <f aca="false">OR(C58="Workday",C58="Eve")</f>
        <v>0</v>
      </c>
      <c r="V58" s="34" t="n">
        <f aca="false">IF(C58="Eve",Settings!$B$8,Settings!$B$7)</f>
        <v>0.6875</v>
      </c>
      <c r="W58" s="14" t="n">
        <f aca="false">IF(U58,(V58-Settings!$B$6)*24,0)</f>
        <v>0</v>
      </c>
    </row>
    <row r="59" customFormat="false" ht="15" hidden="false" customHeight="false" outlineLevel="0" collapsed="false">
      <c r="A59" s="29" t="n">
        <v>46075</v>
      </c>
      <c r="B59" s="30" t="str">
        <f aca="false">CHOOSE(WEEKDAY(A59),"Sun","Mon","Tue","Wed","Thu","Fri","Sat")</f>
        <v>Sun</v>
      </c>
      <c r="C59" s="30" t="str">
        <f aca="false">IF(IFERROR(INDEX(Holidays!$D$5:$D$60,MATCH(A59,Holidays!$A$5:$A$60,0)),"")="Holiday","Holiday",IF(WEEKDAY(A59)&gt;=6,"Weekend",IF(IFERROR(INDEX(Holidays!$D$5:$D$60,MATCH(A59,Holidays!$A$5:$A$60,0)),"")="Eve","Eve","Workday")))</f>
        <v>Workday</v>
      </c>
      <c r="D59" s="18" t="str">
        <f aca="false">IFERROR(INDEX(Holidays!$C$5:$C$60,MATCH(A59,Holidays!$A$5:$A$60,0)),"")</f>
        <v/>
      </c>
      <c r="E59" s="31"/>
      <c r="F59" s="32"/>
      <c r="G59" s="32"/>
      <c r="H59" s="32"/>
      <c r="I59" s="32"/>
      <c r="J59" s="31"/>
      <c r="K59" s="33" t="str">
        <f aca="false">IF(E59&lt;&gt;"",E59,IF(U59,"Present",IF(C59="Holiday","Holiday","Weekend")))</f>
        <v>Present</v>
      </c>
      <c r="L59" s="34" t="n">
        <f aca="false">IF(OR(K59="Present",K59="Manual Work",K59="Partial Vacation",K59="Partial Sick Leave"),IF(ISNUMBER(F59),F59,IF(AND(K59="Present",U59),Settings!$B$6,"")),"")</f>
        <v>0.333333333333333</v>
      </c>
      <c r="M59" s="34" t="n">
        <f aca="false">IF(OR(K59="Present",K59="Manual Work",K59="Partial Vacation",K59="Partial Sick Leave"),IF(ISNUMBER(G59),G59,IF(AND(K59="Present",U59),V59,"")),"")</f>
        <v>0.6875</v>
      </c>
      <c r="N59" s="14" t="n">
        <f aca="false">IF(AND(ISNUMBER(L59),ISNUMBER(M59)),MAX(0,(M59-L59)*24),0)</f>
        <v>8.5</v>
      </c>
      <c r="O59" s="14" t="n">
        <f aca="false">IF(NOT(U59),0,IF(K59="Vacation",IF(C59="Eve",Settings!$B$9*Settings!$B$11,W59),IF(K59="Partial Vacation",IF(AND(ISNUMBER(H59),ISNUMBER(I59)),MAX(0,(I59-H59)*24),0),0)))</f>
        <v>0</v>
      </c>
      <c r="P59" s="14" t="n">
        <f aca="false">IF(NOT(U59),0,IF(K59="Sick Leave",W59,IF(K59="Partial Sick Leave",IF(AND(ISNUMBER(H59),ISNUMBER(I59)),MAX(0,(I59-H59)*24),0),0)))</f>
        <v>0</v>
      </c>
      <c r="Q59" s="14" t="n">
        <f aca="false">IF(NOT(U59),0,IF(K59="Vacation",IF(C59="Eve",Settings!$B$11,1),IF(K59="Partial Vacation",O59/Settings!$B$9,0)))</f>
        <v>0</v>
      </c>
      <c r="R59" s="14" t="n">
        <f aca="false">IF(NOT(U59),0,IF(K59="Sick Leave",1,IF(K59="Partial Sick Leave",P59/Settings!$B$9,0)))</f>
        <v>0</v>
      </c>
      <c r="S59" s="35" t="str">
        <f aca="false">IF(AND(OR(E59="Vacation",E59="Sick Leave",E59="Partial Vacation",E59="Partial Sick Leave"),NOT(U59)),"Leave not allowed on this day",IF(AND(E59="Manual Work",OR(NOT(ISNUMBER(F59)),NOT(ISNUMBER(G59)))),"Enter start and end",IF(AND(OR(E59="Partial Vacation",E59="Partial Sick Leave"),OR(NOT(ISNUMBER(H59)),NOT(ISNUMBER(I59)))),"Enter leave from and to",IF(AND(ISNUMBER(F59),ISNUMBER(G59),G59&lt;=F59),"End is before start",IF(AND(ISNUMBER(H59),ISNUMBER(I59),I59&lt;=H59),"Leave end is before start",IF(AND(ISNUMBER(F59),ISNUMBER(G59),ISNUMBER(H59),ISNUMBER(I59),F59&lt;I59,H59&lt;G59),"Work and leave hours overlap",IF(AND(E59&lt;&gt;"",WEEKDAY(A59)=7),"Saturday - administrator only","")))))))</f>
        <v/>
      </c>
      <c r="T59" s="36" t="n">
        <f aca="false">MONTH(A59)</f>
        <v>2</v>
      </c>
      <c r="U59" s="37" t="b">
        <f aca="false">OR(C59="Workday",C59="Eve")</f>
        <v>1</v>
      </c>
      <c r="V59" s="34" t="n">
        <f aca="false">IF(C59="Eve",Settings!$B$8,Settings!$B$7)</f>
        <v>0.6875</v>
      </c>
      <c r="W59" s="14" t="n">
        <f aca="false">IF(U59,(V59-Settings!$B$6)*24,0)</f>
        <v>8.5</v>
      </c>
    </row>
    <row r="60" customFormat="false" ht="15" hidden="false" customHeight="false" outlineLevel="0" collapsed="false">
      <c r="A60" s="29" t="n">
        <v>46076</v>
      </c>
      <c r="B60" s="30" t="str">
        <f aca="false">CHOOSE(WEEKDAY(A60),"Sun","Mon","Tue","Wed","Thu","Fri","Sat")</f>
        <v>Mon</v>
      </c>
      <c r="C60" s="30" t="str">
        <f aca="false">IF(IFERROR(INDEX(Holidays!$D$5:$D$60,MATCH(A60,Holidays!$A$5:$A$60,0)),"")="Holiday","Holiday",IF(WEEKDAY(A60)&gt;=6,"Weekend",IF(IFERROR(INDEX(Holidays!$D$5:$D$60,MATCH(A60,Holidays!$A$5:$A$60,0)),"")="Eve","Eve","Workday")))</f>
        <v>Workday</v>
      </c>
      <c r="D60" s="18" t="str">
        <f aca="false">IFERROR(INDEX(Holidays!$C$5:$C$60,MATCH(A60,Holidays!$A$5:$A$60,0)),"")</f>
        <v/>
      </c>
      <c r="E60" s="31"/>
      <c r="F60" s="32"/>
      <c r="G60" s="32"/>
      <c r="H60" s="32"/>
      <c r="I60" s="32"/>
      <c r="J60" s="31"/>
      <c r="K60" s="33" t="str">
        <f aca="false">IF(E60&lt;&gt;"",E60,IF(U60,"Present",IF(C60="Holiday","Holiday","Weekend")))</f>
        <v>Present</v>
      </c>
      <c r="L60" s="34" t="n">
        <f aca="false">IF(OR(K60="Present",K60="Manual Work",K60="Partial Vacation",K60="Partial Sick Leave"),IF(ISNUMBER(F60),F60,IF(AND(K60="Present",U60),Settings!$B$6,"")),"")</f>
        <v>0.333333333333333</v>
      </c>
      <c r="M60" s="34" t="n">
        <f aca="false">IF(OR(K60="Present",K60="Manual Work",K60="Partial Vacation",K60="Partial Sick Leave"),IF(ISNUMBER(G60),G60,IF(AND(K60="Present",U60),V60,"")),"")</f>
        <v>0.6875</v>
      </c>
      <c r="N60" s="14" t="n">
        <f aca="false">IF(AND(ISNUMBER(L60),ISNUMBER(M60)),MAX(0,(M60-L60)*24),0)</f>
        <v>8.5</v>
      </c>
      <c r="O60" s="14" t="n">
        <f aca="false">IF(NOT(U60),0,IF(K60="Vacation",IF(C60="Eve",Settings!$B$9*Settings!$B$11,W60),IF(K60="Partial Vacation",IF(AND(ISNUMBER(H60),ISNUMBER(I60)),MAX(0,(I60-H60)*24),0),0)))</f>
        <v>0</v>
      </c>
      <c r="P60" s="14" t="n">
        <f aca="false">IF(NOT(U60),0,IF(K60="Sick Leave",W60,IF(K60="Partial Sick Leave",IF(AND(ISNUMBER(H60),ISNUMBER(I60)),MAX(0,(I60-H60)*24),0),0)))</f>
        <v>0</v>
      </c>
      <c r="Q60" s="14" t="n">
        <f aca="false">IF(NOT(U60),0,IF(K60="Vacation",IF(C60="Eve",Settings!$B$11,1),IF(K60="Partial Vacation",O60/Settings!$B$9,0)))</f>
        <v>0</v>
      </c>
      <c r="R60" s="14" t="n">
        <f aca="false">IF(NOT(U60),0,IF(K60="Sick Leave",1,IF(K60="Partial Sick Leave",P60/Settings!$B$9,0)))</f>
        <v>0</v>
      </c>
      <c r="S60" s="35" t="str">
        <f aca="false">IF(AND(OR(E60="Vacation",E60="Sick Leave",E60="Partial Vacation",E60="Partial Sick Leave"),NOT(U60)),"Leave not allowed on this day",IF(AND(E60="Manual Work",OR(NOT(ISNUMBER(F60)),NOT(ISNUMBER(G60)))),"Enter start and end",IF(AND(OR(E60="Partial Vacation",E60="Partial Sick Leave"),OR(NOT(ISNUMBER(H60)),NOT(ISNUMBER(I60)))),"Enter leave from and to",IF(AND(ISNUMBER(F60),ISNUMBER(G60),G60&lt;=F60),"End is before start",IF(AND(ISNUMBER(H60),ISNUMBER(I60),I60&lt;=H60),"Leave end is before start",IF(AND(ISNUMBER(F60),ISNUMBER(G60),ISNUMBER(H60),ISNUMBER(I60),F60&lt;I60,H60&lt;G60),"Work and leave hours overlap",IF(AND(E60&lt;&gt;"",WEEKDAY(A60)=7),"Saturday - administrator only","")))))))</f>
        <v/>
      </c>
      <c r="T60" s="36" t="n">
        <f aca="false">MONTH(A60)</f>
        <v>2</v>
      </c>
      <c r="U60" s="37" t="b">
        <f aca="false">OR(C60="Workday",C60="Eve")</f>
        <v>1</v>
      </c>
      <c r="V60" s="34" t="n">
        <f aca="false">IF(C60="Eve",Settings!$B$8,Settings!$B$7)</f>
        <v>0.6875</v>
      </c>
      <c r="W60" s="14" t="n">
        <f aca="false">IF(U60,(V60-Settings!$B$6)*24,0)</f>
        <v>8.5</v>
      </c>
    </row>
    <row r="61" customFormat="false" ht="15" hidden="false" customHeight="false" outlineLevel="0" collapsed="false">
      <c r="A61" s="29" t="n">
        <v>46077</v>
      </c>
      <c r="B61" s="30" t="str">
        <f aca="false">CHOOSE(WEEKDAY(A61),"Sun","Mon","Tue","Wed","Thu","Fri","Sat")</f>
        <v>Tue</v>
      </c>
      <c r="C61" s="30" t="str">
        <f aca="false">IF(IFERROR(INDEX(Holidays!$D$5:$D$60,MATCH(A61,Holidays!$A$5:$A$60,0)),"")="Holiday","Holiday",IF(WEEKDAY(A61)&gt;=6,"Weekend",IF(IFERROR(INDEX(Holidays!$D$5:$D$60,MATCH(A61,Holidays!$A$5:$A$60,0)),"")="Eve","Eve","Workday")))</f>
        <v>Workday</v>
      </c>
      <c r="D61" s="18" t="str">
        <f aca="false">IFERROR(INDEX(Holidays!$C$5:$C$60,MATCH(A61,Holidays!$A$5:$A$60,0)),"")</f>
        <v/>
      </c>
      <c r="E61" s="31"/>
      <c r="F61" s="32"/>
      <c r="G61" s="32"/>
      <c r="H61" s="32"/>
      <c r="I61" s="32"/>
      <c r="J61" s="31"/>
      <c r="K61" s="33" t="str">
        <f aca="false">IF(E61&lt;&gt;"",E61,IF(U61,"Present",IF(C61="Holiday","Holiday","Weekend")))</f>
        <v>Present</v>
      </c>
      <c r="L61" s="34" t="n">
        <f aca="false">IF(OR(K61="Present",K61="Manual Work",K61="Partial Vacation",K61="Partial Sick Leave"),IF(ISNUMBER(F61),F61,IF(AND(K61="Present",U61),Settings!$B$6,"")),"")</f>
        <v>0.333333333333333</v>
      </c>
      <c r="M61" s="34" t="n">
        <f aca="false">IF(OR(K61="Present",K61="Manual Work",K61="Partial Vacation",K61="Partial Sick Leave"),IF(ISNUMBER(G61),G61,IF(AND(K61="Present",U61),V61,"")),"")</f>
        <v>0.6875</v>
      </c>
      <c r="N61" s="14" t="n">
        <f aca="false">IF(AND(ISNUMBER(L61),ISNUMBER(M61)),MAX(0,(M61-L61)*24),0)</f>
        <v>8.5</v>
      </c>
      <c r="O61" s="14" t="n">
        <f aca="false">IF(NOT(U61),0,IF(K61="Vacation",IF(C61="Eve",Settings!$B$9*Settings!$B$11,W61),IF(K61="Partial Vacation",IF(AND(ISNUMBER(H61),ISNUMBER(I61)),MAX(0,(I61-H61)*24),0),0)))</f>
        <v>0</v>
      </c>
      <c r="P61" s="14" t="n">
        <f aca="false">IF(NOT(U61),0,IF(K61="Sick Leave",W61,IF(K61="Partial Sick Leave",IF(AND(ISNUMBER(H61),ISNUMBER(I61)),MAX(0,(I61-H61)*24),0),0)))</f>
        <v>0</v>
      </c>
      <c r="Q61" s="14" t="n">
        <f aca="false">IF(NOT(U61),0,IF(K61="Vacation",IF(C61="Eve",Settings!$B$11,1),IF(K61="Partial Vacation",O61/Settings!$B$9,0)))</f>
        <v>0</v>
      </c>
      <c r="R61" s="14" t="n">
        <f aca="false">IF(NOT(U61),0,IF(K61="Sick Leave",1,IF(K61="Partial Sick Leave",P61/Settings!$B$9,0)))</f>
        <v>0</v>
      </c>
      <c r="S61" s="35" t="str">
        <f aca="false">IF(AND(OR(E61="Vacation",E61="Sick Leave",E61="Partial Vacation",E61="Partial Sick Leave"),NOT(U61)),"Leave not allowed on this day",IF(AND(E61="Manual Work",OR(NOT(ISNUMBER(F61)),NOT(ISNUMBER(G61)))),"Enter start and end",IF(AND(OR(E61="Partial Vacation",E61="Partial Sick Leave"),OR(NOT(ISNUMBER(H61)),NOT(ISNUMBER(I61)))),"Enter leave from and to",IF(AND(ISNUMBER(F61),ISNUMBER(G61),G61&lt;=F61),"End is before start",IF(AND(ISNUMBER(H61),ISNUMBER(I61),I61&lt;=H61),"Leave end is before start",IF(AND(ISNUMBER(F61),ISNUMBER(G61),ISNUMBER(H61),ISNUMBER(I61),F61&lt;I61,H61&lt;G61),"Work and leave hours overlap",IF(AND(E61&lt;&gt;"",WEEKDAY(A61)=7),"Saturday - administrator only","")))))))</f>
        <v/>
      </c>
      <c r="T61" s="36" t="n">
        <f aca="false">MONTH(A61)</f>
        <v>2</v>
      </c>
      <c r="U61" s="37" t="b">
        <f aca="false">OR(C61="Workday",C61="Eve")</f>
        <v>1</v>
      </c>
      <c r="V61" s="34" t="n">
        <f aca="false">IF(C61="Eve",Settings!$B$8,Settings!$B$7)</f>
        <v>0.6875</v>
      </c>
      <c r="W61" s="14" t="n">
        <f aca="false">IF(U61,(V61-Settings!$B$6)*24,0)</f>
        <v>8.5</v>
      </c>
    </row>
    <row r="62" customFormat="false" ht="15" hidden="false" customHeight="false" outlineLevel="0" collapsed="false">
      <c r="A62" s="29" t="n">
        <v>46078</v>
      </c>
      <c r="B62" s="30" t="str">
        <f aca="false">CHOOSE(WEEKDAY(A62),"Sun","Mon","Tue","Wed","Thu","Fri","Sat")</f>
        <v>Wed</v>
      </c>
      <c r="C62" s="30" t="str">
        <f aca="false">IF(IFERROR(INDEX(Holidays!$D$5:$D$60,MATCH(A62,Holidays!$A$5:$A$60,0)),"")="Holiday","Holiday",IF(WEEKDAY(A62)&gt;=6,"Weekend",IF(IFERROR(INDEX(Holidays!$D$5:$D$60,MATCH(A62,Holidays!$A$5:$A$60,0)),"")="Eve","Eve","Workday")))</f>
        <v>Workday</v>
      </c>
      <c r="D62" s="18" t="str">
        <f aca="false">IFERROR(INDEX(Holidays!$C$5:$C$60,MATCH(A62,Holidays!$A$5:$A$60,0)),"")</f>
        <v/>
      </c>
      <c r="E62" s="31"/>
      <c r="F62" s="32"/>
      <c r="G62" s="32"/>
      <c r="H62" s="32"/>
      <c r="I62" s="32"/>
      <c r="J62" s="31"/>
      <c r="K62" s="33" t="str">
        <f aca="false">IF(E62&lt;&gt;"",E62,IF(U62,"Present",IF(C62="Holiday","Holiday","Weekend")))</f>
        <v>Present</v>
      </c>
      <c r="L62" s="34" t="n">
        <f aca="false">IF(OR(K62="Present",K62="Manual Work",K62="Partial Vacation",K62="Partial Sick Leave"),IF(ISNUMBER(F62),F62,IF(AND(K62="Present",U62),Settings!$B$6,"")),"")</f>
        <v>0.333333333333333</v>
      </c>
      <c r="M62" s="34" t="n">
        <f aca="false">IF(OR(K62="Present",K62="Manual Work",K62="Partial Vacation",K62="Partial Sick Leave"),IF(ISNUMBER(G62),G62,IF(AND(K62="Present",U62),V62,"")),"")</f>
        <v>0.6875</v>
      </c>
      <c r="N62" s="14" t="n">
        <f aca="false">IF(AND(ISNUMBER(L62),ISNUMBER(M62)),MAX(0,(M62-L62)*24),0)</f>
        <v>8.5</v>
      </c>
      <c r="O62" s="14" t="n">
        <f aca="false">IF(NOT(U62),0,IF(K62="Vacation",IF(C62="Eve",Settings!$B$9*Settings!$B$11,W62),IF(K62="Partial Vacation",IF(AND(ISNUMBER(H62),ISNUMBER(I62)),MAX(0,(I62-H62)*24),0),0)))</f>
        <v>0</v>
      </c>
      <c r="P62" s="14" t="n">
        <f aca="false">IF(NOT(U62),0,IF(K62="Sick Leave",W62,IF(K62="Partial Sick Leave",IF(AND(ISNUMBER(H62),ISNUMBER(I62)),MAX(0,(I62-H62)*24),0),0)))</f>
        <v>0</v>
      </c>
      <c r="Q62" s="14" t="n">
        <f aca="false">IF(NOT(U62),0,IF(K62="Vacation",IF(C62="Eve",Settings!$B$11,1),IF(K62="Partial Vacation",O62/Settings!$B$9,0)))</f>
        <v>0</v>
      </c>
      <c r="R62" s="14" t="n">
        <f aca="false">IF(NOT(U62),0,IF(K62="Sick Leave",1,IF(K62="Partial Sick Leave",P62/Settings!$B$9,0)))</f>
        <v>0</v>
      </c>
      <c r="S62" s="35" t="str">
        <f aca="false">IF(AND(OR(E62="Vacation",E62="Sick Leave",E62="Partial Vacation",E62="Partial Sick Leave"),NOT(U62)),"Leave not allowed on this day",IF(AND(E62="Manual Work",OR(NOT(ISNUMBER(F62)),NOT(ISNUMBER(G62)))),"Enter start and end",IF(AND(OR(E62="Partial Vacation",E62="Partial Sick Leave"),OR(NOT(ISNUMBER(H62)),NOT(ISNUMBER(I62)))),"Enter leave from and to",IF(AND(ISNUMBER(F62),ISNUMBER(G62),G62&lt;=F62),"End is before start",IF(AND(ISNUMBER(H62),ISNUMBER(I62),I62&lt;=H62),"Leave end is before start",IF(AND(ISNUMBER(F62),ISNUMBER(G62),ISNUMBER(H62),ISNUMBER(I62),F62&lt;I62,H62&lt;G62),"Work and leave hours overlap",IF(AND(E62&lt;&gt;"",WEEKDAY(A62)=7),"Saturday - administrator only","")))))))</f>
        <v/>
      </c>
      <c r="T62" s="36" t="n">
        <f aca="false">MONTH(A62)</f>
        <v>2</v>
      </c>
      <c r="U62" s="37" t="b">
        <f aca="false">OR(C62="Workday",C62="Eve")</f>
        <v>1</v>
      </c>
      <c r="V62" s="34" t="n">
        <f aca="false">IF(C62="Eve",Settings!$B$8,Settings!$B$7)</f>
        <v>0.6875</v>
      </c>
      <c r="W62" s="14" t="n">
        <f aca="false">IF(U62,(V62-Settings!$B$6)*24,0)</f>
        <v>8.5</v>
      </c>
    </row>
    <row r="63" customFormat="false" ht="15" hidden="false" customHeight="false" outlineLevel="0" collapsed="false">
      <c r="A63" s="29" t="n">
        <v>46079</v>
      </c>
      <c r="B63" s="30" t="str">
        <f aca="false">CHOOSE(WEEKDAY(A63),"Sun","Mon","Tue","Wed","Thu","Fri","Sat")</f>
        <v>Thu</v>
      </c>
      <c r="C63" s="30" t="str">
        <f aca="false">IF(IFERROR(INDEX(Holidays!$D$5:$D$60,MATCH(A63,Holidays!$A$5:$A$60,0)),"")="Holiday","Holiday",IF(WEEKDAY(A63)&gt;=6,"Weekend",IF(IFERROR(INDEX(Holidays!$D$5:$D$60,MATCH(A63,Holidays!$A$5:$A$60,0)),"")="Eve","Eve","Workday")))</f>
        <v>Workday</v>
      </c>
      <c r="D63" s="18" t="str">
        <f aca="false">IFERROR(INDEX(Holidays!$C$5:$C$60,MATCH(A63,Holidays!$A$5:$A$60,0)),"")</f>
        <v/>
      </c>
      <c r="E63" s="31"/>
      <c r="F63" s="32"/>
      <c r="G63" s="32"/>
      <c r="H63" s="32"/>
      <c r="I63" s="32"/>
      <c r="J63" s="31"/>
      <c r="K63" s="33" t="str">
        <f aca="false">IF(E63&lt;&gt;"",E63,IF(U63,"Present",IF(C63="Holiday","Holiday","Weekend")))</f>
        <v>Present</v>
      </c>
      <c r="L63" s="34" t="n">
        <f aca="false">IF(OR(K63="Present",K63="Manual Work",K63="Partial Vacation",K63="Partial Sick Leave"),IF(ISNUMBER(F63),F63,IF(AND(K63="Present",U63),Settings!$B$6,"")),"")</f>
        <v>0.333333333333333</v>
      </c>
      <c r="M63" s="34" t="n">
        <f aca="false">IF(OR(K63="Present",K63="Manual Work",K63="Partial Vacation",K63="Partial Sick Leave"),IF(ISNUMBER(G63),G63,IF(AND(K63="Present",U63),V63,"")),"")</f>
        <v>0.6875</v>
      </c>
      <c r="N63" s="14" t="n">
        <f aca="false">IF(AND(ISNUMBER(L63),ISNUMBER(M63)),MAX(0,(M63-L63)*24),0)</f>
        <v>8.5</v>
      </c>
      <c r="O63" s="14" t="n">
        <f aca="false">IF(NOT(U63),0,IF(K63="Vacation",IF(C63="Eve",Settings!$B$9*Settings!$B$11,W63),IF(K63="Partial Vacation",IF(AND(ISNUMBER(H63),ISNUMBER(I63)),MAX(0,(I63-H63)*24),0),0)))</f>
        <v>0</v>
      </c>
      <c r="P63" s="14" t="n">
        <f aca="false">IF(NOT(U63),0,IF(K63="Sick Leave",W63,IF(K63="Partial Sick Leave",IF(AND(ISNUMBER(H63),ISNUMBER(I63)),MAX(0,(I63-H63)*24),0),0)))</f>
        <v>0</v>
      </c>
      <c r="Q63" s="14" t="n">
        <f aca="false">IF(NOT(U63),0,IF(K63="Vacation",IF(C63="Eve",Settings!$B$11,1),IF(K63="Partial Vacation",O63/Settings!$B$9,0)))</f>
        <v>0</v>
      </c>
      <c r="R63" s="14" t="n">
        <f aca="false">IF(NOT(U63),0,IF(K63="Sick Leave",1,IF(K63="Partial Sick Leave",P63/Settings!$B$9,0)))</f>
        <v>0</v>
      </c>
      <c r="S63" s="35" t="str">
        <f aca="false">IF(AND(OR(E63="Vacation",E63="Sick Leave",E63="Partial Vacation",E63="Partial Sick Leave"),NOT(U63)),"Leave not allowed on this day",IF(AND(E63="Manual Work",OR(NOT(ISNUMBER(F63)),NOT(ISNUMBER(G63)))),"Enter start and end",IF(AND(OR(E63="Partial Vacation",E63="Partial Sick Leave"),OR(NOT(ISNUMBER(H63)),NOT(ISNUMBER(I63)))),"Enter leave from and to",IF(AND(ISNUMBER(F63),ISNUMBER(G63),G63&lt;=F63),"End is before start",IF(AND(ISNUMBER(H63),ISNUMBER(I63),I63&lt;=H63),"Leave end is before start",IF(AND(ISNUMBER(F63),ISNUMBER(G63),ISNUMBER(H63),ISNUMBER(I63),F63&lt;I63,H63&lt;G63),"Work and leave hours overlap",IF(AND(E63&lt;&gt;"",WEEKDAY(A63)=7),"Saturday - administrator only","")))))))</f>
        <v/>
      </c>
      <c r="T63" s="36" t="n">
        <f aca="false">MONTH(A63)</f>
        <v>2</v>
      </c>
      <c r="U63" s="37" t="b">
        <f aca="false">OR(C63="Workday",C63="Eve")</f>
        <v>1</v>
      </c>
      <c r="V63" s="34" t="n">
        <f aca="false">IF(C63="Eve",Settings!$B$8,Settings!$B$7)</f>
        <v>0.6875</v>
      </c>
      <c r="W63" s="14" t="n">
        <f aca="false">IF(U63,(V63-Settings!$B$6)*24,0)</f>
        <v>8.5</v>
      </c>
    </row>
    <row r="64" customFormat="false" ht="15" hidden="false" customHeight="false" outlineLevel="0" collapsed="false">
      <c r="A64" s="29" t="n">
        <v>46080</v>
      </c>
      <c r="B64" s="30" t="str">
        <f aca="false">CHOOSE(WEEKDAY(A64),"Sun","Mon","Tue","Wed","Thu","Fri","Sat")</f>
        <v>Fri</v>
      </c>
      <c r="C64" s="30" t="str">
        <f aca="false">IF(IFERROR(INDEX(Holidays!$D$5:$D$60,MATCH(A64,Holidays!$A$5:$A$60,0)),"")="Holiday","Holiday",IF(WEEKDAY(A64)&gt;=6,"Weekend",IF(IFERROR(INDEX(Holidays!$D$5:$D$60,MATCH(A64,Holidays!$A$5:$A$60,0)),"")="Eve","Eve","Workday")))</f>
        <v>Weekend</v>
      </c>
      <c r="D64" s="18" t="str">
        <f aca="false">IFERROR(INDEX(Holidays!$C$5:$C$60,MATCH(A64,Holidays!$A$5:$A$60,0)),"")</f>
        <v/>
      </c>
      <c r="E64" s="31"/>
      <c r="F64" s="32"/>
      <c r="G64" s="32"/>
      <c r="H64" s="32"/>
      <c r="I64" s="32"/>
      <c r="J64" s="31"/>
      <c r="K64" s="33" t="str">
        <f aca="false">IF(E64&lt;&gt;"",E64,IF(U64,"Present",IF(C64="Holiday","Holiday","Weekend")))</f>
        <v>Weekend</v>
      </c>
      <c r="L64" s="34" t="str">
        <f aca="false">IF(OR(K64="Present",K64="Manual Work",K64="Partial Vacation",K64="Partial Sick Leave"),IF(ISNUMBER(F64),F64,IF(AND(K64="Present",U64),Settings!$B$6,"")),"")</f>
        <v/>
      </c>
      <c r="M64" s="34" t="str">
        <f aca="false">IF(OR(K64="Present",K64="Manual Work",K64="Partial Vacation",K64="Partial Sick Leave"),IF(ISNUMBER(G64),G64,IF(AND(K64="Present",U64),V64,"")),"")</f>
        <v/>
      </c>
      <c r="N64" s="14" t="n">
        <f aca="false">IF(AND(ISNUMBER(L64),ISNUMBER(M64)),MAX(0,(M64-L64)*24),0)</f>
        <v>0</v>
      </c>
      <c r="O64" s="14" t="n">
        <f aca="false">IF(NOT(U64),0,IF(K64="Vacation",IF(C64="Eve",Settings!$B$9*Settings!$B$11,W64),IF(K64="Partial Vacation",IF(AND(ISNUMBER(H64),ISNUMBER(I64)),MAX(0,(I64-H64)*24),0),0)))</f>
        <v>0</v>
      </c>
      <c r="P64" s="14" t="n">
        <f aca="false">IF(NOT(U64),0,IF(K64="Sick Leave",W64,IF(K64="Partial Sick Leave",IF(AND(ISNUMBER(H64),ISNUMBER(I64)),MAX(0,(I64-H64)*24),0),0)))</f>
        <v>0</v>
      </c>
      <c r="Q64" s="14" t="n">
        <f aca="false">IF(NOT(U64),0,IF(K64="Vacation",IF(C64="Eve",Settings!$B$11,1),IF(K64="Partial Vacation",O64/Settings!$B$9,0)))</f>
        <v>0</v>
      </c>
      <c r="R64" s="14" t="n">
        <f aca="false">IF(NOT(U64),0,IF(K64="Sick Leave",1,IF(K64="Partial Sick Leave",P64/Settings!$B$9,0)))</f>
        <v>0</v>
      </c>
      <c r="S64" s="35" t="str">
        <f aca="false">IF(AND(OR(E64="Vacation",E64="Sick Leave",E64="Partial Vacation",E64="Partial Sick Leave"),NOT(U64)),"Leave not allowed on this day",IF(AND(E64="Manual Work",OR(NOT(ISNUMBER(F64)),NOT(ISNUMBER(G64)))),"Enter start and end",IF(AND(OR(E64="Partial Vacation",E64="Partial Sick Leave"),OR(NOT(ISNUMBER(H64)),NOT(ISNUMBER(I64)))),"Enter leave from and to",IF(AND(ISNUMBER(F64),ISNUMBER(G64),G64&lt;=F64),"End is before start",IF(AND(ISNUMBER(H64),ISNUMBER(I64),I64&lt;=H64),"Leave end is before start",IF(AND(ISNUMBER(F64),ISNUMBER(G64),ISNUMBER(H64),ISNUMBER(I64),F64&lt;I64,H64&lt;G64),"Work and leave hours overlap",IF(AND(E64&lt;&gt;"",WEEKDAY(A64)=7),"Saturday - administrator only","")))))))</f>
        <v/>
      </c>
      <c r="T64" s="36" t="n">
        <f aca="false">MONTH(A64)</f>
        <v>2</v>
      </c>
      <c r="U64" s="37" t="b">
        <f aca="false">OR(C64="Workday",C64="Eve")</f>
        <v>0</v>
      </c>
      <c r="V64" s="34" t="n">
        <f aca="false">IF(C64="Eve",Settings!$B$8,Settings!$B$7)</f>
        <v>0.6875</v>
      </c>
      <c r="W64" s="14" t="n">
        <f aca="false">IF(U64,(V64-Settings!$B$6)*24,0)</f>
        <v>0</v>
      </c>
    </row>
    <row r="65" customFormat="false" ht="15" hidden="false" customHeight="false" outlineLevel="0" collapsed="false">
      <c r="A65" s="29" t="n">
        <v>46081</v>
      </c>
      <c r="B65" s="30" t="str">
        <f aca="false">CHOOSE(WEEKDAY(A65),"Sun","Mon","Tue","Wed","Thu","Fri","Sat")</f>
        <v>Sat</v>
      </c>
      <c r="C65" s="30" t="str">
        <f aca="false">IF(IFERROR(INDEX(Holidays!$D$5:$D$60,MATCH(A65,Holidays!$A$5:$A$60,0)),"")="Holiday","Holiday",IF(WEEKDAY(A65)&gt;=6,"Weekend",IF(IFERROR(INDEX(Holidays!$D$5:$D$60,MATCH(A65,Holidays!$A$5:$A$60,0)),"")="Eve","Eve","Workday")))</f>
        <v>Weekend</v>
      </c>
      <c r="D65" s="18" t="str">
        <f aca="false">IFERROR(INDEX(Holidays!$C$5:$C$60,MATCH(A65,Holidays!$A$5:$A$60,0)),"")</f>
        <v/>
      </c>
      <c r="E65" s="31"/>
      <c r="F65" s="32"/>
      <c r="G65" s="32"/>
      <c r="H65" s="32"/>
      <c r="I65" s="32"/>
      <c r="J65" s="31"/>
      <c r="K65" s="33" t="str">
        <f aca="false">IF(E65&lt;&gt;"",E65,IF(U65,"Present",IF(C65="Holiday","Holiday","Weekend")))</f>
        <v>Weekend</v>
      </c>
      <c r="L65" s="34" t="str">
        <f aca="false">IF(OR(K65="Present",K65="Manual Work",K65="Partial Vacation",K65="Partial Sick Leave"),IF(ISNUMBER(F65),F65,IF(AND(K65="Present",U65),Settings!$B$6,"")),"")</f>
        <v/>
      </c>
      <c r="M65" s="34" t="str">
        <f aca="false">IF(OR(K65="Present",K65="Manual Work",K65="Partial Vacation",K65="Partial Sick Leave"),IF(ISNUMBER(G65),G65,IF(AND(K65="Present",U65),V65,"")),"")</f>
        <v/>
      </c>
      <c r="N65" s="14" t="n">
        <f aca="false">IF(AND(ISNUMBER(L65),ISNUMBER(M65)),MAX(0,(M65-L65)*24),0)</f>
        <v>0</v>
      </c>
      <c r="O65" s="14" t="n">
        <f aca="false">IF(NOT(U65),0,IF(K65="Vacation",IF(C65="Eve",Settings!$B$9*Settings!$B$11,W65),IF(K65="Partial Vacation",IF(AND(ISNUMBER(H65),ISNUMBER(I65)),MAX(0,(I65-H65)*24),0),0)))</f>
        <v>0</v>
      </c>
      <c r="P65" s="14" t="n">
        <f aca="false">IF(NOT(U65),0,IF(K65="Sick Leave",W65,IF(K65="Partial Sick Leave",IF(AND(ISNUMBER(H65),ISNUMBER(I65)),MAX(0,(I65-H65)*24),0),0)))</f>
        <v>0</v>
      </c>
      <c r="Q65" s="14" t="n">
        <f aca="false">IF(NOT(U65),0,IF(K65="Vacation",IF(C65="Eve",Settings!$B$11,1),IF(K65="Partial Vacation",O65/Settings!$B$9,0)))</f>
        <v>0</v>
      </c>
      <c r="R65" s="14" t="n">
        <f aca="false">IF(NOT(U65),0,IF(K65="Sick Leave",1,IF(K65="Partial Sick Leave",P65/Settings!$B$9,0)))</f>
        <v>0</v>
      </c>
      <c r="S65" s="35" t="str">
        <f aca="false">IF(AND(OR(E65="Vacation",E65="Sick Leave",E65="Partial Vacation",E65="Partial Sick Leave"),NOT(U65)),"Leave not allowed on this day",IF(AND(E65="Manual Work",OR(NOT(ISNUMBER(F65)),NOT(ISNUMBER(G65)))),"Enter start and end",IF(AND(OR(E65="Partial Vacation",E65="Partial Sick Leave"),OR(NOT(ISNUMBER(H65)),NOT(ISNUMBER(I65)))),"Enter leave from and to",IF(AND(ISNUMBER(F65),ISNUMBER(G65),G65&lt;=F65),"End is before start",IF(AND(ISNUMBER(H65),ISNUMBER(I65),I65&lt;=H65),"Leave end is before start",IF(AND(ISNUMBER(F65),ISNUMBER(G65),ISNUMBER(H65),ISNUMBER(I65),F65&lt;I65,H65&lt;G65),"Work and leave hours overlap",IF(AND(E65&lt;&gt;"",WEEKDAY(A65)=7),"Saturday - administrator only","")))))))</f>
        <v/>
      </c>
      <c r="T65" s="36" t="n">
        <f aca="false">MONTH(A65)</f>
        <v>2</v>
      </c>
      <c r="U65" s="37" t="b">
        <f aca="false">OR(C65="Workday",C65="Eve")</f>
        <v>0</v>
      </c>
      <c r="V65" s="34" t="n">
        <f aca="false">IF(C65="Eve",Settings!$B$8,Settings!$B$7)</f>
        <v>0.6875</v>
      </c>
      <c r="W65" s="14" t="n">
        <f aca="false">IF(U65,(V65-Settings!$B$6)*24,0)</f>
        <v>0</v>
      </c>
    </row>
    <row r="66" customFormat="false" ht="15" hidden="false" customHeight="false" outlineLevel="0" collapsed="false">
      <c r="A66" s="29" t="n">
        <v>46082</v>
      </c>
      <c r="B66" s="30" t="str">
        <f aca="false">CHOOSE(WEEKDAY(A66),"Sun","Mon","Tue","Wed","Thu","Fri","Sat")</f>
        <v>Sun</v>
      </c>
      <c r="C66" s="30" t="str">
        <f aca="false">IF(IFERROR(INDEX(Holidays!$D$5:$D$60,MATCH(A66,Holidays!$A$5:$A$60,0)),"")="Holiday","Holiday",IF(WEEKDAY(A66)&gt;=6,"Weekend",IF(IFERROR(INDEX(Holidays!$D$5:$D$60,MATCH(A66,Holidays!$A$5:$A$60,0)),"")="Eve","Eve","Workday")))</f>
        <v>Workday</v>
      </c>
      <c r="D66" s="18" t="str">
        <f aca="false">IFERROR(INDEX(Holidays!$C$5:$C$60,MATCH(A66,Holidays!$A$5:$A$60,0)),"")</f>
        <v/>
      </c>
      <c r="E66" s="31"/>
      <c r="F66" s="32"/>
      <c r="G66" s="32"/>
      <c r="H66" s="32"/>
      <c r="I66" s="32"/>
      <c r="J66" s="31"/>
      <c r="K66" s="33" t="str">
        <f aca="false">IF(E66&lt;&gt;"",E66,IF(U66,"Present",IF(C66="Holiday","Holiday","Weekend")))</f>
        <v>Present</v>
      </c>
      <c r="L66" s="34" t="n">
        <f aca="false">IF(OR(K66="Present",K66="Manual Work",K66="Partial Vacation",K66="Partial Sick Leave"),IF(ISNUMBER(F66),F66,IF(AND(K66="Present",U66),Settings!$B$6,"")),"")</f>
        <v>0.333333333333333</v>
      </c>
      <c r="M66" s="34" t="n">
        <f aca="false">IF(OR(K66="Present",K66="Manual Work",K66="Partial Vacation",K66="Partial Sick Leave"),IF(ISNUMBER(G66),G66,IF(AND(K66="Present",U66),V66,"")),"")</f>
        <v>0.6875</v>
      </c>
      <c r="N66" s="14" t="n">
        <f aca="false">IF(AND(ISNUMBER(L66),ISNUMBER(M66)),MAX(0,(M66-L66)*24),0)</f>
        <v>8.5</v>
      </c>
      <c r="O66" s="14" t="n">
        <f aca="false">IF(NOT(U66),0,IF(K66="Vacation",IF(C66="Eve",Settings!$B$9*Settings!$B$11,W66),IF(K66="Partial Vacation",IF(AND(ISNUMBER(H66),ISNUMBER(I66)),MAX(0,(I66-H66)*24),0),0)))</f>
        <v>0</v>
      </c>
      <c r="P66" s="14" t="n">
        <f aca="false">IF(NOT(U66),0,IF(K66="Sick Leave",W66,IF(K66="Partial Sick Leave",IF(AND(ISNUMBER(H66),ISNUMBER(I66)),MAX(0,(I66-H66)*24),0),0)))</f>
        <v>0</v>
      </c>
      <c r="Q66" s="14" t="n">
        <f aca="false">IF(NOT(U66),0,IF(K66="Vacation",IF(C66="Eve",Settings!$B$11,1),IF(K66="Partial Vacation",O66/Settings!$B$9,0)))</f>
        <v>0</v>
      </c>
      <c r="R66" s="14" t="n">
        <f aca="false">IF(NOT(U66),0,IF(K66="Sick Leave",1,IF(K66="Partial Sick Leave",P66/Settings!$B$9,0)))</f>
        <v>0</v>
      </c>
      <c r="S66" s="35" t="str">
        <f aca="false">IF(AND(OR(E66="Vacation",E66="Sick Leave",E66="Partial Vacation",E66="Partial Sick Leave"),NOT(U66)),"Leave not allowed on this day",IF(AND(E66="Manual Work",OR(NOT(ISNUMBER(F66)),NOT(ISNUMBER(G66)))),"Enter start and end",IF(AND(OR(E66="Partial Vacation",E66="Partial Sick Leave"),OR(NOT(ISNUMBER(H66)),NOT(ISNUMBER(I66)))),"Enter leave from and to",IF(AND(ISNUMBER(F66),ISNUMBER(G66),G66&lt;=F66),"End is before start",IF(AND(ISNUMBER(H66),ISNUMBER(I66),I66&lt;=H66),"Leave end is before start",IF(AND(ISNUMBER(F66),ISNUMBER(G66),ISNUMBER(H66),ISNUMBER(I66),F66&lt;I66,H66&lt;G66),"Work and leave hours overlap",IF(AND(E66&lt;&gt;"",WEEKDAY(A66)=7),"Saturday - administrator only","")))))))</f>
        <v/>
      </c>
      <c r="T66" s="36" t="n">
        <f aca="false">MONTH(A66)</f>
        <v>3</v>
      </c>
      <c r="U66" s="37" t="b">
        <f aca="false">OR(C66="Workday",C66="Eve")</f>
        <v>1</v>
      </c>
      <c r="V66" s="34" t="n">
        <f aca="false">IF(C66="Eve",Settings!$B$8,Settings!$B$7)</f>
        <v>0.6875</v>
      </c>
      <c r="W66" s="14" t="n">
        <f aca="false">IF(U66,(V66-Settings!$B$6)*24,0)</f>
        <v>8.5</v>
      </c>
    </row>
    <row r="67" customFormat="false" ht="15" hidden="false" customHeight="false" outlineLevel="0" collapsed="false">
      <c r="A67" s="29" t="n">
        <v>46083</v>
      </c>
      <c r="B67" s="30" t="str">
        <f aca="false">CHOOSE(WEEKDAY(A67),"Sun","Mon","Tue","Wed","Thu","Fri","Sat")</f>
        <v>Mon</v>
      </c>
      <c r="C67" s="30" t="str">
        <f aca="false">IF(IFERROR(INDEX(Holidays!$D$5:$D$60,MATCH(A67,Holidays!$A$5:$A$60,0)),"")="Holiday","Holiday",IF(WEEKDAY(A67)&gt;=6,"Weekend",IF(IFERROR(INDEX(Holidays!$D$5:$D$60,MATCH(A67,Holidays!$A$5:$A$60,0)),"")="Eve","Eve","Workday")))</f>
        <v>Workday</v>
      </c>
      <c r="D67" s="18" t="str">
        <f aca="false">IFERROR(INDEX(Holidays!$C$5:$C$60,MATCH(A67,Holidays!$A$5:$A$60,0)),"")</f>
        <v/>
      </c>
      <c r="E67" s="31"/>
      <c r="F67" s="32"/>
      <c r="G67" s="32"/>
      <c r="H67" s="32"/>
      <c r="I67" s="32"/>
      <c r="J67" s="31"/>
      <c r="K67" s="33" t="str">
        <f aca="false">IF(E67&lt;&gt;"",E67,IF(U67,"Present",IF(C67="Holiday","Holiday","Weekend")))</f>
        <v>Present</v>
      </c>
      <c r="L67" s="34" t="n">
        <f aca="false">IF(OR(K67="Present",K67="Manual Work",K67="Partial Vacation",K67="Partial Sick Leave"),IF(ISNUMBER(F67),F67,IF(AND(K67="Present",U67),Settings!$B$6,"")),"")</f>
        <v>0.333333333333333</v>
      </c>
      <c r="M67" s="34" t="n">
        <f aca="false">IF(OR(K67="Present",K67="Manual Work",K67="Partial Vacation",K67="Partial Sick Leave"),IF(ISNUMBER(G67),G67,IF(AND(K67="Present",U67),V67,"")),"")</f>
        <v>0.6875</v>
      </c>
      <c r="N67" s="14" t="n">
        <f aca="false">IF(AND(ISNUMBER(L67),ISNUMBER(M67)),MAX(0,(M67-L67)*24),0)</f>
        <v>8.5</v>
      </c>
      <c r="O67" s="14" t="n">
        <f aca="false">IF(NOT(U67),0,IF(K67="Vacation",IF(C67="Eve",Settings!$B$9*Settings!$B$11,W67),IF(K67="Partial Vacation",IF(AND(ISNUMBER(H67),ISNUMBER(I67)),MAX(0,(I67-H67)*24),0),0)))</f>
        <v>0</v>
      </c>
      <c r="P67" s="14" t="n">
        <f aca="false">IF(NOT(U67),0,IF(K67="Sick Leave",W67,IF(K67="Partial Sick Leave",IF(AND(ISNUMBER(H67),ISNUMBER(I67)),MAX(0,(I67-H67)*24),0),0)))</f>
        <v>0</v>
      </c>
      <c r="Q67" s="14" t="n">
        <f aca="false">IF(NOT(U67),0,IF(K67="Vacation",IF(C67="Eve",Settings!$B$11,1),IF(K67="Partial Vacation",O67/Settings!$B$9,0)))</f>
        <v>0</v>
      </c>
      <c r="R67" s="14" t="n">
        <f aca="false">IF(NOT(U67),0,IF(K67="Sick Leave",1,IF(K67="Partial Sick Leave",P67/Settings!$B$9,0)))</f>
        <v>0</v>
      </c>
      <c r="S67" s="35" t="str">
        <f aca="false">IF(AND(OR(E67="Vacation",E67="Sick Leave",E67="Partial Vacation",E67="Partial Sick Leave"),NOT(U67)),"Leave not allowed on this day",IF(AND(E67="Manual Work",OR(NOT(ISNUMBER(F67)),NOT(ISNUMBER(G67)))),"Enter start and end",IF(AND(OR(E67="Partial Vacation",E67="Partial Sick Leave"),OR(NOT(ISNUMBER(H67)),NOT(ISNUMBER(I67)))),"Enter leave from and to",IF(AND(ISNUMBER(F67),ISNUMBER(G67),G67&lt;=F67),"End is before start",IF(AND(ISNUMBER(H67),ISNUMBER(I67),I67&lt;=H67),"Leave end is before start",IF(AND(ISNUMBER(F67),ISNUMBER(G67),ISNUMBER(H67),ISNUMBER(I67),F67&lt;I67,H67&lt;G67),"Work and leave hours overlap",IF(AND(E67&lt;&gt;"",WEEKDAY(A67)=7),"Saturday - administrator only","")))))))</f>
        <v/>
      </c>
      <c r="T67" s="36" t="n">
        <f aca="false">MONTH(A67)</f>
        <v>3</v>
      </c>
      <c r="U67" s="37" t="b">
        <f aca="false">OR(C67="Workday",C67="Eve")</f>
        <v>1</v>
      </c>
      <c r="V67" s="34" t="n">
        <f aca="false">IF(C67="Eve",Settings!$B$8,Settings!$B$7)</f>
        <v>0.6875</v>
      </c>
      <c r="W67" s="14" t="n">
        <f aca="false">IF(U67,(V67-Settings!$B$6)*24,0)</f>
        <v>8.5</v>
      </c>
    </row>
    <row r="68" customFormat="false" ht="15" hidden="false" customHeight="false" outlineLevel="0" collapsed="false">
      <c r="A68" s="29" t="n">
        <v>46084</v>
      </c>
      <c r="B68" s="30" t="str">
        <f aca="false">CHOOSE(WEEKDAY(A68),"Sun","Mon","Tue","Wed","Thu","Fri","Sat")</f>
        <v>Tue</v>
      </c>
      <c r="C68" s="30" t="str">
        <f aca="false">IF(IFERROR(INDEX(Holidays!$D$5:$D$60,MATCH(A68,Holidays!$A$5:$A$60,0)),"")="Holiday","Holiday",IF(WEEKDAY(A68)&gt;=6,"Weekend",IF(IFERROR(INDEX(Holidays!$D$5:$D$60,MATCH(A68,Holidays!$A$5:$A$60,0)),"")="Eve","Eve","Workday")))</f>
        <v>Workday</v>
      </c>
      <c r="D68" s="18" t="str">
        <f aca="false">IFERROR(INDEX(Holidays!$C$5:$C$60,MATCH(A68,Holidays!$A$5:$A$60,0)),"")</f>
        <v/>
      </c>
      <c r="E68" s="31"/>
      <c r="F68" s="32"/>
      <c r="G68" s="32"/>
      <c r="H68" s="32"/>
      <c r="I68" s="32"/>
      <c r="J68" s="31"/>
      <c r="K68" s="33" t="str">
        <f aca="false">IF(E68&lt;&gt;"",E68,IF(U68,"Present",IF(C68="Holiday","Holiday","Weekend")))</f>
        <v>Present</v>
      </c>
      <c r="L68" s="34" t="n">
        <f aca="false">IF(OR(K68="Present",K68="Manual Work",K68="Partial Vacation",K68="Partial Sick Leave"),IF(ISNUMBER(F68),F68,IF(AND(K68="Present",U68),Settings!$B$6,"")),"")</f>
        <v>0.333333333333333</v>
      </c>
      <c r="M68" s="34" t="n">
        <f aca="false">IF(OR(K68="Present",K68="Manual Work",K68="Partial Vacation",K68="Partial Sick Leave"),IF(ISNUMBER(G68),G68,IF(AND(K68="Present",U68),V68,"")),"")</f>
        <v>0.6875</v>
      </c>
      <c r="N68" s="14" t="n">
        <f aca="false">IF(AND(ISNUMBER(L68),ISNUMBER(M68)),MAX(0,(M68-L68)*24),0)</f>
        <v>8.5</v>
      </c>
      <c r="O68" s="14" t="n">
        <f aca="false">IF(NOT(U68),0,IF(K68="Vacation",IF(C68="Eve",Settings!$B$9*Settings!$B$11,W68),IF(K68="Partial Vacation",IF(AND(ISNUMBER(H68),ISNUMBER(I68)),MAX(0,(I68-H68)*24),0),0)))</f>
        <v>0</v>
      </c>
      <c r="P68" s="14" t="n">
        <f aca="false">IF(NOT(U68),0,IF(K68="Sick Leave",W68,IF(K68="Partial Sick Leave",IF(AND(ISNUMBER(H68),ISNUMBER(I68)),MAX(0,(I68-H68)*24),0),0)))</f>
        <v>0</v>
      </c>
      <c r="Q68" s="14" t="n">
        <f aca="false">IF(NOT(U68),0,IF(K68="Vacation",IF(C68="Eve",Settings!$B$11,1),IF(K68="Partial Vacation",O68/Settings!$B$9,0)))</f>
        <v>0</v>
      </c>
      <c r="R68" s="14" t="n">
        <f aca="false">IF(NOT(U68),0,IF(K68="Sick Leave",1,IF(K68="Partial Sick Leave",P68/Settings!$B$9,0)))</f>
        <v>0</v>
      </c>
      <c r="S68" s="35" t="str">
        <f aca="false">IF(AND(OR(E68="Vacation",E68="Sick Leave",E68="Partial Vacation",E68="Partial Sick Leave"),NOT(U68)),"Leave not allowed on this day",IF(AND(E68="Manual Work",OR(NOT(ISNUMBER(F68)),NOT(ISNUMBER(G68)))),"Enter start and end",IF(AND(OR(E68="Partial Vacation",E68="Partial Sick Leave"),OR(NOT(ISNUMBER(H68)),NOT(ISNUMBER(I68)))),"Enter leave from and to",IF(AND(ISNUMBER(F68),ISNUMBER(G68),G68&lt;=F68),"End is before start",IF(AND(ISNUMBER(H68),ISNUMBER(I68),I68&lt;=H68),"Leave end is before start",IF(AND(ISNUMBER(F68),ISNUMBER(G68),ISNUMBER(H68),ISNUMBER(I68),F68&lt;I68,H68&lt;G68),"Work and leave hours overlap",IF(AND(E68&lt;&gt;"",WEEKDAY(A68)=7),"Saturday - administrator only","")))))))</f>
        <v/>
      </c>
      <c r="T68" s="36" t="n">
        <f aca="false">MONTH(A68)</f>
        <v>3</v>
      </c>
      <c r="U68" s="37" t="b">
        <f aca="false">OR(C68="Workday",C68="Eve")</f>
        <v>1</v>
      </c>
      <c r="V68" s="34" t="n">
        <f aca="false">IF(C68="Eve",Settings!$B$8,Settings!$B$7)</f>
        <v>0.6875</v>
      </c>
      <c r="W68" s="14" t="n">
        <f aca="false">IF(U68,(V68-Settings!$B$6)*24,0)</f>
        <v>8.5</v>
      </c>
    </row>
    <row r="69" customFormat="false" ht="15" hidden="false" customHeight="false" outlineLevel="0" collapsed="false">
      <c r="A69" s="29" t="n">
        <v>46085</v>
      </c>
      <c r="B69" s="30" t="str">
        <f aca="false">CHOOSE(WEEKDAY(A69),"Sun","Mon","Tue","Wed","Thu","Fri","Sat")</f>
        <v>Wed</v>
      </c>
      <c r="C69" s="30" t="str">
        <f aca="false">IF(IFERROR(INDEX(Holidays!$D$5:$D$60,MATCH(A69,Holidays!$A$5:$A$60,0)),"")="Holiday","Holiday",IF(WEEKDAY(A69)&gt;=6,"Weekend",IF(IFERROR(INDEX(Holidays!$D$5:$D$60,MATCH(A69,Holidays!$A$5:$A$60,0)),"")="Eve","Eve","Workday")))</f>
        <v>Workday</v>
      </c>
      <c r="D69" s="18" t="str">
        <f aca="false">IFERROR(INDEX(Holidays!$C$5:$C$60,MATCH(A69,Holidays!$A$5:$A$60,0)),"")</f>
        <v/>
      </c>
      <c r="E69" s="31"/>
      <c r="F69" s="32"/>
      <c r="G69" s="32"/>
      <c r="H69" s="32"/>
      <c r="I69" s="32"/>
      <c r="J69" s="31"/>
      <c r="K69" s="33" t="str">
        <f aca="false">IF(E69&lt;&gt;"",E69,IF(U69,"Present",IF(C69="Holiday","Holiday","Weekend")))</f>
        <v>Present</v>
      </c>
      <c r="L69" s="34" t="n">
        <f aca="false">IF(OR(K69="Present",K69="Manual Work",K69="Partial Vacation",K69="Partial Sick Leave"),IF(ISNUMBER(F69),F69,IF(AND(K69="Present",U69),Settings!$B$6,"")),"")</f>
        <v>0.333333333333333</v>
      </c>
      <c r="M69" s="34" t="n">
        <f aca="false">IF(OR(K69="Present",K69="Manual Work",K69="Partial Vacation",K69="Partial Sick Leave"),IF(ISNUMBER(G69),G69,IF(AND(K69="Present",U69),V69,"")),"")</f>
        <v>0.6875</v>
      </c>
      <c r="N69" s="14" t="n">
        <f aca="false">IF(AND(ISNUMBER(L69),ISNUMBER(M69)),MAX(0,(M69-L69)*24),0)</f>
        <v>8.5</v>
      </c>
      <c r="O69" s="14" t="n">
        <f aca="false">IF(NOT(U69),0,IF(K69="Vacation",IF(C69="Eve",Settings!$B$9*Settings!$B$11,W69),IF(K69="Partial Vacation",IF(AND(ISNUMBER(H69),ISNUMBER(I69)),MAX(0,(I69-H69)*24),0),0)))</f>
        <v>0</v>
      </c>
      <c r="P69" s="14" t="n">
        <f aca="false">IF(NOT(U69),0,IF(K69="Sick Leave",W69,IF(K69="Partial Sick Leave",IF(AND(ISNUMBER(H69),ISNUMBER(I69)),MAX(0,(I69-H69)*24),0),0)))</f>
        <v>0</v>
      </c>
      <c r="Q69" s="14" t="n">
        <f aca="false">IF(NOT(U69),0,IF(K69="Vacation",IF(C69="Eve",Settings!$B$11,1),IF(K69="Partial Vacation",O69/Settings!$B$9,0)))</f>
        <v>0</v>
      </c>
      <c r="R69" s="14" t="n">
        <f aca="false">IF(NOT(U69),0,IF(K69="Sick Leave",1,IF(K69="Partial Sick Leave",P69/Settings!$B$9,0)))</f>
        <v>0</v>
      </c>
      <c r="S69" s="35" t="str">
        <f aca="false">IF(AND(OR(E69="Vacation",E69="Sick Leave",E69="Partial Vacation",E69="Partial Sick Leave"),NOT(U69)),"Leave not allowed on this day",IF(AND(E69="Manual Work",OR(NOT(ISNUMBER(F69)),NOT(ISNUMBER(G69)))),"Enter start and end",IF(AND(OR(E69="Partial Vacation",E69="Partial Sick Leave"),OR(NOT(ISNUMBER(H69)),NOT(ISNUMBER(I69)))),"Enter leave from and to",IF(AND(ISNUMBER(F69),ISNUMBER(G69),G69&lt;=F69),"End is before start",IF(AND(ISNUMBER(H69),ISNUMBER(I69),I69&lt;=H69),"Leave end is before start",IF(AND(ISNUMBER(F69),ISNUMBER(G69),ISNUMBER(H69),ISNUMBER(I69),F69&lt;I69,H69&lt;G69),"Work and leave hours overlap",IF(AND(E69&lt;&gt;"",WEEKDAY(A69)=7),"Saturday - administrator only","")))))))</f>
        <v/>
      </c>
      <c r="T69" s="36" t="n">
        <f aca="false">MONTH(A69)</f>
        <v>3</v>
      </c>
      <c r="U69" s="37" t="b">
        <f aca="false">OR(C69="Workday",C69="Eve")</f>
        <v>1</v>
      </c>
      <c r="V69" s="34" t="n">
        <f aca="false">IF(C69="Eve",Settings!$B$8,Settings!$B$7)</f>
        <v>0.6875</v>
      </c>
      <c r="W69" s="14" t="n">
        <f aca="false">IF(U69,(V69-Settings!$B$6)*24,0)</f>
        <v>8.5</v>
      </c>
    </row>
    <row r="70" customFormat="false" ht="15" hidden="false" customHeight="false" outlineLevel="0" collapsed="false">
      <c r="A70" s="29" t="n">
        <v>46086</v>
      </c>
      <c r="B70" s="30" t="str">
        <f aca="false">CHOOSE(WEEKDAY(A70),"Sun","Mon","Tue","Wed","Thu","Fri","Sat")</f>
        <v>Thu</v>
      </c>
      <c r="C70" s="30" t="str">
        <f aca="false">IF(IFERROR(INDEX(Holidays!$D$5:$D$60,MATCH(A70,Holidays!$A$5:$A$60,0)),"")="Holiday","Holiday",IF(WEEKDAY(A70)&gt;=6,"Weekend",IF(IFERROR(INDEX(Holidays!$D$5:$D$60,MATCH(A70,Holidays!$A$5:$A$60,0)),"")="Eve","Eve","Workday")))</f>
        <v>Workday</v>
      </c>
      <c r="D70" s="18" t="str">
        <f aca="false">IFERROR(INDEX(Holidays!$C$5:$C$60,MATCH(A70,Holidays!$A$5:$A$60,0)),"")</f>
        <v/>
      </c>
      <c r="E70" s="31"/>
      <c r="F70" s="32"/>
      <c r="G70" s="32"/>
      <c r="H70" s="32"/>
      <c r="I70" s="32"/>
      <c r="J70" s="31"/>
      <c r="K70" s="33" t="str">
        <f aca="false">IF(E70&lt;&gt;"",E70,IF(U70,"Present",IF(C70="Holiday","Holiday","Weekend")))</f>
        <v>Present</v>
      </c>
      <c r="L70" s="34" t="n">
        <f aca="false">IF(OR(K70="Present",K70="Manual Work",K70="Partial Vacation",K70="Partial Sick Leave"),IF(ISNUMBER(F70),F70,IF(AND(K70="Present",U70),Settings!$B$6,"")),"")</f>
        <v>0.333333333333333</v>
      </c>
      <c r="M70" s="34" t="n">
        <f aca="false">IF(OR(K70="Present",K70="Manual Work",K70="Partial Vacation",K70="Partial Sick Leave"),IF(ISNUMBER(G70),G70,IF(AND(K70="Present",U70),V70,"")),"")</f>
        <v>0.6875</v>
      </c>
      <c r="N70" s="14" t="n">
        <f aca="false">IF(AND(ISNUMBER(L70),ISNUMBER(M70)),MAX(0,(M70-L70)*24),0)</f>
        <v>8.5</v>
      </c>
      <c r="O70" s="14" t="n">
        <f aca="false">IF(NOT(U70),0,IF(K70="Vacation",IF(C70="Eve",Settings!$B$9*Settings!$B$11,W70),IF(K70="Partial Vacation",IF(AND(ISNUMBER(H70),ISNUMBER(I70)),MAX(0,(I70-H70)*24),0),0)))</f>
        <v>0</v>
      </c>
      <c r="P70" s="14" t="n">
        <f aca="false">IF(NOT(U70),0,IF(K70="Sick Leave",W70,IF(K70="Partial Sick Leave",IF(AND(ISNUMBER(H70),ISNUMBER(I70)),MAX(0,(I70-H70)*24),0),0)))</f>
        <v>0</v>
      </c>
      <c r="Q70" s="14" t="n">
        <f aca="false">IF(NOT(U70),0,IF(K70="Vacation",IF(C70="Eve",Settings!$B$11,1),IF(K70="Partial Vacation",O70/Settings!$B$9,0)))</f>
        <v>0</v>
      </c>
      <c r="R70" s="14" t="n">
        <f aca="false">IF(NOT(U70),0,IF(K70="Sick Leave",1,IF(K70="Partial Sick Leave",P70/Settings!$B$9,0)))</f>
        <v>0</v>
      </c>
      <c r="S70" s="35" t="str">
        <f aca="false">IF(AND(OR(E70="Vacation",E70="Sick Leave",E70="Partial Vacation",E70="Partial Sick Leave"),NOT(U70)),"Leave not allowed on this day",IF(AND(E70="Manual Work",OR(NOT(ISNUMBER(F70)),NOT(ISNUMBER(G70)))),"Enter start and end",IF(AND(OR(E70="Partial Vacation",E70="Partial Sick Leave"),OR(NOT(ISNUMBER(H70)),NOT(ISNUMBER(I70)))),"Enter leave from and to",IF(AND(ISNUMBER(F70),ISNUMBER(G70),G70&lt;=F70),"End is before start",IF(AND(ISNUMBER(H70),ISNUMBER(I70),I70&lt;=H70),"Leave end is before start",IF(AND(ISNUMBER(F70),ISNUMBER(G70),ISNUMBER(H70),ISNUMBER(I70),F70&lt;I70,H70&lt;G70),"Work and leave hours overlap",IF(AND(E70&lt;&gt;"",WEEKDAY(A70)=7),"Saturday - administrator only","")))))))</f>
        <v/>
      </c>
      <c r="T70" s="36" t="n">
        <f aca="false">MONTH(A70)</f>
        <v>3</v>
      </c>
      <c r="U70" s="37" t="b">
        <f aca="false">OR(C70="Workday",C70="Eve")</f>
        <v>1</v>
      </c>
      <c r="V70" s="34" t="n">
        <f aca="false">IF(C70="Eve",Settings!$B$8,Settings!$B$7)</f>
        <v>0.6875</v>
      </c>
      <c r="W70" s="14" t="n">
        <f aca="false">IF(U70,(V70-Settings!$B$6)*24,0)</f>
        <v>8.5</v>
      </c>
    </row>
    <row r="71" customFormat="false" ht="15" hidden="false" customHeight="false" outlineLevel="0" collapsed="false">
      <c r="A71" s="29" t="n">
        <v>46087</v>
      </c>
      <c r="B71" s="30" t="str">
        <f aca="false">CHOOSE(WEEKDAY(A71),"Sun","Mon","Tue","Wed","Thu","Fri","Sat")</f>
        <v>Fri</v>
      </c>
      <c r="C71" s="30" t="str">
        <f aca="false">IF(IFERROR(INDEX(Holidays!$D$5:$D$60,MATCH(A71,Holidays!$A$5:$A$60,0)),"")="Holiday","Holiday",IF(WEEKDAY(A71)&gt;=6,"Weekend",IF(IFERROR(INDEX(Holidays!$D$5:$D$60,MATCH(A71,Holidays!$A$5:$A$60,0)),"")="Eve","Eve","Workday")))</f>
        <v>Weekend</v>
      </c>
      <c r="D71" s="18" t="str">
        <f aca="false">IFERROR(INDEX(Holidays!$C$5:$C$60,MATCH(A71,Holidays!$A$5:$A$60,0)),"")</f>
        <v/>
      </c>
      <c r="E71" s="31"/>
      <c r="F71" s="32"/>
      <c r="G71" s="32"/>
      <c r="H71" s="32"/>
      <c r="I71" s="32"/>
      <c r="J71" s="31"/>
      <c r="K71" s="33" t="str">
        <f aca="false">IF(E71&lt;&gt;"",E71,IF(U71,"Present",IF(C71="Holiday","Holiday","Weekend")))</f>
        <v>Weekend</v>
      </c>
      <c r="L71" s="34" t="str">
        <f aca="false">IF(OR(K71="Present",K71="Manual Work",K71="Partial Vacation",K71="Partial Sick Leave"),IF(ISNUMBER(F71),F71,IF(AND(K71="Present",U71),Settings!$B$6,"")),"")</f>
        <v/>
      </c>
      <c r="M71" s="34" t="str">
        <f aca="false">IF(OR(K71="Present",K71="Manual Work",K71="Partial Vacation",K71="Partial Sick Leave"),IF(ISNUMBER(G71),G71,IF(AND(K71="Present",U71),V71,"")),"")</f>
        <v/>
      </c>
      <c r="N71" s="14" t="n">
        <f aca="false">IF(AND(ISNUMBER(L71),ISNUMBER(M71)),MAX(0,(M71-L71)*24),0)</f>
        <v>0</v>
      </c>
      <c r="O71" s="14" t="n">
        <f aca="false">IF(NOT(U71),0,IF(K71="Vacation",IF(C71="Eve",Settings!$B$9*Settings!$B$11,W71),IF(K71="Partial Vacation",IF(AND(ISNUMBER(H71),ISNUMBER(I71)),MAX(0,(I71-H71)*24),0),0)))</f>
        <v>0</v>
      </c>
      <c r="P71" s="14" t="n">
        <f aca="false">IF(NOT(U71),0,IF(K71="Sick Leave",W71,IF(K71="Partial Sick Leave",IF(AND(ISNUMBER(H71),ISNUMBER(I71)),MAX(0,(I71-H71)*24),0),0)))</f>
        <v>0</v>
      </c>
      <c r="Q71" s="14" t="n">
        <f aca="false">IF(NOT(U71),0,IF(K71="Vacation",IF(C71="Eve",Settings!$B$11,1),IF(K71="Partial Vacation",O71/Settings!$B$9,0)))</f>
        <v>0</v>
      </c>
      <c r="R71" s="14" t="n">
        <f aca="false">IF(NOT(U71),0,IF(K71="Sick Leave",1,IF(K71="Partial Sick Leave",P71/Settings!$B$9,0)))</f>
        <v>0</v>
      </c>
      <c r="S71" s="35" t="str">
        <f aca="false">IF(AND(OR(E71="Vacation",E71="Sick Leave",E71="Partial Vacation",E71="Partial Sick Leave"),NOT(U71)),"Leave not allowed on this day",IF(AND(E71="Manual Work",OR(NOT(ISNUMBER(F71)),NOT(ISNUMBER(G71)))),"Enter start and end",IF(AND(OR(E71="Partial Vacation",E71="Partial Sick Leave"),OR(NOT(ISNUMBER(H71)),NOT(ISNUMBER(I71)))),"Enter leave from and to",IF(AND(ISNUMBER(F71),ISNUMBER(G71),G71&lt;=F71),"End is before start",IF(AND(ISNUMBER(H71),ISNUMBER(I71),I71&lt;=H71),"Leave end is before start",IF(AND(ISNUMBER(F71),ISNUMBER(G71),ISNUMBER(H71),ISNUMBER(I71),F71&lt;I71,H71&lt;G71),"Work and leave hours overlap",IF(AND(E71&lt;&gt;"",WEEKDAY(A71)=7),"Saturday - administrator only","")))))))</f>
        <v/>
      </c>
      <c r="T71" s="36" t="n">
        <f aca="false">MONTH(A71)</f>
        <v>3</v>
      </c>
      <c r="U71" s="37" t="b">
        <f aca="false">OR(C71="Workday",C71="Eve")</f>
        <v>0</v>
      </c>
      <c r="V71" s="34" t="n">
        <f aca="false">IF(C71="Eve",Settings!$B$8,Settings!$B$7)</f>
        <v>0.6875</v>
      </c>
      <c r="W71" s="14" t="n">
        <f aca="false">IF(U71,(V71-Settings!$B$6)*24,0)</f>
        <v>0</v>
      </c>
    </row>
    <row r="72" customFormat="false" ht="15" hidden="false" customHeight="false" outlineLevel="0" collapsed="false">
      <c r="A72" s="29" t="n">
        <v>46088</v>
      </c>
      <c r="B72" s="30" t="str">
        <f aca="false">CHOOSE(WEEKDAY(A72),"Sun","Mon","Tue","Wed","Thu","Fri","Sat")</f>
        <v>Sat</v>
      </c>
      <c r="C72" s="30" t="str">
        <f aca="false">IF(IFERROR(INDEX(Holidays!$D$5:$D$60,MATCH(A72,Holidays!$A$5:$A$60,0)),"")="Holiday","Holiday",IF(WEEKDAY(A72)&gt;=6,"Weekend",IF(IFERROR(INDEX(Holidays!$D$5:$D$60,MATCH(A72,Holidays!$A$5:$A$60,0)),"")="Eve","Eve","Workday")))</f>
        <v>Weekend</v>
      </c>
      <c r="D72" s="18" t="str">
        <f aca="false">IFERROR(INDEX(Holidays!$C$5:$C$60,MATCH(A72,Holidays!$A$5:$A$60,0)),"")</f>
        <v/>
      </c>
      <c r="E72" s="31"/>
      <c r="F72" s="32"/>
      <c r="G72" s="32"/>
      <c r="H72" s="32"/>
      <c r="I72" s="32"/>
      <c r="J72" s="31"/>
      <c r="K72" s="33" t="str">
        <f aca="false">IF(E72&lt;&gt;"",E72,IF(U72,"Present",IF(C72="Holiday","Holiday","Weekend")))</f>
        <v>Weekend</v>
      </c>
      <c r="L72" s="34" t="str">
        <f aca="false">IF(OR(K72="Present",K72="Manual Work",K72="Partial Vacation",K72="Partial Sick Leave"),IF(ISNUMBER(F72),F72,IF(AND(K72="Present",U72),Settings!$B$6,"")),"")</f>
        <v/>
      </c>
      <c r="M72" s="34" t="str">
        <f aca="false">IF(OR(K72="Present",K72="Manual Work",K72="Partial Vacation",K72="Partial Sick Leave"),IF(ISNUMBER(G72),G72,IF(AND(K72="Present",U72),V72,"")),"")</f>
        <v/>
      </c>
      <c r="N72" s="14" t="n">
        <f aca="false">IF(AND(ISNUMBER(L72),ISNUMBER(M72)),MAX(0,(M72-L72)*24),0)</f>
        <v>0</v>
      </c>
      <c r="O72" s="14" t="n">
        <f aca="false">IF(NOT(U72),0,IF(K72="Vacation",IF(C72="Eve",Settings!$B$9*Settings!$B$11,W72),IF(K72="Partial Vacation",IF(AND(ISNUMBER(H72),ISNUMBER(I72)),MAX(0,(I72-H72)*24),0),0)))</f>
        <v>0</v>
      </c>
      <c r="P72" s="14" t="n">
        <f aca="false">IF(NOT(U72),0,IF(K72="Sick Leave",W72,IF(K72="Partial Sick Leave",IF(AND(ISNUMBER(H72),ISNUMBER(I72)),MAX(0,(I72-H72)*24),0),0)))</f>
        <v>0</v>
      </c>
      <c r="Q72" s="14" t="n">
        <f aca="false">IF(NOT(U72),0,IF(K72="Vacation",IF(C72="Eve",Settings!$B$11,1),IF(K72="Partial Vacation",O72/Settings!$B$9,0)))</f>
        <v>0</v>
      </c>
      <c r="R72" s="14" t="n">
        <f aca="false">IF(NOT(U72),0,IF(K72="Sick Leave",1,IF(K72="Partial Sick Leave",P72/Settings!$B$9,0)))</f>
        <v>0</v>
      </c>
      <c r="S72" s="35" t="str">
        <f aca="false">IF(AND(OR(E72="Vacation",E72="Sick Leave",E72="Partial Vacation",E72="Partial Sick Leave"),NOT(U72)),"Leave not allowed on this day",IF(AND(E72="Manual Work",OR(NOT(ISNUMBER(F72)),NOT(ISNUMBER(G72)))),"Enter start and end",IF(AND(OR(E72="Partial Vacation",E72="Partial Sick Leave"),OR(NOT(ISNUMBER(H72)),NOT(ISNUMBER(I72)))),"Enter leave from and to",IF(AND(ISNUMBER(F72),ISNUMBER(G72),G72&lt;=F72),"End is before start",IF(AND(ISNUMBER(H72),ISNUMBER(I72),I72&lt;=H72),"Leave end is before start",IF(AND(ISNUMBER(F72),ISNUMBER(G72),ISNUMBER(H72),ISNUMBER(I72),F72&lt;I72,H72&lt;G72),"Work and leave hours overlap",IF(AND(E72&lt;&gt;"",WEEKDAY(A72)=7),"Saturday - administrator only","")))))))</f>
        <v/>
      </c>
      <c r="T72" s="36" t="n">
        <f aca="false">MONTH(A72)</f>
        <v>3</v>
      </c>
      <c r="U72" s="37" t="b">
        <f aca="false">OR(C72="Workday",C72="Eve")</f>
        <v>0</v>
      </c>
      <c r="V72" s="34" t="n">
        <f aca="false">IF(C72="Eve",Settings!$B$8,Settings!$B$7)</f>
        <v>0.6875</v>
      </c>
      <c r="W72" s="14" t="n">
        <f aca="false">IF(U72,(V72-Settings!$B$6)*24,0)</f>
        <v>0</v>
      </c>
    </row>
    <row r="73" customFormat="false" ht="15" hidden="false" customHeight="false" outlineLevel="0" collapsed="false">
      <c r="A73" s="29" t="n">
        <v>46089</v>
      </c>
      <c r="B73" s="30" t="str">
        <f aca="false">CHOOSE(WEEKDAY(A73),"Sun","Mon","Tue","Wed","Thu","Fri","Sat")</f>
        <v>Sun</v>
      </c>
      <c r="C73" s="30" t="str">
        <f aca="false">IF(IFERROR(INDEX(Holidays!$D$5:$D$60,MATCH(A73,Holidays!$A$5:$A$60,0)),"")="Holiday","Holiday",IF(WEEKDAY(A73)&gt;=6,"Weekend",IF(IFERROR(INDEX(Holidays!$D$5:$D$60,MATCH(A73,Holidays!$A$5:$A$60,0)),"")="Eve","Eve","Workday")))</f>
        <v>Workday</v>
      </c>
      <c r="D73" s="18" t="str">
        <f aca="false">IFERROR(INDEX(Holidays!$C$5:$C$60,MATCH(A73,Holidays!$A$5:$A$60,0)),"")</f>
        <v/>
      </c>
      <c r="E73" s="31"/>
      <c r="F73" s="32"/>
      <c r="G73" s="32"/>
      <c r="H73" s="32"/>
      <c r="I73" s="32"/>
      <c r="J73" s="31"/>
      <c r="K73" s="33" t="str">
        <f aca="false">IF(E73&lt;&gt;"",E73,IF(U73,"Present",IF(C73="Holiday","Holiday","Weekend")))</f>
        <v>Present</v>
      </c>
      <c r="L73" s="34" t="n">
        <f aca="false">IF(OR(K73="Present",K73="Manual Work",K73="Partial Vacation",K73="Partial Sick Leave"),IF(ISNUMBER(F73),F73,IF(AND(K73="Present",U73),Settings!$B$6,"")),"")</f>
        <v>0.333333333333333</v>
      </c>
      <c r="M73" s="34" t="n">
        <f aca="false">IF(OR(K73="Present",K73="Manual Work",K73="Partial Vacation",K73="Partial Sick Leave"),IF(ISNUMBER(G73),G73,IF(AND(K73="Present",U73),V73,"")),"")</f>
        <v>0.6875</v>
      </c>
      <c r="N73" s="14" t="n">
        <f aca="false">IF(AND(ISNUMBER(L73),ISNUMBER(M73)),MAX(0,(M73-L73)*24),0)</f>
        <v>8.5</v>
      </c>
      <c r="O73" s="14" t="n">
        <f aca="false">IF(NOT(U73),0,IF(K73="Vacation",IF(C73="Eve",Settings!$B$9*Settings!$B$11,W73),IF(K73="Partial Vacation",IF(AND(ISNUMBER(H73),ISNUMBER(I73)),MAX(0,(I73-H73)*24),0),0)))</f>
        <v>0</v>
      </c>
      <c r="P73" s="14" t="n">
        <f aca="false">IF(NOT(U73),0,IF(K73="Sick Leave",W73,IF(K73="Partial Sick Leave",IF(AND(ISNUMBER(H73),ISNUMBER(I73)),MAX(0,(I73-H73)*24),0),0)))</f>
        <v>0</v>
      </c>
      <c r="Q73" s="14" t="n">
        <f aca="false">IF(NOT(U73),0,IF(K73="Vacation",IF(C73="Eve",Settings!$B$11,1),IF(K73="Partial Vacation",O73/Settings!$B$9,0)))</f>
        <v>0</v>
      </c>
      <c r="R73" s="14" t="n">
        <f aca="false">IF(NOT(U73),0,IF(K73="Sick Leave",1,IF(K73="Partial Sick Leave",P73/Settings!$B$9,0)))</f>
        <v>0</v>
      </c>
      <c r="S73" s="35" t="str">
        <f aca="false">IF(AND(OR(E73="Vacation",E73="Sick Leave",E73="Partial Vacation",E73="Partial Sick Leave"),NOT(U73)),"Leave not allowed on this day",IF(AND(E73="Manual Work",OR(NOT(ISNUMBER(F73)),NOT(ISNUMBER(G73)))),"Enter start and end",IF(AND(OR(E73="Partial Vacation",E73="Partial Sick Leave"),OR(NOT(ISNUMBER(H73)),NOT(ISNUMBER(I73)))),"Enter leave from and to",IF(AND(ISNUMBER(F73),ISNUMBER(G73),G73&lt;=F73),"End is before start",IF(AND(ISNUMBER(H73),ISNUMBER(I73),I73&lt;=H73),"Leave end is before start",IF(AND(ISNUMBER(F73),ISNUMBER(G73),ISNUMBER(H73),ISNUMBER(I73),F73&lt;I73,H73&lt;G73),"Work and leave hours overlap",IF(AND(E73&lt;&gt;"",WEEKDAY(A73)=7),"Saturday - administrator only","")))))))</f>
        <v/>
      </c>
      <c r="T73" s="36" t="n">
        <f aca="false">MONTH(A73)</f>
        <v>3</v>
      </c>
      <c r="U73" s="37" t="b">
        <f aca="false">OR(C73="Workday",C73="Eve")</f>
        <v>1</v>
      </c>
      <c r="V73" s="34" t="n">
        <f aca="false">IF(C73="Eve",Settings!$B$8,Settings!$B$7)</f>
        <v>0.6875</v>
      </c>
      <c r="W73" s="14" t="n">
        <f aca="false">IF(U73,(V73-Settings!$B$6)*24,0)</f>
        <v>8.5</v>
      </c>
    </row>
    <row r="74" customFormat="false" ht="15" hidden="false" customHeight="false" outlineLevel="0" collapsed="false">
      <c r="A74" s="29" t="n">
        <v>46090</v>
      </c>
      <c r="B74" s="30" t="str">
        <f aca="false">CHOOSE(WEEKDAY(A74),"Sun","Mon","Tue","Wed","Thu","Fri","Sat")</f>
        <v>Mon</v>
      </c>
      <c r="C74" s="30" t="str">
        <f aca="false">IF(IFERROR(INDEX(Holidays!$D$5:$D$60,MATCH(A74,Holidays!$A$5:$A$60,0)),"")="Holiday","Holiday",IF(WEEKDAY(A74)&gt;=6,"Weekend",IF(IFERROR(INDEX(Holidays!$D$5:$D$60,MATCH(A74,Holidays!$A$5:$A$60,0)),"")="Eve","Eve","Workday")))</f>
        <v>Workday</v>
      </c>
      <c r="D74" s="18" t="str">
        <f aca="false">IFERROR(INDEX(Holidays!$C$5:$C$60,MATCH(A74,Holidays!$A$5:$A$60,0)),"")</f>
        <v/>
      </c>
      <c r="E74" s="31"/>
      <c r="F74" s="32"/>
      <c r="G74" s="32"/>
      <c r="H74" s="32"/>
      <c r="I74" s="32"/>
      <c r="J74" s="31"/>
      <c r="K74" s="33" t="str">
        <f aca="false">IF(E74&lt;&gt;"",E74,IF(U74,"Present",IF(C74="Holiday","Holiday","Weekend")))</f>
        <v>Present</v>
      </c>
      <c r="L74" s="34" t="n">
        <f aca="false">IF(OR(K74="Present",K74="Manual Work",K74="Partial Vacation",K74="Partial Sick Leave"),IF(ISNUMBER(F74),F74,IF(AND(K74="Present",U74),Settings!$B$6,"")),"")</f>
        <v>0.333333333333333</v>
      </c>
      <c r="M74" s="34" t="n">
        <f aca="false">IF(OR(K74="Present",K74="Manual Work",K74="Partial Vacation",K74="Partial Sick Leave"),IF(ISNUMBER(G74),G74,IF(AND(K74="Present",U74),V74,"")),"")</f>
        <v>0.6875</v>
      </c>
      <c r="N74" s="14" t="n">
        <f aca="false">IF(AND(ISNUMBER(L74),ISNUMBER(M74)),MAX(0,(M74-L74)*24),0)</f>
        <v>8.5</v>
      </c>
      <c r="O74" s="14" t="n">
        <f aca="false">IF(NOT(U74),0,IF(K74="Vacation",IF(C74="Eve",Settings!$B$9*Settings!$B$11,W74),IF(K74="Partial Vacation",IF(AND(ISNUMBER(H74),ISNUMBER(I74)),MAX(0,(I74-H74)*24),0),0)))</f>
        <v>0</v>
      </c>
      <c r="P74" s="14" t="n">
        <f aca="false">IF(NOT(U74),0,IF(K74="Sick Leave",W74,IF(K74="Partial Sick Leave",IF(AND(ISNUMBER(H74),ISNUMBER(I74)),MAX(0,(I74-H74)*24),0),0)))</f>
        <v>0</v>
      </c>
      <c r="Q74" s="14" t="n">
        <f aca="false">IF(NOT(U74),0,IF(K74="Vacation",IF(C74="Eve",Settings!$B$11,1),IF(K74="Partial Vacation",O74/Settings!$B$9,0)))</f>
        <v>0</v>
      </c>
      <c r="R74" s="14" t="n">
        <f aca="false">IF(NOT(U74),0,IF(K74="Sick Leave",1,IF(K74="Partial Sick Leave",P74/Settings!$B$9,0)))</f>
        <v>0</v>
      </c>
      <c r="S74" s="35" t="str">
        <f aca="false">IF(AND(OR(E74="Vacation",E74="Sick Leave",E74="Partial Vacation",E74="Partial Sick Leave"),NOT(U74)),"Leave not allowed on this day",IF(AND(E74="Manual Work",OR(NOT(ISNUMBER(F74)),NOT(ISNUMBER(G74)))),"Enter start and end",IF(AND(OR(E74="Partial Vacation",E74="Partial Sick Leave"),OR(NOT(ISNUMBER(H74)),NOT(ISNUMBER(I74)))),"Enter leave from and to",IF(AND(ISNUMBER(F74),ISNUMBER(G74),G74&lt;=F74),"End is before start",IF(AND(ISNUMBER(H74),ISNUMBER(I74),I74&lt;=H74),"Leave end is before start",IF(AND(ISNUMBER(F74),ISNUMBER(G74),ISNUMBER(H74),ISNUMBER(I74),F74&lt;I74,H74&lt;G74),"Work and leave hours overlap",IF(AND(E74&lt;&gt;"",WEEKDAY(A74)=7),"Saturday - administrator only","")))))))</f>
        <v/>
      </c>
      <c r="T74" s="36" t="n">
        <f aca="false">MONTH(A74)</f>
        <v>3</v>
      </c>
      <c r="U74" s="37" t="b">
        <f aca="false">OR(C74="Workday",C74="Eve")</f>
        <v>1</v>
      </c>
      <c r="V74" s="34" t="n">
        <f aca="false">IF(C74="Eve",Settings!$B$8,Settings!$B$7)</f>
        <v>0.6875</v>
      </c>
      <c r="W74" s="14" t="n">
        <f aca="false">IF(U74,(V74-Settings!$B$6)*24,0)</f>
        <v>8.5</v>
      </c>
    </row>
    <row r="75" customFormat="false" ht="15" hidden="false" customHeight="false" outlineLevel="0" collapsed="false">
      <c r="A75" s="29" t="n">
        <v>46091</v>
      </c>
      <c r="B75" s="30" t="str">
        <f aca="false">CHOOSE(WEEKDAY(A75),"Sun","Mon","Tue","Wed","Thu","Fri","Sat")</f>
        <v>Tue</v>
      </c>
      <c r="C75" s="30" t="str">
        <f aca="false">IF(IFERROR(INDEX(Holidays!$D$5:$D$60,MATCH(A75,Holidays!$A$5:$A$60,0)),"")="Holiday","Holiday",IF(WEEKDAY(A75)&gt;=6,"Weekend",IF(IFERROR(INDEX(Holidays!$D$5:$D$60,MATCH(A75,Holidays!$A$5:$A$60,0)),"")="Eve","Eve","Workday")))</f>
        <v>Workday</v>
      </c>
      <c r="D75" s="18" t="str">
        <f aca="false">IFERROR(INDEX(Holidays!$C$5:$C$60,MATCH(A75,Holidays!$A$5:$A$60,0)),"")</f>
        <v/>
      </c>
      <c r="E75" s="31"/>
      <c r="F75" s="32"/>
      <c r="G75" s="32"/>
      <c r="H75" s="32"/>
      <c r="I75" s="32"/>
      <c r="J75" s="31"/>
      <c r="K75" s="33" t="str">
        <f aca="false">IF(E75&lt;&gt;"",E75,IF(U75,"Present",IF(C75="Holiday","Holiday","Weekend")))</f>
        <v>Present</v>
      </c>
      <c r="L75" s="34" t="n">
        <f aca="false">IF(OR(K75="Present",K75="Manual Work",K75="Partial Vacation",K75="Partial Sick Leave"),IF(ISNUMBER(F75),F75,IF(AND(K75="Present",U75),Settings!$B$6,"")),"")</f>
        <v>0.333333333333333</v>
      </c>
      <c r="M75" s="34" t="n">
        <f aca="false">IF(OR(K75="Present",K75="Manual Work",K75="Partial Vacation",K75="Partial Sick Leave"),IF(ISNUMBER(G75),G75,IF(AND(K75="Present",U75),V75,"")),"")</f>
        <v>0.6875</v>
      </c>
      <c r="N75" s="14" t="n">
        <f aca="false">IF(AND(ISNUMBER(L75),ISNUMBER(M75)),MAX(0,(M75-L75)*24),0)</f>
        <v>8.5</v>
      </c>
      <c r="O75" s="14" t="n">
        <f aca="false">IF(NOT(U75),0,IF(K75="Vacation",IF(C75="Eve",Settings!$B$9*Settings!$B$11,W75),IF(K75="Partial Vacation",IF(AND(ISNUMBER(H75),ISNUMBER(I75)),MAX(0,(I75-H75)*24),0),0)))</f>
        <v>0</v>
      </c>
      <c r="P75" s="14" t="n">
        <f aca="false">IF(NOT(U75),0,IF(K75="Sick Leave",W75,IF(K75="Partial Sick Leave",IF(AND(ISNUMBER(H75),ISNUMBER(I75)),MAX(0,(I75-H75)*24),0),0)))</f>
        <v>0</v>
      </c>
      <c r="Q75" s="14" t="n">
        <f aca="false">IF(NOT(U75),0,IF(K75="Vacation",IF(C75="Eve",Settings!$B$11,1),IF(K75="Partial Vacation",O75/Settings!$B$9,0)))</f>
        <v>0</v>
      </c>
      <c r="R75" s="14" t="n">
        <f aca="false">IF(NOT(U75),0,IF(K75="Sick Leave",1,IF(K75="Partial Sick Leave",P75/Settings!$B$9,0)))</f>
        <v>0</v>
      </c>
      <c r="S75" s="35" t="str">
        <f aca="false">IF(AND(OR(E75="Vacation",E75="Sick Leave",E75="Partial Vacation",E75="Partial Sick Leave"),NOT(U75)),"Leave not allowed on this day",IF(AND(E75="Manual Work",OR(NOT(ISNUMBER(F75)),NOT(ISNUMBER(G75)))),"Enter start and end",IF(AND(OR(E75="Partial Vacation",E75="Partial Sick Leave"),OR(NOT(ISNUMBER(H75)),NOT(ISNUMBER(I75)))),"Enter leave from and to",IF(AND(ISNUMBER(F75),ISNUMBER(G75),G75&lt;=F75),"End is before start",IF(AND(ISNUMBER(H75),ISNUMBER(I75),I75&lt;=H75),"Leave end is before start",IF(AND(ISNUMBER(F75),ISNUMBER(G75),ISNUMBER(H75),ISNUMBER(I75),F75&lt;I75,H75&lt;G75),"Work and leave hours overlap",IF(AND(E75&lt;&gt;"",WEEKDAY(A75)=7),"Saturday - administrator only","")))))))</f>
        <v/>
      </c>
      <c r="T75" s="36" t="n">
        <f aca="false">MONTH(A75)</f>
        <v>3</v>
      </c>
      <c r="U75" s="37" t="b">
        <f aca="false">OR(C75="Workday",C75="Eve")</f>
        <v>1</v>
      </c>
      <c r="V75" s="34" t="n">
        <f aca="false">IF(C75="Eve",Settings!$B$8,Settings!$B$7)</f>
        <v>0.6875</v>
      </c>
      <c r="W75" s="14" t="n">
        <f aca="false">IF(U75,(V75-Settings!$B$6)*24,0)</f>
        <v>8.5</v>
      </c>
    </row>
    <row r="76" customFormat="false" ht="15" hidden="false" customHeight="false" outlineLevel="0" collapsed="false">
      <c r="A76" s="29" t="n">
        <v>46092</v>
      </c>
      <c r="B76" s="30" t="str">
        <f aca="false">CHOOSE(WEEKDAY(A76),"Sun","Mon","Tue","Wed","Thu","Fri","Sat")</f>
        <v>Wed</v>
      </c>
      <c r="C76" s="30" t="str">
        <f aca="false">IF(IFERROR(INDEX(Holidays!$D$5:$D$60,MATCH(A76,Holidays!$A$5:$A$60,0)),"")="Holiday","Holiday",IF(WEEKDAY(A76)&gt;=6,"Weekend",IF(IFERROR(INDEX(Holidays!$D$5:$D$60,MATCH(A76,Holidays!$A$5:$A$60,0)),"")="Eve","Eve","Workday")))</f>
        <v>Workday</v>
      </c>
      <c r="D76" s="18" t="str">
        <f aca="false">IFERROR(INDEX(Holidays!$C$5:$C$60,MATCH(A76,Holidays!$A$5:$A$60,0)),"")</f>
        <v/>
      </c>
      <c r="E76" s="31"/>
      <c r="F76" s="32"/>
      <c r="G76" s="32"/>
      <c r="H76" s="32"/>
      <c r="I76" s="32"/>
      <c r="J76" s="31"/>
      <c r="K76" s="33" t="str">
        <f aca="false">IF(E76&lt;&gt;"",E76,IF(U76,"Present",IF(C76="Holiday","Holiday","Weekend")))</f>
        <v>Present</v>
      </c>
      <c r="L76" s="34" t="n">
        <f aca="false">IF(OR(K76="Present",K76="Manual Work",K76="Partial Vacation",K76="Partial Sick Leave"),IF(ISNUMBER(F76),F76,IF(AND(K76="Present",U76),Settings!$B$6,"")),"")</f>
        <v>0.333333333333333</v>
      </c>
      <c r="M76" s="34" t="n">
        <f aca="false">IF(OR(K76="Present",K76="Manual Work",K76="Partial Vacation",K76="Partial Sick Leave"),IF(ISNUMBER(G76),G76,IF(AND(K76="Present",U76),V76,"")),"")</f>
        <v>0.6875</v>
      </c>
      <c r="N76" s="14" t="n">
        <f aca="false">IF(AND(ISNUMBER(L76),ISNUMBER(M76)),MAX(0,(M76-L76)*24),0)</f>
        <v>8.5</v>
      </c>
      <c r="O76" s="14" t="n">
        <f aca="false">IF(NOT(U76),0,IF(K76="Vacation",IF(C76="Eve",Settings!$B$9*Settings!$B$11,W76),IF(K76="Partial Vacation",IF(AND(ISNUMBER(H76),ISNUMBER(I76)),MAX(0,(I76-H76)*24),0),0)))</f>
        <v>0</v>
      </c>
      <c r="P76" s="14" t="n">
        <f aca="false">IF(NOT(U76),0,IF(K76="Sick Leave",W76,IF(K76="Partial Sick Leave",IF(AND(ISNUMBER(H76),ISNUMBER(I76)),MAX(0,(I76-H76)*24),0),0)))</f>
        <v>0</v>
      </c>
      <c r="Q76" s="14" t="n">
        <f aca="false">IF(NOT(U76),0,IF(K76="Vacation",IF(C76="Eve",Settings!$B$11,1),IF(K76="Partial Vacation",O76/Settings!$B$9,0)))</f>
        <v>0</v>
      </c>
      <c r="R76" s="14" t="n">
        <f aca="false">IF(NOT(U76),0,IF(K76="Sick Leave",1,IF(K76="Partial Sick Leave",P76/Settings!$B$9,0)))</f>
        <v>0</v>
      </c>
      <c r="S76" s="35" t="str">
        <f aca="false">IF(AND(OR(E76="Vacation",E76="Sick Leave",E76="Partial Vacation",E76="Partial Sick Leave"),NOT(U76)),"Leave not allowed on this day",IF(AND(E76="Manual Work",OR(NOT(ISNUMBER(F76)),NOT(ISNUMBER(G76)))),"Enter start and end",IF(AND(OR(E76="Partial Vacation",E76="Partial Sick Leave"),OR(NOT(ISNUMBER(H76)),NOT(ISNUMBER(I76)))),"Enter leave from and to",IF(AND(ISNUMBER(F76),ISNUMBER(G76),G76&lt;=F76),"End is before start",IF(AND(ISNUMBER(H76),ISNUMBER(I76),I76&lt;=H76),"Leave end is before start",IF(AND(ISNUMBER(F76),ISNUMBER(G76),ISNUMBER(H76),ISNUMBER(I76),F76&lt;I76,H76&lt;G76),"Work and leave hours overlap",IF(AND(E76&lt;&gt;"",WEEKDAY(A76)=7),"Saturday - administrator only","")))))))</f>
        <v/>
      </c>
      <c r="T76" s="36" t="n">
        <f aca="false">MONTH(A76)</f>
        <v>3</v>
      </c>
      <c r="U76" s="37" t="b">
        <f aca="false">OR(C76="Workday",C76="Eve")</f>
        <v>1</v>
      </c>
      <c r="V76" s="34" t="n">
        <f aca="false">IF(C76="Eve",Settings!$B$8,Settings!$B$7)</f>
        <v>0.6875</v>
      </c>
      <c r="W76" s="14" t="n">
        <f aca="false">IF(U76,(V76-Settings!$B$6)*24,0)</f>
        <v>8.5</v>
      </c>
    </row>
    <row r="77" customFormat="false" ht="15" hidden="false" customHeight="false" outlineLevel="0" collapsed="false">
      <c r="A77" s="29" t="n">
        <v>46093</v>
      </c>
      <c r="B77" s="30" t="str">
        <f aca="false">CHOOSE(WEEKDAY(A77),"Sun","Mon","Tue","Wed","Thu","Fri","Sat")</f>
        <v>Thu</v>
      </c>
      <c r="C77" s="30" t="str">
        <f aca="false">IF(IFERROR(INDEX(Holidays!$D$5:$D$60,MATCH(A77,Holidays!$A$5:$A$60,0)),"")="Holiday","Holiday",IF(WEEKDAY(A77)&gt;=6,"Weekend",IF(IFERROR(INDEX(Holidays!$D$5:$D$60,MATCH(A77,Holidays!$A$5:$A$60,0)),"")="Eve","Eve","Workday")))</f>
        <v>Workday</v>
      </c>
      <c r="D77" s="18" t="str">
        <f aca="false">IFERROR(INDEX(Holidays!$C$5:$C$60,MATCH(A77,Holidays!$A$5:$A$60,0)),"")</f>
        <v/>
      </c>
      <c r="E77" s="31"/>
      <c r="F77" s="32"/>
      <c r="G77" s="32"/>
      <c r="H77" s="32"/>
      <c r="I77" s="32"/>
      <c r="J77" s="31"/>
      <c r="K77" s="33" t="str">
        <f aca="false">IF(E77&lt;&gt;"",E77,IF(U77,"Present",IF(C77="Holiday","Holiday","Weekend")))</f>
        <v>Present</v>
      </c>
      <c r="L77" s="34" t="n">
        <f aca="false">IF(OR(K77="Present",K77="Manual Work",K77="Partial Vacation",K77="Partial Sick Leave"),IF(ISNUMBER(F77),F77,IF(AND(K77="Present",U77),Settings!$B$6,"")),"")</f>
        <v>0.333333333333333</v>
      </c>
      <c r="M77" s="34" t="n">
        <f aca="false">IF(OR(K77="Present",K77="Manual Work",K77="Partial Vacation",K77="Partial Sick Leave"),IF(ISNUMBER(G77),G77,IF(AND(K77="Present",U77),V77,"")),"")</f>
        <v>0.6875</v>
      </c>
      <c r="N77" s="14" t="n">
        <f aca="false">IF(AND(ISNUMBER(L77),ISNUMBER(M77)),MAX(0,(M77-L77)*24),0)</f>
        <v>8.5</v>
      </c>
      <c r="O77" s="14" t="n">
        <f aca="false">IF(NOT(U77),0,IF(K77="Vacation",IF(C77="Eve",Settings!$B$9*Settings!$B$11,W77),IF(K77="Partial Vacation",IF(AND(ISNUMBER(H77),ISNUMBER(I77)),MAX(0,(I77-H77)*24),0),0)))</f>
        <v>0</v>
      </c>
      <c r="P77" s="14" t="n">
        <f aca="false">IF(NOT(U77),0,IF(K77="Sick Leave",W77,IF(K77="Partial Sick Leave",IF(AND(ISNUMBER(H77),ISNUMBER(I77)),MAX(0,(I77-H77)*24),0),0)))</f>
        <v>0</v>
      </c>
      <c r="Q77" s="14" t="n">
        <f aca="false">IF(NOT(U77),0,IF(K77="Vacation",IF(C77="Eve",Settings!$B$11,1),IF(K77="Partial Vacation",O77/Settings!$B$9,0)))</f>
        <v>0</v>
      </c>
      <c r="R77" s="14" t="n">
        <f aca="false">IF(NOT(U77),0,IF(K77="Sick Leave",1,IF(K77="Partial Sick Leave",P77/Settings!$B$9,0)))</f>
        <v>0</v>
      </c>
      <c r="S77" s="35" t="str">
        <f aca="false">IF(AND(OR(E77="Vacation",E77="Sick Leave",E77="Partial Vacation",E77="Partial Sick Leave"),NOT(U77)),"Leave not allowed on this day",IF(AND(E77="Manual Work",OR(NOT(ISNUMBER(F77)),NOT(ISNUMBER(G77)))),"Enter start and end",IF(AND(OR(E77="Partial Vacation",E77="Partial Sick Leave"),OR(NOT(ISNUMBER(H77)),NOT(ISNUMBER(I77)))),"Enter leave from and to",IF(AND(ISNUMBER(F77),ISNUMBER(G77),G77&lt;=F77),"End is before start",IF(AND(ISNUMBER(H77),ISNUMBER(I77),I77&lt;=H77),"Leave end is before start",IF(AND(ISNUMBER(F77),ISNUMBER(G77),ISNUMBER(H77),ISNUMBER(I77),F77&lt;I77,H77&lt;G77),"Work and leave hours overlap",IF(AND(E77&lt;&gt;"",WEEKDAY(A77)=7),"Saturday - administrator only","")))))))</f>
        <v/>
      </c>
      <c r="T77" s="36" t="n">
        <f aca="false">MONTH(A77)</f>
        <v>3</v>
      </c>
      <c r="U77" s="37" t="b">
        <f aca="false">OR(C77="Workday",C77="Eve")</f>
        <v>1</v>
      </c>
      <c r="V77" s="34" t="n">
        <f aca="false">IF(C77="Eve",Settings!$B$8,Settings!$B$7)</f>
        <v>0.6875</v>
      </c>
      <c r="W77" s="14" t="n">
        <f aca="false">IF(U77,(V77-Settings!$B$6)*24,0)</f>
        <v>8.5</v>
      </c>
    </row>
    <row r="78" customFormat="false" ht="15" hidden="false" customHeight="false" outlineLevel="0" collapsed="false">
      <c r="A78" s="29" t="n">
        <v>46094</v>
      </c>
      <c r="B78" s="30" t="str">
        <f aca="false">CHOOSE(WEEKDAY(A78),"Sun","Mon","Tue","Wed","Thu","Fri","Sat")</f>
        <v>Fri</v>
      </c>
      <c r="C78" s="30" t="str">
        <f aca="false">IF(IFERROR(INDEX(Holidays!$D$5:$D$60,MATCH(A78,Holidays!$A$5:$A$60,0)),"")="Holiday","Holiday",IF(WEEKDAY(A78)&gt;=6,"Weekend",IF(IFERROR(INDEX(Holidays!$D$5:$D$60,MATCH(A78,Holidays!$A$5:$A$60,0)),"")="Eve","Eve","Workday")))</f>
        <v>Weekend</v>
      </c>
      <c r="D78" s="18" t="str">
        <f aca="false">IFERROR(INDEX(Holidays!$C$5:$C$60,MATCH(A78,Holidays!$A$5:$A$60,0)),"")</f>
        <v/>
      </c>
      <c r="E78" s="31"/>
      <c r="F78" s="32"/>
      <c r="G78" s="32"/>
      <c r="H78" s="32"/>
      <c r="I78" s="32"/>
      <c r="J78" s="31"/>
      <c r="K78" s="33" t="str">
        <f aca="false">IF(E78&lt;&gt;"",E78,IF(U78,"Present",IF(C78="Holiday","Holiday","Weekend")))</f>
        <v>Weekend</v>
      </c>
      <c r="L78" s="34" t="str">
        <f aca="false">IF(OR(K78="Present",K78="Manual Work",K78="Partial Vacation",K78="Partial Sick Leave"),IF(ISNUMBER(F78),F78,IF(AND(K78="Present",U78),Settings!$B$6,"")),"")</f>
        <v/>
      </c>
      <c r="M78" s="34" t="str">
        <f aca="false">IF(OR(K78="Present",K78="Manual Work",K78="Partial Vacation",K78="Partial Sick Leave"),IF(ISNUMBER(G78),G78,IF(AND(K78="Present",U78),V78,"")),"")</f>
        <v/>
      </c>
      <c r="N78" s="14" t="n">
        <f aca="false">IF(AND(ISNUMBER(L78),ISNUMBER(M78)),MAX(0,(M78-L78)*24),0)</f>
        <v>0</v>
      </c>
      <c r="O78" s="14" t="n">
        <f aca="false">IF(NOT(U78),0,IF(K78="Vacation",IF(C78="Eve",Settings!$B$9*Settings!$B$11,W78),IF(K78="Partial Vacation",IF(AND(ISNUMBER(H78),ISNUMBER(I78)),MAX(0,(I78-H78)*24),0),0)))</f>
        <v>0</v>
      </c>
      <c r="P78" s="14" t="n">
        <f aca="false">IF(NOT(U78),0,IF(K78="Sick Leave",W78,IF(K78="Partial Sick Leave",IF(AND(ISNUMBER(H78),ISNUMBER(I78)),MAX(0,(I78-H78)*24),0),0)))</f>
        <v>0</v>
      </c>
      <c r="Q78" s="14" t="n">
        <f aca="false">IF(NOT(U78),0,IF(K78="Vacation",IF(C78="Eve",Settings!$B$11,1),IF(K78="Partial Vacation",O78/Settings!$B$9,0)))</f>
        <v>0</v>
      </c>
      <c r="R78" s="14" t="n">
        <f aca="false">IF(NOT(U78),0,IF(K78="Sick Leave",1,IF(K78="Partial Sick Leave",P78/Settings!$B$9,0)))</f>
        <v>0</v>
      </c>
      <c r="S78" s="35" t="str">
        <f aca="false">IF(AND(OR(E78="Vacation",E78="Sick Leave",E78="Partial Vacation",E78="Partial Sick Leave"),NOT(U78)),"Leave not allowed on this day",IF(AND(E78="Manual Work",OR(NOT(ISNUMBER(F78)),NOT(ISNUMBER(G78)))),"Enter start and end",IF(AND(OR(E78="Partial Vacation",E78="Partial Sick Leave"),OR(NOT(ISNUMBER(H78)),NOT(ISNUMBER(I78)))),"Enter leave from and to",IF(AND(ISNUMBER(F78),ISNUMBER(G78),G78&lt;=F78),"End is before start",IF(AND(ISNUMBER(H78),ISNUMBER(I78),I78&lt;=H78),"Leave end is before start",IF(AND(ISNUMBER(F78),ISNUMBER(G78),ISNUMBER(H78),ISNUMBER(I78),F78&lt;I78,H78&lt;G78),"Work and leave hours overlap",IF(AND(E78&lt;&gt;"",WEEKDAY(A78)=7),"Saturday - administrator only","")))))))</f>
        <v/>
      </c>
      <c r="T78" s="36" t="n">
        <f aca="false">MONTH(A78)</f>
        <v>3</v>
      </c>
      <c r="U78" s="37" t="b">
        <f aca="false">OR(C78="Workday",C78="Eve")</f>
        <v>0</v>
      </c>
      <c r="V78" s="34" t="n">
        <f aca="false">IF(C78="Eve",Settings!$B$8,Settings!$B$7)</f>
        <v>0.6875</v>
      </c>
      <c r="W78" s="14" t="n">
        <f aca="false">IF(U78,(V78-Settings!$B$6)*24,0)</f>
        <v>0</v>
      </c>
    </row>
    <row r="79" customFormat="false" ht="15" hidden="false" customHeight="false" outlineLevel="0" collapsed="false">
      <c r="A79" s="29" t="n">
        <v>46095</v>
      </c>
      <c r="B79" s="30" t="str">
        <f aca="false">CHOOSE(WEEKDAY(A79),"Sun","Mon","Tue","Wed","Thu","Fri","Sat")</f>
        <v>Sat</v>
      </c>
      <c r="C79" s="30" t="str">
        <f aca="false">IF(IFERROR(INDEX(Holidays!$D$5:$D$60,MATCH(A79,Holidays!$A$5:$A$60,0)),"")="Holiday","Holiday",IF(WEEKDAY(A79)&gt;=6,"Weekend",IF(IFERROR(INDEX(Holidays!$D$5:$D$60,MATCH(A79,Holidays!$A$5:$A$60,0)),"")="Eve","Eve","Workday")))</f>
        <v>Weekend</v>
      </c>
      <c r="D79" s="18" t="str">
        <f aca="false">IFERROR(INDEX(Holidays!$C$5:$C$60,MATCH(A79,Holidays!$A$5:$A$60,0)),"")</f>
        <v/>
      </c>
      <c r="E79" s="31"/>
      <c r="F79" s="32"/>
      <c r="G79" s="32"/>
      <c r="H79" s="32"/>
      <c r="I79" s="32"/>
      <c r="J79" s="31"/>
      <c r="K79" s="33" t="str">
        <f aca="false">IF(E79&lt;&gt;"",E79,IF(U79,"Present",IF(C79="Holiday","Holiday","Weekend")))</f>
        <v>Weekend</v>
      </c>
      <c r="L79" s="34" t="str">
        <f aca="false">IF(OR(K79="Present",K79="Manual Work",K79="Partial Vacation",K79="Partial Sick Leave"),IF(ISNUMBER(F79),F79,IF(AND(K79="Present",U79),Settings!$B$6,"")),"")</f>
        <v/>
      </c>
      <c r="M79" s="34" t="str">
        <f aca="false">IF(OR(K79="Present",K79="Manual Work",K79="Partial Vacation",K79="Partial Sick Leave"),IF(ISNUMBER(G79),G79,IF(AND(K79="Present",U79),V79,"")),"")</f>
        <v/>
      </c>
      <c r="N79" s="14" t="n">
        <f aca="false">IF(AND(ISNUMBER(L79),ISNUMBER(M79)),MAX(0,(M79-L79)*24),0)</f>
        <v>0</v>
      </c>
      <c r="O79" s="14" t="n">
        <f aca="false">IF(NOT(U79),0,IF(K79="Vacation",IF(C79="Eve",Settings!$B$9*Settings!$B$11,W79),IF(K79="Partial Vacation",IF(AND(ISNUMBER(H79),ISNUMBER(I79)),MAX(0,(I79-H79)*24),0),0)))</f>
        <v>0</v>
      </c>
      <c r="P79" s="14" t="n">
        <f aca="false">IF(NOT(U79),0,IF(K79="Sick Leave",W79,IF(K79="Partial Sick Leave",IF(AND(ISNUMBER(H79),ISNUMBER(I79)),MAX(0,(I79-H79)*24),0),0)))</f>
        <v>0</v>
      </c>
      <c r="Q79" s="14" t="n">
        <f aca="false">IF(NOT(U79),0,IF(K79="Vacation",IF(C79="Eve",Settings!$B$11,1),IF(K79="Partial Vacation",O79/Settings!$B$9,0)))</f>
        <v>0</v>
      </c>
      <c r="R79" s="14" t="n">
        <f aca="false">IF(NOT(U79),0,IF(K79="Sick Leave",1,IF(K79="Partial Sick Leave",P79/Settings!$B$9,0)))</f>
        <v>0</v>
      </c>
      <c r="S79" s="35" t="str">
        <f aca="false">IF(AND(OR(E79="Vacation",E79="Sick Leave",E79="Partial Vacation",E79="Partial Sick Leave"),NOT(U79)),"Leave not allowed on this day",IF(AND(E79="Manual Work",OR(NOT(ISNUMBER(F79)),NOT(ISNUMBER(G79)))),"Enter start and end",IF(AND(OR(E79="Partial Vacation",E79="Partial Sick Leave"),OR(NOT(ISNUMBER(H79)),NOT(ISNUMBER(I79)))),"Enter leave from and to",IF(AND(ISNUMBER(F79),ISNUMBER(G79),G79&lt;=F79),"End is before start",IF(AND(ISNUMBER(H79),ISNUMBER(I79),I79&lt;=H79),"Leave end is before start",IF(AND(ISNUMBER(F79),ISNUMBER(G79),ISNUMBER(H79),ISNUMBER(I79),F79&lt;I79,H79&lt;G79),"Work and leave hours overlap",IF(AND(E79&lt;&gt;"",WEEKDAY(A79)=7),"Saturday - administrator only","")))))))</f>
        <v/>
      </c>
      <c r="T79" s="36" t="n">
        <f aca="false">MONTH(A79)</f>
        <v>3</v>
      </c>
      <c r="U79" s="37" t="b">
        <f aca="false">OR(C79="Workday",C79="Eve")</f>
        <v>0</v>
      </c>
      <c r="V79" s="34" t="n">
        <f aca="false">IF(C79="Eve",Settings!$B$8,Settings!$B$7)</f>
        <v>0.6875</v>
      </c>
      <c r="W79" s="14" t="n">
        <f aca="false">IF(U79,(V79-Settings!$B$6)*24,0)</f>
        <v>0</v>
      </c>
    </row>
    <row r="80" customFormat="false" ht="15" hidden="false" customHeight="false" outlineLevel="0" collapsed="false">
      <c r="A80" s="29" t="n">
        <v>46096</v>
      </c>
      <c r="B80" s="30" t="str">
        <f aca="false">CHOOSE(WEEKDAY(A80),"Sun","Mon","Tue","Wed","Thu","Fri","Sat")</f>
        <v>Sun</v>
      </c>
      <c r="C80" s="30" t="str">
        <f aca="false">IF(IFERROR(INDEX(Holidays!$D$5:$D$60,MATCH(A80,Holidays!$A$5:$A$60,0)),"")="Holiday","Holiday",IF(WEEKDAY(A80)&gt;=6,"Weekend",IF(IFERROR(INDEX(Holidays!$D$5:$D$60,MATCH(A80,Holidays!$A$5:$A$60,0)),"")="Eve","Eve","Workday")))</f>
        <v>Workday</v>
      </c>
      <c r="D80" s="18" t="str">
        <f aca="false">IFERROR(INDEX(Holidays!$C$5:$C$60,MATCH(A80,Holidays!$A$5:$A$60,0)),"")</f>
        <v/>
      </c>
      <c r="E80" s="31"/>
      <c r="F80" s="32"/>
      <c r="G80" s="32"/>
      <c r="H80" s="32"/>
      <c r="I80" s="32"/>
      <c r="J80" s="31"/>
      <c r="K80" s="33" t="str">
        <f aca="false">IF(E80&lt;&gt;"",E80,IF(U80,"Present",IF(C80="Holiday","Holiday","Weekend")))</f>
        <v>Present</v>
      </c>
      <c r="L80" s="34" t="n">
        <f aca="false">IF(OR(K80="Present",K80="Manual Work",K80="Partial Vacation",K80="Partial Sick Leave"),IF(ISNUMBER(F80),F80,IF(AND(K80="Present",U80),Settings!$B$6,"")),"")</f>
        <v>0.333333333333333</v>
      </c>
      <c r="M80" s="34" t="n">
        <f aca="false">IF(OR(K80="Present",K80="Manual Work",K80="Partial Vacation",K80="Partial Sick Leave"),IF(ISNUMBER(G80),G80,IF(AND(K80="Present",U80),V80,"")),"")</f>
        <v>0.6875</v>
      </c>
      <c r="N80" s="14" t="n">
        <f aca="false">IF(AND(ISNUMBER(L80),ISNUMBER(M80)),MAX(0,(M80-L80)*24),0)</f>
        <v>8.5</v>
      </c>
      <c r="O80" s="14" t="n">
        <f aca="false">IF(NOT(U80),0,IF(K80="Vacation",IF(C80="Eve",Settings!$B$9*Settings!$B$11,W80),IF(K80="Partial Vacation",IF(AND(ISNUMBER(H80),ISNUMBER(I80)),MAX(0,(I80-H80)*24),0),0)))</f>
        <v>0</v>
      </c>
      <c r="P80" s="14" t="n">
        <f aca="false">IF(NOT(U80),0,IF(K80="Sick Leave",W80,IF(K80="Partial Sick Leave",IF(AND(ISNUMBER(H80),ISNUMBER(I80)),MAX(0,(I80-H80)*24),0),0)))</f>
        <v>0</v>
      </c>
      <c r="Q80" s="14" t="n">
        <f aca="false">IF(NOT(U80),0,IF(K80="Vacation",IF(C80="Eve",Settings!$B$11,1),IF(K80="Partial Vacation",O80/Settings!$B$9,0)))</f>
        <v>0</v>
      </c>
      <c r="R80" s="14" t="n">
        <f aca="false">IF(NOT(U80),0,IF(K80="Sick Leave",1,IF(K80="Partial Sick Leave",P80/Settings!$B$9,0)))</f>
        <v>0</v>
      </c>
      <c r="S80" s="35" t="str">
        <f aca="false">IF(AND(OR(E80="Vacation",E80="Sick Leave",E80="Partial Vacation",E80="Partial Sick Leave"),NOT(U80)),"Leave not allowed on this day",IF(AND(E80="Manual Work",OR(NOT(ISNUMBER(F80)),NOT(ISNUMBER(G80)))),"Enter start and end",IF(AND(OR(E80="Partial Vacation",E80="Partial Sick Leave"),OR(NOT(ISNUMBER(H80)),NOT(ISNUMBER(I80)))),"Enter leave from and to",IF(AND(ISNUMBER(F80),ISNUMBER(G80),G80&lt;=F80),"End is before start",IF(AND(ISNUMBER(H80),ISNUMBER(I80),I80&lt;=H80),"Leave end is before start",IF(AND(ISNUMBER(F80),ISNUMBER(G80),ISNUMBER(H80),ISNUMBER(I80),F80&lt;I80,H80&lt;G80),"Work and leave hours overlap",IF(AND(E80&lt;&gt;"",WEEKDAY(A80)=7),"Saturday - administrator only","")))))))</f>
        <v/>
      </c>
      <c r="T80" s="36" t="n">
        <f aca="false">MONTH(A80)</f>
        <v>3</v>
      </c>
      <c r="U80" s="37" t="b">
        <f aca="false">OR(C80="Workday",C80="Eve")</f>
        <v>1</v>
      </c>
      <c r="V80" s="34" t="n">
        <f aca="false">IF(C80="Eve",Settings!$B$8,Settings!$B$7)</f>
        <v>0.6875</v>
      </c>
      <c r="W80" s="14" t="n">
        <f aca="false">IF(U80,(V80-Settings!$B$6)*24,0)</f>
        <v>8.5</v>
      </c>
    </row>
    <row r="81" customFormat="false" ht="15" hidden="false" customHeight="false" outlineLevel="0" collapsed="false">
      <c r="A81" s="29" t="n">
        <v>46097</v>
      </c>
      <c r="B81" s="30" t="str">
        <f aca="false">CHOOSE(WEEKDAY(A81),"Sun","Mon","Tue","Wed","Thu","Fri","Sat")</f>
        <v>Mon</v>
      </c>
      <c r="C81" s="30" t="str">
        <f aca="false">IF(IFERROR(INDEX(Holidays!$D$5:$D$60,MATCH(A81,Holidays!$A$5:$A$60,0)),"")="Holiday","Holiday",IF(WEEKDAY(A81)&gt;=6,"Weekend",IF(IFERROR(INDEX(Holidays!$D$5:$D$60,MATCH(A81,Holidays!$A$5:$A$60,0)),"")="Eve","Eve","Workday")))</f>
        <v>Workday</v>
      </c>
      <c r="D81" s="18" t="str">
        <f aca="false">IFERROR(INDEX(Holidays!$C$5:$C$60,MATCH(A81,Holidays!$A$5:$A$60,0)),"")</f>
        <v/>
      </c>
      <c r="E81" s="31"/>
      <c r="F81" s="32"/>
      <c r="G81" s="32"/>
      <c r="H81" s="32"/>
      <c r="I81" s="32"/>
      <c r="J81" s="31"/>
      <c r="K81" s="33" t="str">
        <f aca="false">IF(E81&lt;&gt;"",E81,IF(U81,"Present",IF(C81="Holiday","Holiday","Weekend")))</f>
        <v>Present</v>
      </c>
      <c r="L81" s="34" t="n">
        <f aca="false">IF(OR(K81="Present",K81="Manual Work",K81="Partial Vacation",K81="Partial Sick Leave"),IF(ISNUMBER(F81),F81,IF(AND(K81="Present",U81),Settings!$B$6,"")),"")</f>
        <v>0.333333333333333</v>
      </c>
      <c r="M81" s="34" t="n">
        <f aca="false">IF(OR(K81="Present",K81="Manual Work",K81="Partial Vacation",K81="Partial Sick Leave"),IF(ISNUMBER(G81),G81,IF(AND(K81="Present",U81),V81,"")),"")</f>
        <v>0.6875</v>
      </c>
      <c r="N81" s="14" t="n">
        <f aca="false">IF(AND(ISNUMBER(L81),ISNUMBER(M81)),MAX(0,(M81-L81)*24),0)</f>
        <v>8.5</v>
      </c>
      <c r="O81" s="14" t="n">
        <f aca="false">IF(NOT(U81),0,IF(K81="Vacation",IF(C81="Eve",Settings!$B$9*Settings!$B$11,W81),IF(K81="Partial Vacation",IF(AND(ISNUMBER(H81),ISNUMBER(I81)),MAX(0,(I81-H81)*24),0),0)))</f>
        <v>0</v>
      </c>
      <c r="P81" s="14" t="n">
        <f aca="false">IF(NOT(U81),0,IF(K81="Sick Leave",W81,IF(K81="Partial Sick Leave",IF(AND(ISNUMBER(H81),ISNUMBER(I81)),MAX(0,(I81-H81)*24),0),0)))</f>
        <v>0</v>
      </c>
      <c r="Q81" s="14" t="n">
        <f aca="false">IF(NOT(U81),0,IF(K81="Vacation",IF(C81="Eve",Settings!$B$11,1),IF(K81="Partial Vacation",O81/Settings!$B$9,0)))</f>
        <v>0</v>
      </c>
      <c r="R81" s="14" t="n">
        <f aca="false">IF(NOT(U81),0,IF(K81="Sick Leave",1,IF(K81="Partial Sick Leave",P81/Settings!$B$9,0)))</f>
        <v>0</v>
      </c>
      <c r="S81" s="35" t="str">
        <f aca="false">IF(AND(OR(E81="Vacation",E81="Sick Leave",E81="Partial Vacation",E81="Partial Sick Leave"),NOT(U81)),"Leave not allowed on this day",IF(AND(E81="Manual Work",OR(NOT(ISNUMBER(F81)),NOT(ISNUMBER(G81)))),"Enter start and end",IF(AND(OR(E81="Partial Vacation",E81="Partial Sick Leave"),OR(NOT(ISNUMBER(H81)),NOT(ISNUMBER(I81)))),"Enter leave from and to",IF(AND(ISNUMBER(F81),ISNUMBER(G81),G81&lt;=F81),"End is before start",IF(AND(ISNUMBER(H81),ISNUMBER(I81),I81&lt;=H81),"Leave end is before start",IF(AND(ISNUMBER(F81),ISNUMBER(G81),ISNUMBER(H81),ISNUMBER(I81),F81&lt;I81,H81&lt;G81),"Work and leave hours overlap",IF(AND(E81&lt;&gt;"",WEEKDAY(A81)=7),"Saturday - administrator only","")))))))</f>
        <v/>
      </c>
      <c r="T81" s="36" t="n">
        <f aca="false">MONTH(A81)</f>
        <v>3</v>
      </c>
      <c r="U81" s="37" t="b">
        <f aca="false">OR(C81="Workday",C81="Eve")</f>
        <v>1</v>
      </c>
      <c r="V81" s="34" t="n">
        <f aca="false">IF(C81="Eve",Settings!$B$8,Settings!$B$7)</f>
        <v>0.6875</v>
      </c>
      <c r="W81" s="14" t="n">
        <f aca="false">IF(U81,(V81-Settings!$B$6)*24,0)</f>
        <v>8.5</v>
      </c>
    </row>
    <row r="82" customFormat="false" ht="15" hidden="false" customHeight="false" outlineLevel="0" collapsed="false">
      <c r="A82" s="29" t="n">
        <v>46098</v>
      </c>
      <c r="B82" s="30" t="str">
        <f aca="false">CHOOSE(WEEKDAY(A82),"Sun","Mon","Tue","Wed","Thu","Fri","Sat")</f>
        <v>Tue</v>
      </c>
      <c r="C82" s="30" t="str">
        <f aca="false">IF(IFERROR(INDEX(Holidays!$D$5:$D$60,MATCH(A82,Holidays!$A$5:$A$60,0)),"")="Holiday","Holiday",IF(WEEKDAY(A82)&gt;=6,"Weekend",IF(IFERROR(INDEX(Holidays!$D$5:$D$60,MATCH(A82,Holidays!$A$5:$A$60,0)),"")="Eve","Eve","Workday")))</f>
        <v>Workday</v>
      </c>
      <c r="D82" s="18" t="str">
        <f aca="false">IFERROR(INDEX(Holidays!$C$5:$C$60,MATCH(A82,Holidays!$A$5:$A$60,0)),"")</f>
        <v/>
      </c>
      <c r="E82" s="31"/>
      <c r="F82" s="32"/>
      <c r="G82" s="32"/>
      <c r="H82" s="32"/>
      <c r="I82" s="32"/>
      <c r="J82" s="31"/>
      <c r="K82" s="33" t="str">
        <f aca="false">IF(E82&lt;&gt;"",E82,IF(U82,"Present",IF(C82="Holiday","Holiday","Weekend")))</f>
        <v>Present</v>
      </c>
      <c r="L82" s="34" t="n">
        <f aca="false">IF(OR(K82="Present",K82="Manual Work",K82="Partial Vacation",K82="Partial Sick Leave"),IF(ISNUMBER(F82),F82,IF(AND(K82="Present",U82),Settings!$B$6,"")),"")</f>
        <v>0.333333333333333</v>
      </c>
      <c r="M82" s="34" t="n">
        <f aca="false">IF(OR(K82="Present",K82="Manual Work",K82="Partial Vacation",K82="Partial Sick Leave"),IF(ISNUMBER(G82),G82,IF(AND(K82="Present",U82),V82,"")),"")</f>
        <v>0.6875</v>
      </c>
      <c r="N82" s="14" t="n">
        <f aca="false">IF(AND(ISNUMBER(L82),ISNUMBER(M82)),MAX(0,(M82-L82)*24),0)</f>
        <v>8.5</v>
      </c>
      <c r="O82" s="14" t="n">
        <f aca="false">IF(NOT(U82),0,IF(K82="Vacation",IF(C82="Eve",Settings!$B$9*Settings!$B$11,W82),IF(K82="Partial Vacation",IF(AND(ISNUMBER(H82),ISNUMBER(I82)),MAX(0,(I82-H82)*24),0),0)))</f>
        <v>0</v>
      </c>
      <c r="P82" s="14" t="n">
        <f aca="false">IF(NOT(U82),0,IF(K82="Sick Leave",W82,IF(K82="Partial Sick Leave",IF(AND(ISNUMBER(H82),ISNUMBER(I82)),MAX(0,(I82-H82)*24),0),0)))</f>
        <v>0</v>
      </c>
      <c r="Q82" s="14" t="n">
        <f aca="false">IF(NOT(U82),0,IF(K82="Vacation",IF(C82="Eve",Settings!$B$11,1),IF(K82="Partial Vacation",O82/Settings!$B$9,0)))</f>
        <v>0</v>
      </c>
      <c r="R82" s="14" t="n">
        <f aca="false">IF(NOT(U82),0,IF(K82="Sick Leave",1,IF(K82="Partial Sick Leave",P82/Settings!$B$9,0)))</f>
        <v>0</v>
      </c>
      <c r="S82" s="35" t="str">
        <f aca="false">IF(AND(OR(E82="Vacation",E82="Sick Leave",E82="Partial Vacation",E82="Partial Sick Leave"),NOT(U82)),"Leave not allowed on this day",IF(AND(E82="Manual Work",OR(NOT(ISNUMBER(F82)),NOT(ISNUMBER(G82)))),"Enter start and end",IF(AND(OR(E82="Partial Vacation",E82="Partial Sick Leave"),OR(NOT(ISNUMBER(H82)),NOT(ISNUMBER(I82)))),"Enter leave from and to",IF(AND(ISNUMBER(F82),ISNUMBER(G82),G82&lt;=F82),"End is before start",IF(AND(ISNUMBER(H82),ISNUMBER(I82),I82&lt;=H82),"Leave end is before start",IF(AND(ISNUMBER(F82),ISNUMBER(G82),ISNUMBER(H82),ISNUMBER(I82),F82&lt;I82,H82&lt;G82),"Work and leave hours overlap",IF(AND(E82&lt;&gt;"",WEEKDAY(A82)=7),"Saturday - administrator only","")))))))</f>
        <v/>
      </c>
      <c r="T82" s="36" t="n">
        <f aca="false">MONTH(A82)</f>
        <v>3</v>
      </c>
      <c r="U82" s="37" t="b">
        <f aca="false">OR(C82="Workday",C82="Eve")</f>
        <v>1</v>
      </c>
      <c r="V82" s="34" t="n">
        <f aca="false">IF(C82="Eve",Settings!$B$8,Settings!$B$7)</f>
        <v>0.6875</v>
      </c>
      <c r="W82" s="14" t="n">
        <f aca="false">IF(U82,(V82-Settings!$B$6)*24,0)</f>
        <v>8.5</v>
      </c>
    </row>
    <row r="83" customFormat="false" ht="15" hidden="false" customHeight="false" outlineLevel="0" collapsed="false">
      <c r="A83" s="29" t="n">
        <v>46099</v>
      </c>
      <c r="B83" s="30" t="str">
        <f aca="false">CHOOSE(WEEKDAY(A83),"Sun","Mon","Tue","Wed","Thu","Fri","Sat")</f>
        <v>Wed</v>
      </c>
      <c r="C83" s="30" t="str">
        <f aca="false">IF(IFERROR(INDEX(Holidays!$D$5:$D$60,MATCH(A83,Holidays!$A$5:$A$60,0)),"")="Holiday","Holiday",IF(WEEKDAY(A83)&gt;=6,"Weekend",IF(IFERROR(INDEX(Holidays!$D$5:$D$60,MATCH(A83,Holidays!$A$5:$A$60,0)),"")="Eve","Eve","Workday")))</f>
        <v>Workday</v>
      </c>
      <c r="D83" s="18" t="str">
        <f aca="false">IFERROR(INDEX(Holidays!$C$5:$C$60,MATCH(A83,Holidays!$A$5:$A$60,0)),"")</f>
        <v/>
      </c>
      <c r="E83" s="31"/>
      <c r="F83" s="32"/>
      <c r="G83" s="32"/>
      <c r="H83" s="32"/>
      <c r="I83" s="32"/>
      <c r="J83" s="31"/>
      <c r="K83" s="33" t="str">
        <f aca="false">IF(E83&lt;&gt;"",E83,IF(U83,"Present",IF(C83="Holiday","Holiday","Weekend")))</f>
        <v>Present</v>
      </c>
      <c r="L83" s="34" t="n">
        <f aca="false">IF(OR(K83="Present",K83="Manual Work",K83="Partial Vacation",K83="Partial Sick Leave"),IF(ISNUMBER(F83),F83,IF(AND(K83="Present",U83),Settings!$B$6,"")),"")</f>
        <v>0.333333333333333</v>
      </c>
      <c r="M83" s="34" t="n">
        <f aca="false">IF(OR(K83="Present",K83="Manual Work",K83="Partial Vacation",K83="Partial Sick Leave"),IF(ISNUMBER(G83),G83,IF(AND(K83="Present",U83),V83,"")),"")</f>
        <v>0.6875</v>
      </c>
      <c r="N83" s="14" t="n">
        <f aca="false">IF(AND(ISNUMBER(L83),ISNUMBER(M83)),MAX(0,(M83-L83)*24),0)</f>
        <v>8.5</v>
      </c>
      <c r="O83" s="14" t="n">
        <f aca="false">IF(NOT(U83),0,IF(K83="Vacation",IF(C83="Eve",Settings!$B$9*Settings!$B$11,W83),IF(K83="Partial Vacation",IF(AND(ISNUMBER(H83),ISNUMBER(I83)),MAX(0,(I83-H83)*24),0),0)))</f>
        <v>0</v>
      </c>
      <c r="P83" s="14" t="n">
        <f aca="false">IF(NOT(U83),0,IF(K83="Sick Leave",W83,IF(K83="Partial Sick Leave",IF(AND(ISNUMBER(H83),ISNUMBER(I83)),MAX(0,(I83-H83)*24),0),0)))</f>
        <v>0</v>
      </c>
      <c r="Q83" s="14" t="n">
        <f aca="false">IF(NOT(U83),0,IF(K83="Vacation",IF(C83="Eve",Settings!$B$11,1),IF(K83="Partial Vacation",O83/Settings!$B$9,0)))</f>
        <v>0</v>
      </c>
      <c r="R83" s="14" t="n">
        <f aca="false">IF(NOT(U83),0,IF(K83="Sick Leave",1,IF(K83="Partial Sick Leave",P83/Settings!$B$9,0)))</f>
        <v>0</v>
      </c>
      <c r="S83" s="35" t="str">
        <f aca="false">IF(AND(OR(E83="Vacation",E83="Sick Leave",E83="Partial Vacation",E83="Partial Sick Leave"),NOT(U83)),"Leave not allowed on this day",IF(AND(E83="Manual Work",OR(NOT(ISNUMBER(F83)),NOT(ISNUMBER(G83)))),"Enter start and end",IF(AND(OR(E83="Partial Vacation",E83="Partial Sick Leave"),OR(NOT(ISNUMBER(H83)),NOT(ISNUMBER(I83)))),"Enter leave from and to",IF(AND(ISNUMBER(F83),ISNUMBER(G83),G83&lt;=F83),"End is before start",IF(AND(ISNUMBER(H83),ISNUMBER(I83),I83&lt;=H83),"Leave end is before start",IF(AND(ISNUMBER(F83),ISNUMBER(G83),ISNUMBER(H83),ISNUMBER(I83),F83&lt;I83,H83&lt;G83),"Work and leave hours overlap",IF(AND(E83&lt;&gt;"",WEEKDAY(A83)=7),"Saturday - administrator only","")))))))</f>
        <v/>
      </c>
      <c r="T83" s="36" t="n">
        <f aca="false">MONTH(A83)</f>
        <v>3</v>
      </c>
      <c r="U83" s="37" t="b">
        <f aca="false">OR(C83="Workday",C83="Eve")</f>
        <v>1</v>
      </c>
      <c r="V83" s="34" t="n">
        <f aca="false">IF(C83="Eve",Settings!$B$8,Settings!$B$7)</f>
        <v>0.6875</v>
      </c>
      <c r="W83" s="14" t="n">
        <f aca="false">IF(U83,(V83-Settings!$B$6)*24,0)</f>
        <v>8.5</v>
      </c>
    </row>
    <row r="84" customFormat="false" ht="15" hidden="false" customHeight="false" outlineLevel="0" collapsed="false">
      <c r="A84" s="29" t="n">
        <v>46100</v>
      </c>
      <c r="B84" s="30" t="str">
        <f aca="false">CHOOSE(WEEKDAY(A84),"Sun","Mon","Tue","Wed","Thu","Fri","Sat")</f>
        <v>Thu</v>
      </c>
      <c r="C84" s="30" t="str">
        <f aca="false">IF(IFERROR(INDEX(Holidays!$D$5:$D$60,MATCH(A84,Holidays!$A$5:$A$60,0)),"")="Holiday","Holiday",IF(WEEKDAY(A84)&gt;=6,"Weekend",IF(IFERROR(INDEX(Holidays!$D$5:$D$60,MATCH(A84,Holidays!$A$5:$A$60,0)),"")="Eve","Eve","Workday")))</f>
        <v>Workday</v>
      </c>
      <c r="D84" s="18" t="str">
        <f aca="false">IFERROR(INDEX(Holidays!$C$5:$C$60,MATCH(A84,Holidays!$A$5:$A$60,0)),"")</f>
        <v/>
      </c>
      <c r="E84" s="31"/>
      <c r="F84" s="32"/>
      <c r="G84" s="32"/>
      <c r="H84" s="32"/>
      <c r="I84" s="32"/>
      <c r="J84" s="31"/>
      <c r="K84" s="33" t="str">
        <f aca="false">IF(E84&lt;&gt;"",E84,IF(U84,"Present",IF(C84="Holiday","Holiday","Weekend")))</f>
        <v>Present</v>
      </c>
      <c r="L84" s="34" t="n">
        <f aca="false">IF(OR(K84="Present",K84="Manual Work",K84="Partial Vacation",K84="Partial Sick Leave"),IF(ISNUMBER(F84),F84,IF(AND(K84="Present",U84),Settings!$B$6,"")),"")</f>
        <v>0.333333333333333</v>
      </c>
      <c r="M84" s="34" t="n">
        <f aca="false">IF(OR(K84="Present",K84="Manual Work",K84="Partial Vacation",K84="Partial Sick Leave"),IF(ISNUMBER(G84),G84,IF(AND(K84="Present",U84),V84,"")),"")</f>
        <v>0.6875</v>
      </c>
      <c r="N84" s="14" t="n">
        <f aca="false">IF(AND(ISNUMBER(L84),ISNUMBER(M84)),MAX(0,(M84-L84)*24),0)</f>
        <v>8.5</v>
      </c>
      <c r="O84" s="14" t="n">
        <f aca="false">IF(NOT(U84),0,IF(K84="Vacation",IF(C84="Eve",Settings!$B$9*Settings!$B$11,W84),IF(K84="Partial Vacation",IF(AND(ISNUMBER(H84),ISNUMBER(I84)),MAX(0,(I84-H84)*24),0),0)))</f>
        <v>0</v>
      </c>
      <c r="P84" s="14" t="n">
        <f aca="false">IF(NOT(U84),0,IF(K84="Sick Leave",W84,IF(K84="Partial Sick Leave",IF(AND(ISNUMBER(H84),ISNUMBER(I84)),MAX(0,(I84-H84)*24),0),0)))</f>
        <v>0</v>
      </c>
      <c r="Q84" s="14" t="n">
        <f aca="false">IF(NOT(U84),0,IF(K84="Vacation",IF(C84="Eve",Settings!$B$11,1),IF(K84="Partial Vacation",O84/Settings!$B$9,0)))</f>
        <v>0</v>
      </c>
      <c r="R84" s="14" t="n">
        <f aca="false">IF(NOT(U84),0,IF(K84="Sick Leave",1,IF(K84="Partial Sick Leave",P84/Settings!$B$9,0)))</f>
        <v>0</v>
      </c>
      <c r="S84" s="35" t="str">
        <f aca="false">IF(AND(OR(E84="Vacation",E84="Sick Leave",E84="Partial Vacation",E84="Partial Sick Leave"),NOT(U84)),"Leave not allowed on this day",IF(AND(E84="Manual Work",OR(NOT(ISNUMBER(F84)),NOT(ISNUMBER(G84)))),"Enter start and end",IF(AND(OR(E84="Partial Vacation",E84="Partial Sick Leave"),OR(NOT(ISNUMBER(H84)),NOT(ISNUMBER(I84)))),"Enter leave from and to",IF(AND(ISNUMBER(F84),ISNUMBER(G84),G84&lt;=F84),"End is before start",IF(AND(ISNUMBER(H84),ISNUMBER(I84),I84&lt;=H84),"Leave end is before start",IF(AND(ISNUMBER(F84),ISNUMBER(G84),ISNUMBER(H84),ISNUMBER(I84),F84&lt;I84,H84&lt;G84),"Work and leave hours overlap",IF(AND(E84&lt;&gt;"",WEEKDAY(A84)=7),"Saturday - administrator only","")))))))</f>
        <v/>
      </c>
      <c r="T84" s="36" t="n">
        <f aca="false">MONTH(A84)</f>
        <v>3</v>
      </c>
      <c r="U84" s="37" t="b">
        <f aca="false">OR(C84="Workday",C84="Eve")</f>
        <v>1</v>
      </c>
      <c r="V84" s="34" t="n">
        <f aca="false">IF(C84="Eve",Settings!$B$8,Settings!$B$7)</f>
        <v>0.6875</v>
      </c>
      <c r="W84" s="14" t="n">
        <f aca="false">IF(U84,(V84-Settings!$B$6)*24,0)</f>
        <v>8.5</v>
      </c>
    </row>
    <row r="85" customFormat="false" ht="15" hidden="false" customHeight="false" outlineLevel="0" collapsed="false">
      <c r="A85" s="29" t="n">
        <v>46101</v>
      </c>
      <c r="B85" s="30" t="str">
        <f aca="false">CHOOSE(WEEKDAY(A85),"Sun","Mon","Tue","Wed","Thu","Fri","Sat")</f>
        <v>Fri</v>
      </c>
      <c r="C85" s="30" t="str">
        <f aca="false">IF(IFERROR(INDEX(Holidays!$D$5:$D$60,MATCH(A85,Holidays!$A$5:$A$60,0)),"")="Holiday","Holiday",IF(WEEKDAY(A85)&gt;=6,"Weekend",IF(IFERROR(INDEX(Holidays!$D$5:$D$60,MATCH(A85,Holidays!$A$5:$A$60,0)),"")="Eve","Eve","Workday")))</f>
        <v>Weekend</v>
      </c>
      <c r="D85" s="18" t="str">
        <f aca="false">IFERROR(INDEX(Holidays!$C$5:$C$60,MATCH(A85,Holidays!$A$5:$A$60,0)),"")</f>
        <v/>
      </c>
      <c r="E85" s="31"/>
      <c r="F85" s="32"/>
      <c r="G85" s="32"/>
      <c r="H85" s="32"/>
      <c r="I85" s="32"/>
      <c r="J85" s="31"/>
      <c r="K85" s="33" t="str">
        <f aca="false">IF(E85&lt;&gt;"",E85,IF(U85,"Present",IF(C85="Holiday","Holiday","Weekend")))</f>
        <v>Weekend</v>
      </c>
      <c r="L85" s="34" t="str">
        <f aca="false">IF(OR(K85="Present",K85="Manual Work",K85="Partial Vacation",K85="Partial Sick Leave"),IF(ISNUMBER(F85),F85,IF(AND(K85="Present",U85),Settings!$B$6,"")),"")</f>
        <v/>
      </c>
      <c r="M85" s="34" t="str">
        <f aca="false">IF(OR(K85="Present",K85="Manual Work",K85="Partial Vacation",K85="Partial Sick Leave"),IF(ISNUMBER(G85),G85,IF(AND(K85="Present",U85),V85,"")),"")</f>
        <v/>
      </c>
      <c r="N85" s="14" t="n">
        <f aca="false">IF(AND(ISNUMBER(L85),ISNUMBER(M85)),MAX(0,(M85-L85)*24),0)</f>
        <v>0</v>
      </c>
      <c r="O85" s="14" t="n">
        <f aca="false">IF(NOT(U85),0,IF(K85="Vacation",IF(C85="Eve",Settings!$B$9*Settings!$B$11,W85),IF(K85="Partial Vacation",IF(AND(ISNUMBER(H85),ISNUMBER(I85)),MAX(0,(I85-H85)*24),0),0)))</f>
        <v>0</v>
      </c>
      <c r="P85" s="14" t="n">
        <f aca="false">IF(NOT(U85),0,IF(K85="Sick Leave",W85,IF(K85="Partial Sick Leave",IF(AND(ISNUMBER(H85),ISNUMBER(I85)),MAX(0,(I85-H85)*24),0),0)))</f>
        <v>0</v>
      </c>
      <c r="Q85" s="14" t="n">
        <f aca="false">IF(NOT(U85),0,IF(K85="Vacation",IF(C85="Eve",Settings!$B$11,1),IF(K85="Partial Vacation",O85/Settings!$B$9,0)))</f>
        <v>0</v>
      </c>
      <c r="R85" s="14" t="n">
        <f aca="false">IF(NOT(U85),0,IF(K85="Sick Leave",1,IF(K85="Partial Sick Leave",P85/Settings!$B$9,0)))</f>
        <v>0</v>
      </c>
      <c r="S85" s="35" t="str">
        <f aca="false">IF(AND(OR(E85="Vacation",E85="Sick Leave",E85="Partial Vacation",E85="Partial Sick Leave"),NOT(U85)),"Leave not allowed on this day",IF(AND(E85="Manual Work",OR(NOT(ISNUMBER(F85)),NOT(ISNUMBER(G85)))),"Enter start and end",IF(AND(OR(E85="Partial Vacation",E85="Partial Sick Leave"),OR(NOT(ISNUMBER(H85)),NOT(ISNUMBER(I85)))),"Enter leave from and to",IF(AND(ISNUMBER(F85),ISNUMBER(G85),G85&lt;=F85),"End is before start",IF(AND(ISNUMBER(H85),ISNUMBER(I85),I85&lt;=H85),"Leave end is before start",IF(AND(ISNUMBER(F85),ISNUMBER(G85),ISNUMBER(H85),ISNUMBER(I85),F85&lt;I85,H85&lt;G85),"Work and leave hours overlap",IF(AND(E85&lt;&gt;"",WEEKDAY(A85)=7),"Saturday - administrator only","")))))))</f>
        <v/>
      </c>
      <c r="T85" s="36" t="n">
        <f aca="false">MONTH(A85)</f>
        <v>3</v>
      </c>
      <c r="U85" s="37" t="b">
        <f aca="false">OR(C85="Workday",C85="Eve")</f>
        <v>0</v>
      </c>
      <c r="V85" s="34" t="n">
        <f aca="false">IF(C85="Eve",Settings!$B$8,Settings!$B$7)</f>
        <v>0.6875</v>
      </c>
      <c r="W85" s="14" t="n">
        <f aca="false">IF(U85,(V85-Settings!$B$6)*24,0)</f>
        <v>0</v>
      </c>
    </row>
    <row r="86" customFormat="false" ht="15" hidden="false" customHeight="false" outlineLevel="0" collapsed="false">
      <c r="A86" s="29" t="n">
        <v>46102</v>
      </c>
      <c r="B86" s="30" t="str">
        <f aca="false">CHOOSE(WEEKDAY(A86),"Sun","Mon","Tue","Wed","Thu","Fri","Sat")</f>
        <v>Sat</v>
      </c>
      <c r="C86" s="30" t="str">
        <f aca="false">IF(IFERROR(INDEX(Holidays!$D$5:$D$60,MATCH(A86,Holidays!$A$5:$A$60,0)),"")="Holiday","Holiday",IF(WEEKDAY(A86)&gt;=6,"Weekend",IF(IFERROR(INDEX(Holidays!$D$5:$D$60,MATCH(A86,Holidays!$A$5:$A$60,0)),"")="Eve","Eve","Workday")))</f>
        <v>Weekend</v>
      </c>
      <c r="D86" s="18" t="str">
        <f aca="false">IFERROR(INDEX(Holidays!$C$5:$C$60,MATCH(A86,Holidays!$A$5:$A$60,0)),"")</f>
        <v/>
      </c>
      <c r="E86" s="31"/>
      <c r="F86" s="32"/>
      <c r="G86" s="32"/>
      <c r="H86" s="32"/>
      <c r="I86" s="32"/>
      <c r="J86" s="31"/>
      <c r="K86" s="33" t="str">
        <f aca="false">IF(E86&lt;&gt;"",E86,IF(U86,"Present",IF(C86="Holiday","Holiday","Weekend")))</f>
        <v>Weekend</v>
      </c>
      <c r="L86" s="34" t="str">
        <f aca="false">IF(OR(K86="Present",K86="Manual Work",K86="Partial Vacation",K86="Partial Sick Leave"),IF(ISNUMBER(F86),F86,IF(AND(K86="Present",U86),Settings!$B$6,"")),"")</f>
        <v/>
      </c>
      <c r="M86" s="34" t="str">
        <f aca="false">IF(OR(K86="Present",K86="Manual Work",K86="Partial Vacation",K86="Partial Sick Leave"),IF(ISNUMBER(G86),G86,IF(AND(K86="Present",U86),V86,"")),"")</f>
        <v/>
      </c>
      <c r="N86" s="14" t="n">
        <f aca="false">IF(AND(ISNUMBER(L86),ISNUMBER(M86)),MAX(0,(M86-L86)*24),0)</f>
        <v>0</v>
      </c>
      <c r="O86" s="14" t="n">
        <f aca="false">IF(NOT(U86),0,IF(K86="Vacation",IF(C86="Eve",Settings!$B$9*Settings!$B$11,W86),IF(K86="Partial Vacation",IF(AND(ISNUMBER(H86),ISNUMBER(I86)),MAX(0,(I86-H86)*24),0),0)))</f>
        <v>0</v>
      </c>
      <c r="P86" s="14" t="n">
        <f aca="false">IF(NOT(U86),0,IF(K86="Sick Leave",W86,IF(K86="Partial Sick Leave",IF(AND(ISNUMBER(H86),ISNUMBER(I86)),MAX(0,(I86-H86)*24),0),0)))</f>
        <v>0</v>
      </c>
      <c r="Q86" s="14" t="n">
        <f aca="false">IF(NOT(U86),0,IF(K86="Vacation",IF(C86="Eve",Settings!$B$11,1),IF(K86="Partial Vacation",O86/Settings!$B$9,0)))</f>
        <v>0</v>
      </c>
      <c r="R86" s="14" t="n">
        <f aca="false">IF(NOT(U86),0,IF(K86="Sick Leave",1,IF(K86="Partial Sick Leave",P86/Settings!$B$9,0)))</f>
        <v>0</v>
      </c>
      <c r="S86" s="35" t="str">
        <f aca="false">IF(AND(OR(E86="Vacation",E86="Sick Leave",E86="Partial Vacation",E86="Partial Sick Leave"),NOT(U86)),"Leave not allowed on this day",IF(AND(E86="Manual Work",OR(NOT(ISNUMBER(F86)),NOT(ISNUMBER(G86)))),"Enter start and end",IF(AND(OR(E86="Partial Vacation",E86="Partial Sick Leave"),OR(NOT(ISNUMBER(H86)),NOT(ISNUMBER(I86)))),"Enter leave from and to",IF(AND(ISNUMBER(F86),ISNUMBER(G86),G86&lt;=F86),"End is before start",IF(AND(ISNUMBER(H86),ISNUMBER(I86),I86&lt;=H86),"Leave end is before start",IF(AND(ISNUMBER(F86),ISNUMBER(G86),ISNUMBER(H86),ISNUMBER(I86),F86&lt;I86,H86&lt;G86),"Work and leave hours overlap",IF(AND(E86&lt;&gt;"",WEEKDAY(A86)=7),"Saturday - administrator only","")))))))</f>
        <v/>
      </c>
      <c r="T86" s="36" t="n">
        <f aca="false">MONTH(A86)</f>
        <v>3</v>
      </c>
      <c r="U86" s="37" t="b">
        <f aca="false">OR(C86="Workday",C86="Eve")</f>
        <v>0</v>
      </c>
      <c r="V86" s="34" t="n">
        <f aca="false">IF(C86="Eve",Settings!$B$8,Settings!$B$7)</f>
        <v>0.6875</v>
      </c>
      <c r="W86" s="14" t="n">
        <f aca="false">IF(U86,(V86-Settings!$B$6)*24,0)</f>
        <v>0</v>
      </c>
    </row>
    <row r="87" customFormat="false" ht="15" hidden="false" customHeight="false" outlineLevel="0" collapsed="false">
      <c r="A87" s="29" t="n">
        <v>46103</v>
      </c>
      <c r="B87" s="30" t="str">
        <f aca="false">CHOOSE(WEEKDAY(A87),"Sun","Mon","Tue","Wed","Thu","Fri","Sat")</f>
        <v>Sun</v>
      </c>
      <c r="C87" s="30" t="str">
        <f aca="false">IF(IFERROR(INDEX(Holidays!$D$5:$D$60,MATCH(A87,Holidays!$A$5:$A$60,0)),"")="Holiday","Holiday",IF(WEEKDAY(A87)&gt;=6,"Weekend",IF(IFERROR(INDEX(Holidays!$D$5:$D$60,MATCH(A87,Holidays!$A$5:$A$60,0)),"")="Eve","Eve","Workday")))</f>
        <v>Workday</v>
      </c>
      <c r="D87" s="18" t="str">
        <f aca="false">IFERROR(INDEX(Holidays!$C$5:$C$60,MATCH(A87,Holidays!$A$5:$A$60,0)),"")</f>
        <v/>
      </c>
      <c r="E87" s="31"/>
      <c r="F87" s="32"/>
      <c r="G87" s="32"/>
      <c r="H87" s="32"/>
      <c r="I87" s="32"/>
      <c r="J87" s="31"/>
      <c r="K87" s="33" t="str">
        <f aca="false">IF(E87&lt;&gt;"",E87,IF(U87,"Present",IF(C87="Holiday","Holiday","Weekend")))</f>
        <v>Present</v>
      </c>
      <c r="L87" s="34" t="n">
        <f aca="false">IF(OR(K87="Present",K87="Manual Work",K87="Partial Vacation",K87="Partial Sick Leave"),IF(ISNUMBER(F87),F87,IF(AND(K87="Present",U87),Settings!$B$6,"")),"")</f>
        <v>0.333333333333333</v>
      </c>
      <c r="M87" s="34" t="n">
        <f aca="false">IF(OR(K87="Present",K87="Manual Work",K87="Partial Vacation",K87="Partial Sick Leave"),IF(ISNUMBER(G87),G87,IF(AND(K87="Present",U87),V87,"")),"")</f>
        <v>0.6875</v>
      </c>
      <c r="N87" s="14" t="n">
        <f aca="false">IF(AND(ISNUMBER(L87),ISNUMBER(M87)),MAX(0,(M87-L87)*24),0)</f>
        <v>8.5</v>
      </c>
      <c r="O87" s="14" t="n">
        <f aca="false">IF(NOT(U87),0,IF(K87="Vacation",IF(C87="Eve",Settings!$B$9*Settings!$B$11,W87),IF(K87="Partial Vacation",IF(AND(ISNUMBER(H87),ISNUMBER(I87)),MAX(0,(I87-H87)*24),0),0)))</f>
        <v>0</v>
      </c>
      <c r="P87" s="14" t="n">
        <f aca="false">IF(NOT(U87),0,IF(K87="Sick Leave",W87,IF(K87="Partial Sick Leave",IF(AND(ISNUMBER(H87),ISNUMBER(I87)),MAX(0,(I87-H87)*24),0),0)))</f>
        <v>0</v>
      </c>
      <c r="Q87" s="14" t="n">
        <f aca="false">IF(NOT(U87),0,IF(K87="Vacation",IF(C87="Eve",Settings!$B$11,1),IF(K87="Partial Vacation",O87/Settings!$B$9,0)))</f>
        <v>0</v>
      </c>
      <c r="R87" s="14" t="n">
        <f aca="false">IF(NOT(U87),0,IF(K87="Sick Leave",1,IF(K87="Partial Sick Leave",P87/Settings!$B$9,0)))</f>
        <v>0</v>
      </c>
      <c r="S87" s="35" t="str">
        <f aca="false">IF(AND(OR(E87="Vacation",E87="Sick Leave",E87="Partial Vacation",E87="Partial Sick Leave"),NOT(U87)),"Leave not allowed on this day",IF(AND(E87="Manual Work",OR(NOT(ISNUMBER(F87)),NOT(ISNUMBER(G87)))),"Enter start and end",IF(AND(OR(E87="Partial Vacation",E87="Partial Sick Leave"),OR(NOT(ISNUMBER(H87)),NOT(ISNUMBER(I87)))),"Enter leave from and to",IF(AND(ISNUMBER(F87),ISNUMBER(G87),G87&lt;=F87),"End is before start",IF(AND(ISNUMBER(H87),ISNUMBER(I87),I87&lt;=H87),"Leave end is before start",IF(AND(ISNUMBER(F87),ISNUMBER(G87),ISNUMBER(H87),ISNUMBER(I87),F87&lt;I87,H87&lt;G87),"Work and leave hours overlap",IF(AND(E87&lt;&gt;"",WEEKDAY(A87)=7),"Saturday - administrator only","")))))))</f>
        <v/>
      </c>
      <c r="T87" s="36" t="n">
        <f aca="false">MONTH(A87)</f>
        <v>3</v>
      </c>
      <c r="U87" s="37" t="b">
        <f aca="false">OR(C87="Workday",C87="Eve")</f>
        <v>1</v>
      </c>
      <c r="V87" s="34" t="n">
        <f aca="false">IF(C87="Eve",Settings!$B$8,Settings!$B$7)</f>
        <v>0.6875</v>
      </c>
      <c r="W87" s="14" t="n">
        <f aca="false">IF(U87,(V87-Settings!$B$6)*24,0)</f>
        <v>8.5</v>
      </c>
    </row>
    <row r="88" customFormat="false" ht="15" hidden="false" customHeight="false" outlineLevel="0" collapsed="false">
      <c r="A88" s="29" t="n">
        <v>46104</v>
      </c>
      <c r="B88" s="30" t="str">
        <f aca="false">CHOOSE(WEEKDAY(A88),"Sun","Mon","Tue","Wed","Thu","Fri","Sat")</f>
        <v>Mon</v>
      </c>
      <c r="C88" s="30" t="str">
        <f aca="false">IF(IFERROR(INDEX(Holidays!$D$5:$D$60,MATCH(A88,Holidays!$A$5:$A$60,0)),"")="Holiday","Holiday",IF(WEEKDAY(A88)&gt;=6,"Weekend",IF(IFERROR(INDEX(Holidays!$D$5:$D$60,MATCH(A88,Holidays!$A$5:$A$60,0)),"")="Eve","Eve","Workday")))</f>
        <v>Workday</v>
      </c>
      <c r="D88" s="18" t="str">
        <f aca="false">IFERROR(INDEX(Holidays!$C$5:$C$60,MATCH(A88,Holidays!$A$5:$A$60,0)),"")</f>
        <v/>
      </c>
      <c r="E88" s="31"/>
      <c r="F88" s="32"/>
      <c r="G88" s="32"/>
      <c r="H88" s="32"/>
      <c r="I88" s="32"/>
      <c r="J88" s="31"/>
      <c r="K88" s="33" t="str">
        <f aca="false">IF(E88&lt;&gt;"",E88,IF(U88,"Present",IF(C88="Holiday","Holiday","Weekend")))</f>
        <v>Present</v>
      </c>
      <c r="L88" s="34" t="n">
        <f aca="false">IF(OR(K88="Present",K88="Manual Work",K88="Partial Vacation",K88="Partial Sick Leave"),IF(ISNUMBER(F88),F88,IF(AND(K88="Present",U88),Settings!$B$6,"")),"")</f>
        <v>0.333333333333333</v>
      </c>
      <c r="M88" s="34" t="n">
        <f aca="false">IF(OR(K88="Present",K88="Manual Work",K88="Partial Vacation",K88="Partial Sick Leave"),IF(ISNUMBER(G88),G88,IF(AND(K88="Present",U88),V88,"")),"")</f>
        <v>0.6875</v>
      </c>
      <c r="N88" s="14" t="n">
        <f aca="false">IF(AND(ISNUMBER(L88),ISNUMBER(M88)),MAX(0,(M88-L88)*24),0)</f>
        <v>8.5</v>
      </c>
      <c r="O88" s="14" t="n">
        <f aca="false">IF(NOT(U88),0,IF(K88="Vacation",IF(C88="Eve",Settings!$B$9*Settings!$B$11,W88),IF(K88="Partial Vacation",IF(AND(ISNUMBER(H88),ISNUMBER(I88)),MAX(0,(I88-H88)*24),0),0)))</f>
        <v>0</v>
      </c>
      <c r="P88" s="14" t="n">
        <f aca="false">IF(NOT(U88),0,IF(K88="Sick Leave",W88,IF(K88="Partial Sick Leave",IF(AND(ISNUMBER(H88),ISNUMBER(I88)),MAX(0,(I88-H88)*24),0),0)))</f>
        <v>0</v>
      </c>
      <c r="Q88" s="14" t="n">
        <f aca="false">IF(NOT(U88),0,IF(K88="Vacation",IF(C88="Eve",Settings!$B$11,1),IF(K88="Partial Vacation",O88/Settings!$B$9,0)))</f>
        <v>0</v>
      </c>
      <c r="R88" s="14" t="n">
        <f aca="false">IF(NOT(U88),0,IF(K88="Sick Leave",1,IF(K88="Partial Sick Leave",P88/Settings!$B$9,0)))</f>
        <v>0</v>
      </c>
      <c r="S88" s="35" t="str">
        <f aca="false">IF(AND(OR(E88="Vacation",E88="Sick Leave",E88="Partial Vacation",E88="Partial Sick Leave"),NOT(U88)),"Leave not allowed on this day",IF(AND(E88="Manual Work",OR(NOT(ISNUMBER(F88)),NOT(ISNUMBER(G88)))),"Enter start and end",IF(AND(OR(E88="Partial Vacation",E88="Partial Sick Leave"),OR(NOT(ISNUMBER(H88)),NOT(ISNUMBER(I88)))),"Enter leave from and to",IF(AND(ISNUMBER(F88),ISNUMBER(G88),G88&lt;=F88),"End is before start",IF(AND(ISNUMBER(H88),ISNUMBER(I88),I88&lt;=H88),"Leave end is before start",IF(AND(ISNUMBER(F88),ISNUMBER(G88),ISNUMBER(H88),ISNUMBER(I88),F88&lt;I88,H88&lt;G88),"Work and leave hours overlap",IF(AND(E88&lt;&gt;"",WEEKDAY(A88)=7),"Saturday - administrator only","")))))))</f>
        <v/>
      </c>
      <c r="T88" s="36" t="n">
        <f aca="false">MONTH(A88)</f>
        <v>3</v>
      </c>
      <c r="U88" s="37" t="b">
        <f aca="false">OR(C88="Workday",C88="Eve")</f>
        <v>1</v>
      </c>
      <c r="V88" s="34" t="n">
        <f aca="false">IF(C88="Eve",Settings!$B$8,Settings!$B$7)</f>
        <v>0.6875</v>
      </c>
      <c r="W88" s="14" t="n">
        <f aca="false">IF(U88,(V88-Settings!$B$6)*24,0)</f>
        <v>8.5</v>
      </c>
    </row>
    <row r="89" customFormat="false" ht="15" hidden="false" customHeight="false" outlineLevel="0" collapsed="false">
      <c r="A89" s="29" t="n">
        <v>46105</v>
      </c>
      <c r="B89" s="30" t="str">
        <f aca="false">CHOOSE(WEEKDAY(A89),"Sun","Mon","Tue","Wed","Thu","Fri","Sat")</f>
        <v>Tue</v>
      </c>
      <c r="C89" s="30" t="str">
        <f aca="false">IF(IFERROR(INDEX(Holidays!$D$5:$D$60,MATCH(A89,Holidays!$A$5:$A$60,0)),"")="Holiday","Holiday",IF(WEEKDAY(A89)&gt;=6,"Weekend",IF(IFERROR(INDEX(Holidays!$D$5:$D$60,MATCH(A89,Holidays!$A$5:$A$60,0)),"")="Eve","Eve","Workday")))</f>
        <v>Workday</v>
      </c>
      <c r="D89" s="18" t="str">
        <f aca="false">IFERROR(INDEX(Holidays!$C$5:$C$60,MATCH(A89,Holidays!$A$5:$A$60,0)),"")</f>
        <v/>
      </c>
      <c r="E89" s="31"/>
      <c r="F89" s="32"/>
      <c r="G89" s="32"/>
      <c r="H89" s="32"/>
      <c r="I89" s="32"/>
      <c r="J89" s="31"/>
      <c r="K89" s="33" t="str">
        <f aca="false">IF(E89&lt;&gt;"",E89,IF(U89,"Present",IF(C89="Holiday","Holiday","Weekend")))</f>
        <v>Present</v>
      </c>
      <c r="L89" s="34" t="n">
        <f aca="false">IF(OR(K89="Present",K89="Manual Work",K89="Partial Vacation",K89="Partial Sick Leave"),IF(ISNUMBER(F89),F89,IF(AND(K89="Present",U89),Settings!$B$6,"")),"")</f>
        <v>0.333333333333333</v>
      </c>
      <c r="M89" s="34" t="n">
        <f aca="false">IF(OR(K89="Present",K89="Manual Work",K89="Partial Vacation",K89="Partial Sick Leave"),IF(ISNUMBER(G89),G89,IF(AND(K89="Present",U89),V89,"")),"")</f>
        <v>0.6875</v>
      </c>
      <c r="N89" s="14" t="n">
        <f aca="false">IF(AND(ISNUMBER(L89),ISNUMBER(M89)),MAX(0,(M89-L89)*24),0)</f>
        <v>8.5</v>
      </c>
      <c r="O89" s="14" t="n">
        <f aca="false">IF(NOT(U89),0,IF(K89="Vacation",IF(C89="Eve",Settings!$B$9*Settings!$B$11,W89),IF(K89="Partial Vacation",IF(AND(ISNUMBER(H89),ISNUMBER(I89)),MAX(0,(I89-H89)*24),0),0)))</f>
        <v>0</v>
      </c>
      <c r="P89" s="14" t="n">
        <f aca="false">IF(NOT(U89),0,IF(K89="Sick Leave",W89,IF(K89="Partial Sick Leave",IF(AND(ISNUMBER(H89),ISNUMBER(I89)),MAX(0,(I89-H89)*24),0),0)))</f>
        <v>0</v>
      </c>
      <c r="Q89" s="14" t="n">
        <f aca="false">IF(NOT(U89),0,IF(K89="Vacation",IF(C89="Eve",Settings!$B$11,1),IF(K89="Partial Vacation",O89/Settings!$B$9,0)))</f>
        <v>0</v>
      </c>
      <c r="R89" s="14" t="n">
        <f aca="false">IF(NOT(U89),0,IF(K89="Sick Leave",1,IF(K89="Partial Sick Leave",P89/Settings!$B$9,0)))</f>
        <v>0</v>
      </c>
      <c r="S89" s="35" t="str">
        <f aca="false">IF(AND(OR(E89="Vacation",E89="Sick Leave",E89="Partial Vacation",E89="Partial Sick Leave"),NOT(U89)),"Leave not allowed on this day",IF(AND(E89="Manual Work",OR(NOT(ISNUMBER(F89)),NOT(ISNUMBER(G89)))),"Enter start and end",IF(AND(OR(E89="Partial Vacation",E89="Partial Sick Leave"),OR(NOT(ISNUMBER(H89)),NOT(ISNUMBER(I89)))),"Enter leave from and to",IF(AND(ISNUMBER(F89),ISNUMBER(G89),G89&lt;=F89),"End is before start",IF(AND(ISNUMBER(H89),ISNUMBER(I89),I89&lt;=H89),"Leave end is before start",IF(AND(ISNUMBER(F89),ISNUMBER(G89),ISNUMBER(H89),ISNUMBER(I89),F89&lt;I89,H89&lt;G89),"Work and leave hours overlap",IF(AND(E89&lt;&gt;"",WEEKDAY(A89)=7),"Saturday - administrator only","")))))))</f>
        <v/>
      </c>
      <c r="T89" s="36" t="n">
        <f aca="false">MONTH(A89)</f>
        <v>3</v>
      </c>
      <c r="U89" s="37" t="b">
        <f aca="false">OR(C89="Workday",C89="Eve")</f>
        <v>1</v>
      </c>
      <c r="V89" s="34" t="n">
        <f aca="false">IF(C89="Eve",Settings!$B$8,Settings!$B$7)</f>
        <v>0.6875</v>
      </c>
      <c r="W89" s="14" t="n">
        <f aca="false">IF(U89,(V89-Settings!$B$6)*24,0)</f>
        <v>8.5</v>
      </c>
    </row>
    <row r="90" customFormat="false" ht="15" hidden="false" customHeight="false" outlineLevel="0" collapsed="false">
      <c r="A90" s="29" t="n">
        <v>46106</v>
      </c>
      <c r="B90" s="30" t="str">
        <f aca="false">CHOOSE(WEEKDAY(A90),"Sun","Mon","Tue","Wed","Thu","Fri","Sat")</f>
        <v>Wed</v>
      </c>
      <c r="C90" s="30" t="str">
        <f aca="false">IF(IFERROR(INDEX(Holidays!$D$5:$D$60,MATCH(A90,Holidays!$A$5:$A$60,0)),"")="Holiday","Holiday",IF(WEEKDAY(A90)&gt;=6,"Weekend",IF(IFERROR(INDEX(Holidays!$D$5:$D$60,MATCH(A90,Holidays!$A$5:$A$60,0)),"")="Eve","Eve","Workday")))</f>
        <v>Workday</v>
      </c>
      <c r="D90" s="18" t="str">
        <f aca="false">IFERROR(INDEX(Holidays!$C$5:$C$60,MATCH(A90,Holidays!$A$5:$A$60,0)),"")</f>
        <v/>
      </c>
      <c r="E90" s="31"/>
      <c r="F90" s="32"/>
      <c r="G90" s="32"/>
      <c r="H90" s="32"/>
      <c r="I90" s="32"/>
      <c r="J90" s="31"/>
      <c r="K90" s="33" t="str">
        <f aca="false">IF(E90&lt;&gt;"",E90,IF(U90,"Present",IF(C90="Holiday","Holiday","Weekend")))</f>
        <v>Present</v>
      </c>
      <c r="L90" s="34" t="n">
        <f aca="false">IF(OR(K90="Present",K90="Manual Work",K90="Partial Vacation",K90="Partial Sick Leave"),IF(ISNUMBER(F90),F90,IF(AND(K90="Present",U90),Settings!$B$6,"")),"")</f>
        <v>0.333333333333333</v>
      </c>
      <c r="M90" s="34" t="n">
        <f aca="false">IF(OR(K90="Present",K90="Manual Work",K90="Partial Vacation",K90="Partial Sick Leave"),IF(ISNUMBER(G90),G90,IF(AND(K90="Present",U90),V90,"")),"")</f>
        <v>0.6875</v>
      </c>
      <c r="N90" s="14" t="n">
        <f aca="false">IF(AND(ISNUMBER(L90),ISNUMBER(M90)),MAX(0,(M90-L90)*24),0)</f>
        <v>8.5</v>
      </c>
      <c r="O90" s="14" t="n">
        <f aca="false">IF(NOT(U90),0,IF(K90="Vacation",IF(C90="Eve",Settings!$B$9*Settings!$B$11,W90),IF(K90="Partial Vacation",IF(AND(ISNUMBER(H90),ISNUMBER(I90)),MAX(0,(I90-H90)*24),0),0)))</f>
        <v>0</v>
      </c>
      <c r="P90" s="14" t="n">
        <f aca="false">IF(NOT(U90),0,IF(K90="Sick Leave",W90,IF(K90="Partial Sick Leave",IF(AND(ISNUMBER(H90),ISNUMBER(I90)),MAX(0,(I90-H90)*24),0),0)))</f>
        <v>0</v>
      </c>
      <c r="Q90" s="14" t="n">
        <f aca="false">IF(NOT(U90),0,IF(K90="Vacation",IF(C90="Eve",Settings!$B$11,1),IF(K90="Partial Vacation",O90/Settings!$B$9,0)))</f>
        <v>0</v>
      </c>
      <c r="R90" s="14" t="n">
        <f aca="false">IF(NOT(U90),0,IF(K90="Sick Leave",1,IF(K90="Partial Sick Leave",P90/Settings!$B$9,0)))</f>
        <v>0</v>
      </c>
      <c r="S90" s="35" t="str">
        <f aca="false">IF(AND(OR(E90="Vacation",E90="Sick Leave",E90="Partial Vacation",E90="Partial Sick Leave"),NOT(U90)),"Leave not allowed on this day",IF(AND(E90="Manual Work",OR(NOT(ISNUMBER(F90)),NOT(ISNUMBER(G90)))),"Enter start and end",IF(AND(OR(E90="Partial Vacation",E90="Partial Sick Leave"),OR(NOT(ISNUMBER(H90)),NOT(ISNUMBER(I90)))),"Enter leave from and to",IF(AND(ISNUMBER(F90),ISNUMBER(G90),G90&lt;=F90),"End is before start",IF(AND(ISNUMBER(H90),ISNUMBER(I90),I90&lt;=H90),"Leave end is before start",IF(AND(ISNUMBER(F90),ISNUMBER(G90),ISNUMBER(H90),ISNUMBER(I90),F90&lt;I90,H90&lt;G90),"Work and leave hours overlap",IF(AND(E90&lt;&gt;"",WEEKDAY(A90)=7),"Saturday - administrator only","")))))))</f>
        <v/>
      </c>
      <c r="T90" s="36" t="n">
        <f aca="false">MONTH(A90)</f>
        <v>3</v>
      </c>
      <c r="U90" s="37" t="b">
        <f aca="false">OR(C90="Workday",C90="Eve")</f>
        <v>1</v>
      </c>
      <c r="V90" s="34" t="n">
        <f aca="false">IF(C90="Eve",Settings!$B$8,Settings!$B$7)</f>
        <v>0.6875</v>
      </c>
      <c r="W90" s="14" t="n">
        <f aca="false">IF(U90,(V90-Settings!$B$6)*24,0)</f>
        <v>8.5</v>
      </c>
    </row>
    <row r="91" customFormat="false" ht="15" hidden="false" customHeight="false" outlineLevel="0" collapsed="false">
      <c r="A91" s="29" t="n">
        <v>46107</v>
      </c>
      <c r="B91" s="30" t="str">
        <f aca="false">CHOOSE(WEEKDAY(A91),"Sun","Mon","Tue","Wed","Thu","Fri","Sat")</f>
        <v>Thu</v>
      </c>
      <c r="C91" s="30" t="str">
        <f aca="false">IF(IFERROR(INDEX(Holidays!$D$5:$D$60,MATCH(A91,Holidays!$A$5:$A$60,0)),"")="Holiday","Holiday",IF(WEEKDAY(A91)&gt;=6,"Weekend",IF(IFERROR(INDEX(Holidays!$D$5:$D$60,MATCH(A91,Holidays!$A$5:$A$60,0)),"")="Eve","Eve","Workday")))</f>
        <v>Workday</v>
      </c>
      <c r="D91" s="18" t="str">
        <f aca="false">IFERROR(INDEX(Holidays!$C$5:$C$60,MATCH(A91,Holidays!$A$5:$A$60,0)),"")</f>
        <v/>
      </c>
      <c r="E91" s="31"/>
      <c r="F91" s="32"/>
      <c r="G91" s="32"/>
      <c r="H91" s="32"/>
      <c r="I91" s="32"/>
      <c r="J91" s="31"/>
      <c r="K91" s="33" t="str">
        <f aca="false">IF(E91&lt;&gt;"",E91,IF(U91,"Present",IF(C91="Holiday","Holiday","Weekend")))</f>
        <v>Present</v>
      </c>
      <c r="L91" s="34" t="n">
        <f aca="false">IF(OR(K91="Present",K91="Manual Work",K91="Partial Vacation",K91="Partial Sick Leave"),IF(ISNUMBER(F91),F91,IF(AND(K91="Present",U91),Settings!$B$6,"")),"")</f>
        <v>0.333333333333333</v>
      </c>
      <c r="M91" s="34" t="n">
        <f aca="false">IF(OR(K91="Present",K91="Manual Work",K91="Partial Vacation",K91="Partial Sick Leave"),IF(ISNUMBER(G91),G91,IF(AND(K91="Present",U91),V91,"")),"")</f>
        <v>0.6875</v>
      </c>
      <c r="N91" s="14" t="n">
        <f aca="false">IF(AND(ISNUMBER(L91),ISNUMBER(M91)),MAX(0,(M91-L91)*24),0)</f>
        <v>8.5</v>
      </c>
      <c r="O91" s="14" t="n">
        <f aca="false">IF(NOT(U91),0,IF(K91="Vacation",IF(C91="Eve",Settings!$B$9*Settings!$B$11,W91),IF(K91="Partial Vacation",IF(AND(ISNUMBER(H91),ISNUMBER(I91)),MAX(0,(I91-H91)*24),0),0)))</f>
        <v>0</v>
      </c>
      <c r="P91" s="14" t="n">
        <f aca="false">IF(NOT(U91),0,IF(K91="Sick Leave",W91,IF(K91="Partial Sick Leave",IF(AND(ISNUMBER(H91),ISNUMBER(I91)),MAX(0,(I91-H91)*24),0),0)))</f>
        <v>0</v>
      </c>
      <c r="Q91" s="14" t="n">
        <f aca="false">IF(NOT(U91),0,IF(K91="Vacation",IF(C91="Eve",Settings!$B$11,1),IF(K91="Partial Vacation",O91/Settings!$B$9,0)))</f>
        <v>0</v>
      </c>
      <c r="R91" s="14" t="n">
        <f aca="false">IF(NOT(U91),0,IF(K91="Sick Leave",1,IF(K91="Partial Sick Leave",P91/Settings!$B$9,0)))</f>
        <v>0</v>
      </c>
      <c r="S91" s="35" t="str">
        <f aca="false">IF(AND(OR(E91="Vacation",E91="Sick Leave",E91="Partial Vacation",E91="Partial Sick Leave"),NOT(U91)),"Leave not allowed on this day",IF(AND(E91="Manual Work",OR(NOT(ISNUMBER(F91)),NOT(ISNUMBER(G91)))),"Enter start and end",IF(AND(OR(E91="Partial Vacation",E91="Partial Sick Leave"),OR(NOT(ISNUMBER(H91)),NOT(ISNUMBER(I91)))),"Enter leave from and to",IF(AND(ISNUMBER(F91),ISNUMBER(G91),G91&lt;=F91),"End is before start",IF(AND(ISNUMBER(H91),ISNUMBER(I91),I91&lt;=H91),"Leave end is before start",IF(AND(ISNUMBER(F91),ISNUMBER(G91),ISNUMBER(H91),ISNUMBER(I91),F91&lt;I91,H91&lt;G91),"Work and leave hours overlap",IF(AND(E91&lt;&gt;"",WEEKDAY(A91)=7),"Saturday - administrator only","")))))))</f>
        <v/>
      </c>
      <c r="T91" s="36" t="n">
        <f aca="false">MONTH(A91)</f>
        <v>3</v>
      </c>
      <c r="U91" s="37" t="b">
        <f aca="false">OR(C91="Workday",C91="Eve")</f>
        <v>1</v>
      </c>
      <c r="V91" s="34" t="n">
        <f aca="false">IF(C91="Eve",Settings!$B$8,Settings!$B$7)</f>
        <v>0.6875</v>
      </c>
      <c r="W91" s="14" t="n">
        <f aca="false">IF(U91,(V91-Settings!$B$6)*24,0)</f>
        <v>8.5</v>
      </c>
    </row>
    <row r="92" customFormat="false" ht="15" hidden="false" customHeight="false" outlineLevel="0" collapsed="false">
      <c r="A92" s="29" t="n">
        <v>46108</v>
      </c>
      <c r="B92" s="30" t="str">
        <f aca="false">CHOOSE(WEEKDAY(A92),"Sun","Mon","Tue","Wed","Thu","Fri","Sat")</f>
        <v>Fri</v>
      </c>
      <c r="C92" s="30" t="str">
        <f aca="false">IF(IFERROR(INDEX(Holidays!$D$5:$D$60,MATCH(A92,Holidays!$A$5:$A$60,0)),"")="Holiday","Holiday",IF(WEEKDAY(A92)&gt;=6,"Weekend",IF(IFERROR(INDEX(Holidays!$D$5:$D$60,MATCH(A92,Holidays!$A$5:$A$60,0)),"")="Eve","Eve","Workday")))</f>
        <v>Weekend</v>
      </c>
      <c r="D92" s="18" t="str">
        <f aca="false">IFERROR(INDEX(Holidays!$C$5:$C$60,MATCH(A92,Holidays!$A$5:$A$60,0)),"")</f>
        <v/>
      </c>
      <c r="E92" s="31"/>
      <c r="F92" s="32"/>
      <c r="G92" s="32"/>
      <c r="H92" s="32"/>
      <c r="I92" s="32"/>
      <c r="J92" s="31"/>
      <c r="K92" s="33" t="str">
        <f aca="false">IF(E92&lt;&gt;"",E92,IF(U92,"Present",IF(C92="Holiday","Holiday","Weekend")))</f>
        <v>Weekend</v>
      </c>
      <c r="L92" s="34" t="str">
        <f aca="false">IF(OR(K92="Present",K92="Manual Work",K92="Partial Vacation",K92="Partial Sick Leave"),IF(ISNUMBER(F92),F92,IF(AND(K92="Present",U92),Settings!$B$6,"")),"")</f>
        <v/>
      </c>
      <c r="M92" s="34" t="str">
        <f aca="false">IF(OR(K92="Present",K92="Manual Work",K92="Partial Vacation",K92="Partial Sick Leave"),IF(ISNUMBER(G92),G92,IF(AND(K92="Present",U92),V92,"")),"")</f>
        <v/>
      </c>
      <c r="N92" s="14" t="n">
        <f aca="false">IF(AND(ISNUMBER(L92),ISNUMBER(M92)),MAX(0,(M92-L92)*24),0)</f>
        <v>0</v>
      </c>
      <c r="O92" s="14" t="n">
        <f aca="false">IF(NOT(U92),0,IF(K92="Vacation",IF(C92="Eve",Settings!$B$9*Settings!$B$11,W92),IF(K92="Partial Vacation",IF(AND(ISNUMBER(H92),ISNUMBER(I92)),MAX(0,(I92-H92)*24),0),0)))</f>
        <v>0</v>
      </c>
      <c r="P92" s="14" t="n">
        <f aca="false">IF(NOT(U92),0,IF(K92="Sick Leave",W92,IF(K92="Partial Sick Leave",IF(AND(ISNUMBER(H92),ISNUMBER(I92)),MAX(0,(I92-H92)*24),0),0)))</f>
        <v>0</v>
      </c>
      <c r="Q92" s="14" t="n">
        <f aca="false">IF(NOT(U92),0,IF(K92="Vacation",IF(C92="Eve",Settings!$B$11,1),IF(K92="Partial Vacation",O92/Settings!$B$9,0)))</f>
        <v>0</v>
      </c>
      <c r="R92" s="14" t="n">
        <f aca="false">IF(NOT(U92),0,IF(K92="Sick Leave",1,IF(K92="Partial Sick Leave",P92/Settings!$B$9,0)))</f>
        <v>0</v>
      </c>
      <c r="S92" s="35" t="str">
        <f aca="false">IF(AND(OR(E92="Vacation",E92="Sick Leave",E92="Partial Vacation",E92="Partial Sick Leave"),NOT(U92)),"Leave not allowed on this day",IF(AND(E92="Manual Work",OR(NOT(ISNUMBER(F92)),NOT(ISNUMBER(G92)))),"Enter start and end",IF(AND(OR(E92="Partial Vacation",E92="Partial Sick Leave"),OR(NOT(ISNUMBER(H92)),NOT(ISNUMBER(I92)))),"Enter leave from and to",IF(AND(ISNUMBER(F92),ISNUMBER(G92),G92&lt;=F92),"End is before start",IF(AND(ISNUMBER(H92),ISNUMBER(I92),I92&lt;=H92),"Leave end is before start",IF(AND(ISNUMBER(F92),ISNUMBER(G92),ISNUMBER(H92),ISNUMBER(I92),F92&lt;I92,H92&lt;G92),"Work and leave hours overlap",IF(AND(E92&lt;&gt;"",WEEKDAY(A92)=7),"Saturday - administrator only","")))))))</f>
        <v/>
      </c>
      <c r="T92" s="36" t="n">
        <f aca="false">MONTH(A92)</f>
        <v>3</v>
      </c>
      <c r="U92" s="37" t="b">
        <f aca="false">OR(C92="Workday",C92="Eve")</f>
        <v>0</v>
      </c>
      <c r="V92" s="34" t="n">
        <f aca="false">IF(C92="Eve",Settings!$B$8,Settings!$B$7)</f>
        <v>0.6875</v>
      </c>
      <c r="W92" s="14" t="n">
        <f aca="false">IF(U92,(V92-Settings!$B$6)*24,0)</f>
        <v>0</v>
      </c>
    </row>
    <row r="93" customFormat="false" ht="15" hidden="false" customHeight="false" outlineLevel="0" collapsed="false">
      <c r="A93" s="29" t="n">
        <v>46109</v>
      </c>
      <c r="B93" s="30" t="str">
        <f aca="false">CHOOSE(WEEKDAY(A93),"Sun","Mon","Tue","Wed","Thu","Fri","Sat")</f>
        <v>Sat</v>
      </c>
      <c r="C93" s="30" t="str">
        <f aca="false">IF(IFERROR(INDEX(Holidays!$D$5:$D$60,MATCH(A93,Holidays!$A$5:$A$60,0)),"")="Holiday","Holiday",IF(WEEKDAY(A93)&gt;=6,"Weekend",IF(IFERROR(INDEX(Holidays!$D$5:$D$60,MATCH(A93,Holidays!$A$5:$A$60,0)),"")="Eve","Eve","Workday")))</f>
        <v>Weekend</v>
      </c>
      <c r="D93" s="18" t="str">
        <f aca="false">IFERROR(INDEX(Holidays!$C$5:$C$60,MATCH(A93,Holidays!$A$5:$A$60,0)),"")</f>
        <v/>
      </c>
      <c r="E93" s="31"/>
      <c r="F93" s="32"/>
      <c r="G93" s="32"/>
      <c r="H93" s="32"/>
      <c r="I93" s="32"/>
      <c r="J93" s="31"/>
      <c r="K93" s="33" t="str">
        <f aca="false">IF(E93&lt;&gt;"",E93,IF(U93,"Present",IF(C93="Holiday","Holiday","Weekend")))</f>
        <v>Weekend</v>
      </c>
      <c r="L93" s="34" t="str">
        <f aca="false">IF(OR(K93="Present",K93="Manual Work",K93="Partial Vacation",K93="Partial Sick Leave"),IF(ISNUMBER(F93),F93,IF(AND(K93="Present",U93),Settings!$B$6,"")),"")</f>
        <v/>
      </c>
      <c r="M93" s="34" t="str">
        <f aca="false">IF(OR(K93="Present",K93="Manual Work",K93="Partial Vacation",K93="Partial Sick Leave"),IF(ISNUMBER(G93),G93,IF(AND(K93="Present",U93),V93,"")),"")</f>
        <v/>
      </c>
      <c r="N93" s="14" t="n">
        <f aca="false">IF(AND(ISNUMBER(L93),ISNUMBER(M93)),MAX(0,(M93-L93)*24),0)</f>
        <v>0</v>
      </c>
      <c r="O93" s="14" t="n">
        <f aca="false">IF(NOT(U93),0,IF(K93="Vacation",IF(C93="Eve",Settings!$B$9*Settings!$B$11,W93),IF(K93="Partial Vacation",IF(AND(ISNUMBER(H93),ISNUMBER(I93)),MAX(0,(I93-H93)*24),0),0)))</f>
        <v>0</v>
      </c>
      <c r="P93" s="14" t="n">
        <f aca="false">IF(NOT(U93),0,IF(K93="Sick Leave",W93,IF(K93="Partial Sick Leave",IF(AND(ISNUMBER(H93),ISNUMBER(I93)),MAX(0,(I93-H93)*24),0),0)))</f>
        <v>0</v>
      </c>
      <c r="Q93" s="14" t="n">
        <f aca="false">IF(NOT(U93),0,IF(K93="Vacation",IF(C93="Eve",Settings!$B$11,1),IF(K93="Partial Vacation",O93/Settings!$B$9,0)))</f>
        <v>0</v>
      </c>
      <c r="R93" s="14" t="n">
        <f aca="false">IF(NOT(U93),0,IF(K93="Sick Leave",1,IF(K93="Partial Sick Leave",P93/Settings!$B$9,0)))</f>
        <v>0</v>
      </c>
      <c r="S93" s="35" t="str">
        <f aca="false">IF(AND(OR(E93="Vacation",E93="Sick Leave",E93="Partial Vacation",E93="Partial Sick Leave"),NOT(U93)),"Leave not allowed on this day",IF(AND(E93="Manual Work",OR(NOT(ISNUMBER(F93)),NOT(ISNUMBER(G93)))),"Enter start and end",IF(AND(OR(E93="Partial Vacation",E93="Partial Sick Leave"),OR(NOT(ISNUMBER(H93)),NOT(ISNUMBER(I93)))),"Enter leave from and to",IF(AND(ISNUMBER(F93),ISNUMBER(G93),G93&lt;=F93),"End is before start",IF(AND(ISNUMBER(H93),ISNUMBER(I93),I93&lt;=H93),"Leave end is before start",IF(AND(ISNUMBER(F93),ISNUMBER(G93),ISNUMBER(H93),ISNUMBER(I93),F93&lt;I93,H93&lt;G93),"Work and leave hours overlap",IF(AND(E93&lt;&gt;"",WEEKDAY(A93)=7),"Saturday - administrator only","")))))))</f>
        <v/>
      </c>
      <c r="T93" s="36" t="n">
        <f aca="false">MONTH(A93)</f>
        <v>3</v>
      </c>
      <c r="U93" s="37" t="b">
        <f aca="false">OR(C93="Workday",C93="Eve")</f>
        <v>0</v>
      </c>
      <c r="V93" s="34" t="n">
        <f aca="false">IF(C93="Eve",Settings!$B$8,Settings!$B$7)</f>
        <v>0.6875</v>
      </c>
      <c r="W93" s="14" t="n">
        <f aca="false">IF(U93,(V93-Settings!$B$6)*24,0)</f>
        <v>0</v>
      </c>
    </row>
    <row r="94" customFormat="false" ht="15" hidden="false" customHeight="false" outlineLevel="0" collapsed="false">
      <c r="A94" s="29" t="n">
        <v>46110</v>
      </c>
      <c r="B94" s="30" t="str">
        <f aca="false">CHOOSE(WEEKDAY(A94),"Sun","Mon","Tue","Wed","Thu","Fri","Sat")</f>
        <v>Sun</v>
      </c>
      <c r="C94" s="30" t="str">
        <f aca="false">IF(IFERROR(INDEX(Holidays!$D$5:$D$60,MATCH(A94,Holidays!$A$5:$A$60,0)),"")="Holiday","Holiday",IF(WEEKDAY(A94)&gt;=6,"Weekend",IF(IFERROR(INDEX(Holidays!$D$5:$D$60,MATCH(A94,Holidays!$A$5:$A$60,0)),"")="Eve","Eve","Workday")))</f>
        <v>Workday</v>
      </c>
      <c r="D94" s="18" t="str">
        <f aca="false">IFERROR(INDEX(Holidays!$C$5:$C$60,MATCH(A94,Holidays!$A$5:$A$60,0)),"")</f>
        <v/>
      </c>
      <c r="E94" s="31"/>
      <c r="F94" s="32"/>
      <c r="G94" s="32"/>
      <c r="H94" s="32"/>
      <c r="I94" s="32"/>
      <c r="J94" s="31"/>
      <c r="K94" s="33" t="str">
        <f aca="false">IF(E94&lt;&gt;"",E94,IF(U94,"Present",IF(C94="Holiday","Holiday","Weekend")))</f>
        <v>Present</v>
      </c>
      <c r="L94" s="34" t="n">
        <f aca="false">IF(OR(K94="Present",K94="Manual Work",K94="Partial Vacation",K94="Partial Sick Leave"),IF(ISNUMBER(F94),F94,IF(AND(K94="Present",U94),Settings!$B$6,"")),"")</f>
        <v>0.333333333333333</v>
      </c>
      <c r="M94" s="34" t="n">
        <f aca="false">IF(OR(K94="Present",K94="Manual Work",K94="Partial Vacation",K94="Partial Sick Leave"),IF(ISNUMBER(G94),G94,IF(AND(K94="Present",U94),V94,"")),"")</f>
        <v>0.6875</v>
      </c>
      <c r="N94" s="14" t="n">
        <f aca="false">IF(AND(ISNUMBER(L94),ISNUMBER(M94)),MAX(0,(M94-L94)*24),0)</f>
        <v>8.5</v>
      </c>
      <c r="O94" s="14" t="n">
        <f aca="false">IF(NOT(U94),0,IF(K94="Vacation",IF(C94="Eve",Settings!$B$9*Settings!$B$11,W94),IF(K94="Partial Vacation",IF(AND(ISNUMBER(H94),ISNUMBER(I94)),MAX(0,(I94-H94)*24),0),0)))</f>
        <v>0</v>
      </c>
      <c r="P94" s="14" t="n">
        <f aca="false">IF(NOT(U94),0,IF(K94="Sick Leave",W94,IF(K94="Partial Sick Leave",IF(AND(ISNUMBER(H94),ISNUMBER(I94)),MAX(0,(I94-H94)*24),0),0)))</f>
        <v>0</v>
      </c>
      <c r="Q94" s="14" t="n">
        <f aca="false">IF(NOT(U94),0,IF(K94="Vacation",IF(C94="Eve",Settings!$B$11,1),IF(K94="Partial Vacation",O94/Settings!$B$9,0)))</f>
        <v>0</v>
      </c>
      <c r="R94" s="14" t="n">
        <f aca="false">IF(NOT(U94),0,IF(K94="Sick Leave",1,IF(K94="Partial Sick Leave",P94/Settings!$B$9,0)))</f>
        <v>0</v>
      </c>
      <c r="S94" s="35" t="str">
        <f aca="false">IF(AND(OR(E94="Vacation",E94="Sick Leave",E94="Partial Vacation",E94="Partial Sick Leave"),NOT(U94)),"Leave not allowed on this day",IF(AND(E94="Manual Work",OR(NOT(ISNUMBER(F94)),NOT(ISNUMBER(G94)))),"Enter start and end",IF(AND(OR(E94="Partial Vacation",E94="Partial Sick Leave"),OR(NOT(ISNUMBER(H94)),NOT(ISNUMBER(I94)))),"Enter leave from and to",IF(AND(ISNUMBER(F94),ISNUMBER(G94),G94&lt;=F94),"End is before start",IF(AND(ISNUMBER(H94),ISNUMBER(I94),I94&lt;=H94),"Leave end is before start",IF(AND(ISNUMBER(F94),ISNUMBER(G94),ISNUMBER(H94),ISNUMBER(I94),F94&lt;I94,H94&lt;G94),"Work and leave hours overlap",IF(AND(E94&lt;&gt;"",WEEKDAY(A94)=7),"Saturday - administrator only","")))))))</f>
        <v/>
      </c>
      <c r="T94" s="36" t="n">
        <f aca="false">MONTH(A94)</f>
        <v>3</v>
      </c>
      <c r="U94" s="37" t="b">
        <f aca="false">OR(C94="Workday",C94="Eve")</f>
        <v>1</v>
      </c>
      <c r="V94" s="34" t="n">
        <f aca="false">IF(C94="Eve",Settings!$B$8,Settings!$B$7)</f>
        <v>0.6875</v>
      </c>
      <c r="W94" s="14" t="n">
        <f aca="false">IF(U94,(V94-Settings!$B$6)*24,0)</f>
        <v>8.5</v>
      </c>
    </row>
    <row r="95" customFormat="false" ht="15" hidden="false" customHeight="false" outlineLevel="0" collapsed="false">
      <c r="A95" s="29" t="n">
        <v>46111</v>
      </c>
      <c r="B95" s="30" t="str">
        <f aca="false">CHOOSE(WEEKDAY(A95),"Sun","Mon","Tue","Wed","Thu","Fri","Sat")</f>
        <v>Mon</v>
      </c>
      <c r="C95" s="30" t="str">
        <f aca="false">IF(IFERROR(INDEX(Holidays!$D$5:$D$60,MATCH(A95,Holidays!$A$5:$A$60,0)),"")="Holiday","Holiday",IF(WEEKDAY(A95)&gt;=6,"Weekend",IF(IFERROR(INDEX(Holidays!$D$5:$D$60,MATCH(A95,Holidays!$A$5:$A$60,0)),"")="Eve","Eve","Workday")))</f>
        <v>Workday</v>
      </c>
      <c r="D95" s="18" t="str">
        <f aca="false">IFERROR(INDEX(Holidays!$C$5:$C$60,MATCH(A95,Holidays!$A$5:$A$60,0)),"")</f>
        <v/>
      </c>
      <c r="E95" s="31"/>
      <c r="F95" s="32"/>
      <c r="G95" s="32"/>
      <c r="H95" s="32"/>
      <c r="I95" s="32"/>
      <c r="J95" s="31"/>
      <c r="K95" s="33" t="str">
        <f aca="false">IF(E95&lt;&gt;"",E95,IF(U95,"Present",IF(C95="Holiday","Holiday","Weekend")))</f>
        <v>Present</v>
      </c>
      <c r="L95" s="34" t="n">
        <f aca="false">IF(OR(K95="Present",K95="Manual Work",K95="Partial Vacation",K95="Partial Sick Leave"),IF(ISNUMBER(F95),F95,IF(AND(K95="Present",U95),Settings!$B$6,"")),"")</f>
        <v>0.333333333333333</v>
      </c>
      <c r="M95" s="34" t="n">
        <f aca="false">IF(OR(K95="Present",K95="Manual Work",K95="Partial Vacation",K95="Partial Sick Leave"),IF(ISNUMBER(G95),G95,IF(AND(K95="Present",U95),V95,"")),"")</f>
        <v>0.6875</v>
      </c>
      <c r="N95" s="14" t="n">
        <f aca="false">IF(AND(ISNUMBER(L95),ISNUMBER(M95)),MAX(0,(M95-L95)*24),0)</f>
        <v>8.5</v>
      </c>
      <c r="O95" s="14" t="n">
        <f aca="false">IF(NOT(U95),0,IF(K95="Vacation",IF(C95="Eve",Settings!$B$9*Settings!$B$11,W95),IF(K95="Partial Vacation",IF(AND(ISNUMBER(H95),ISNUMBER(I95)),MAX(0,(I95-H95)*24),0),0)))</f>
        <v>0</v>
      </c>
      <c r="P95" s="14" t="n">
        <f aca="false">IF(NOT(U95),0,IF(K95="Sick Leave",W95,IF(K95="Partial Sick Leave",IF(AND(ISNUMBER(H95),ISNUMBER(I95)),MAX(0,(I95-H95)*24),0),0)))</f>
        <v>0</v>
      </c>
      <c r="Q95" s="14" t="n">
        <f aca="false">IF(NOT(U95),0,IF(K95="Vacation",IF(C95="Eve",Settings!$B$11,1),IF(K95="Partial Vacation",O95/Settings!$B$9,0)))</f>
        <v>0</v>
      </c>
      <c r="R95" s="14" t="n">
        <f aca="false">IF(NOT(U95),0,IF(K95="Sick Leave",1,IF(K95="Partial Sick Leave",P95/Settings!$B$9,0)))</f>
        <v>0</v>
      </c>
      <c r="S95" s="35" t="str">
        <f aca="false">IF(AND(OR(E95="Vacation",E95="Sick Leave",E95="Partial Vacation",E95="Partial Sick Leave"),NOT(U95)),"Leave not allowed on this day",IF(AND(E95="Manual Work",OR(NOT(ISNUMBER(F95)),NOT(ISNUMBER(G95)))),"Enter start and end",IF(AND(OR(E95="Partial Vacation",E95="Partial Sick Leave"),OR(NOT(ISNUMBER(H95)),NOT(ISNUMBER(I95)))),"Enter leave from and to",IF(AND(ISNUMBER(F95),ISNUMBER(G95),G95&lt;=F95),"End is before start",IF(AND(ISNUMBER(H95),ISNUMBER(I95),I95&lt;=H95),"Leave end is before start",IF(AND(ISNUMBER(F95),ISNUMBER(G95),ISNUMBER(H95),ISNUMBER(I95),F95&lt;I95,H95&lt;G95),"Work and leave hours overlap",IF(AND(E95&lt;&gt;"",WEEKDAY(A95)=7),"Saturday - administrator only","")))))))</f>
        <v/>
      </c>
      <c r="T95" s="36" t="n">
        <f aca="false">MONTH(A95)</f>
        <v>3</v>
      </c>
      <c r="U95" s="37" t="b">
        <f aca="false">OR(C95="Workday",C95="Eve")</f>
        <v>1</v>
      </c>
      <c r="V95" s="34" t="n">
        <f aca="false">IF(C95="Eve",Settings!$B$8,Settings!$B$7)</f>
        <v>0.6875</v>
      </c>
      <c r="W95" s="14" t="n">
        <f aca="false">IF(U95,(V95-Settings!$B$6)*24,0)</f>
        <v>8.5</v>
      </c>
    </row>
    <row r="96" customFormat="false" ht="15" hidden="false" customHeight="false" outlineLevel="0" collapsed="false">
      <c r="A96" s="29" t="n">
        <v>46112</v>
      </c>
      <c r="B96" s="30" t="str">
        <f aca="false">CHOOSE(WEEKDAY(A96),"Sun","Mon","Tue","Wed","Thu","Fri","Sat")</f>
        <v>Tue</v>
      </c>
      <c r="C96" s="30" t="str">
        <f aca="false">IF(IFERROR(INDEX(Holidays!$D$5:$D$60,MATCH(A96,Holidays!$A$5:$A$60,0)),"")="Holiday","Holiday",IF(WEEKDAY(A96)&gt;=6,"Weekend",IF(IFERROR(INDEX(Holidays!$D$5:$D$60,MATCH(A96,Holidays!$A$5:$A$60,0)),"")="Eve","Eve","Workday")))</f>
        <v>Workday</v>
      </c>
      <c r="D96" s="18" t="str">
        <f aca="false">IFERROR(INDEX(Holidays!$C$5:$C$60,MATCH(A96,Holidays!$A$5:$A$60,0)),"")</f>
        <v/>
      </c>
      <c r="E96" s="31"/>
      <c r="F96" s="32"/>
      <c r="G96" s="32"/>
      <c r="H96" s="32"/>
      <c r="I96" s="32"/>
      <c r="J96" s="31"/>
      <c r="K96" s="33" t="str">
        <f aca="false">IF(E96&lt;&gt;"",E96,IF(U96,"Present",IF(C96="Holiday","Holiday","Weekend")))</f>
        <v>Present</v>
      </c>
      <c r="L96" s="34" t="n">
        <f aca="false">IF(OR(K96="Present",K96="Manual Work",K96="Partial Vacation",K96="Partial Sick Leave"),IF(ISNUMBER(F96),F96,IF(AND(K96="Present",U96),Settings!$B$6,"")),"")</f>
        <v>0.333333333333333</v>
      </c>
      <c r="M96" s="34" t="n">
        <f aca="false">IF(OR(K96="Present",K96="Manual Work",K96="Partial Vacation",K96="Partial Sick Leave"),IF(ISNUMBER(G96),G96,IF(AND(K96="Present",U96),V96,"")),"")</f>
        <v>0.6875</v>
      </c>
      <c r="N96" s="14" t="n">
        <f aca="false">IF(AND(ISNUMBER(L96),ISNUMBER(M96)),MAX(0,(M96-L96)*24),0)</f>
        <v>8.5</v>
      </c>
      <c r="O96" s="14" t="n">
        <f aca="false">IF(NOT(U96),0,IF(K96="Vacation",IF(C96="Eve",Settings!$B$9*Settings!$B$11,W96),IF(K96="Partial Vacation",IF(AND(ISNUMBER(H96),ISNUMBER(I96)),MAX(0,(I96-H96)*24),0),0)))</f>
        <v>0</v>
      </c>
      <c r="P96" s="14" t="n">
        <f aca="false">IF(NOT(U96),0,IF(K96="Sick Leave",W96,IF(K96="Partial Sick Leave",IF(AND(ISNUMBER(H96),ISNUMBER(I96)),MAX(0,(I96-H96)*24),0),0)))</f>
        <v>0</v>
      </c>
      <c r="Q96" s="14" t="n">
        <f aca="false">IF(NOT(U96),0,IF(K96="Vacation",IF(C96="Eve",Settings!$B$11,1),IF(K96="Partial Vacation",O96/Settings!$B$9,0)))</f>
        <v>0</v>
      </c>
      <c r="R96" s="14" t="n">
        <f aca="false">IF(NOT(U96),0,IF(K96="Sick Leave",1,IF(K96="Partial Sick Leave",P96/Settings!$B$9,0)))</f>
        <v>0</v>
      </c>
      <c r="S96" s="35" t="str">
        <f aca="false">IF(AND(OR(E96="Vacation",E96="Sick Leave",E96="Partial Vacation",E96="Partial Sick Leave"),NOT(U96)),"Leave not allowed on this day",IF(AND(E96="Manual Work",OR(NOT(ISNUMBER(F96)),NOT(ISNUMBER(G96)))),"Enter start and end",IF(AND(OR(E96="Partial Vacation",E96="Partial Sick Leave"),OR(NOT(ISNUMBER(H96)),NOT(ISNUMBER(I96)))),"Enter leave from and to",IF(AND(ISNUMBER(F96),ISNUMBER(G96),G96&lt;=F96),"End is before start",IF(AND(ISNUMBER(H96),ISNUMBER(I96),I96&lt;=H96),"Leave end is before start",IF(AND(ISNUMBER(F96),ISNUMBER(G96),ISNUMBER(H96),ISNUMBER(I96),F96&lt;I96,H96&lt;G96),"Work and leave hours overlap",IF(AND(E96&lt;&gt;"",WEEKDAY(A96)=7),"Saturday - administrator only","")))))))</f>
        <v/>
      </c>
      <c r="T96" s="36" t="n">
        <f aca="false">MONTH(A96)</f>
        <v>3</v>
      </c>
      <c r="U96" s="37" t="b">
        <f aca="false">OR(C96="Workday",C96="Eve")</f>
        <v>1</v>
      </c>
      <c r="V96" s="34" t="n">
        <f aca="false">IF(C96="Eve",Settings!$B$8,Settings!$B$7)</f>
        <v>0.6875</v>
      </c>
      <c r="W96" s="14" t="n">
        <f aca="false">IF(U96,(V96-Settings!$B$6)*24,0)</f>
        <v>8.5</v>
      </c>
    </row>
    <row r="97" customFormat="false" ht="15" hidden="false" customHeight="false" outlineLevel="0" collapsed="false">
      <c r="A97" s="29" t="n">
        <v>46113</v>
      </c>
      <c r="B97" s="30" t="str">
        <f aca="false">CHOOSE(WEEKDAY(A97),"Sun","Mon","Tue","Wed","Thu","Fri","Sat")</f>
        <v>Wed</v>
      </c>
      <c r="C97" s="30" t="str">
        <f aca="false">IF(IFERROR(INDEX(Holidays!$D$5:$D$60,MATCH(A97,Holidays!$A$5:$A$60,0)),"")="Holiday","Holiday",IF(WEEKDAY(A97)&gt;=6,"Weekend",IF(IFERROR(INDEX(Holidays!$D$5:$D$60,MATCH(A97,Holidays!$A$5:$A$60,0)),"")="Eve","Eve","Workday")))</f>
        <v>Eve</v>
      </c>
      <c r="D97" s="18" t="str">
        <f aca="false">IFERROR(INDEX(Holidays!$C$5:$C$60,MATCH(A97,Holidays!$A$5:$A$60,0)),"")</f>
        <v>Erev Pesach</v>
      </c>
      <c r="E97" s="31"/>
      <c r="F97" s="32"/>
      <c r="G97" s="32"/>
      <c r="H97" s="32"/>
      <c r="I97" s="32"/>
      <c r="J97" s="31"/>
      <c r="K97" s="33" t="str">
        <f aca="false">IF(E97&lt;&gt;"",E97,IF(U97,"Present",IF(C97="Holiday","Holiday","Weekend")))</f>
        <v>Present</v>
      </c>
      <c r="L97" s="34" t="n">
        <f aca="false">IF(OR(K97="Present",K97="Manual Work",K97="Partial Vacation",K97="Partial Sick Leave"),IF(ISNUMBER(F97),F97,IF(AND(K97="Present",U97),Settings!$B$6,"")),"")</f>
        <v>0.333333333333333</v>
      </c>
      <c r="M97" s="34" t="n">
        <f aca="false">IF(OR(K97="Present",K97="Manual Work",K97="Partial Vacation",K97="Partial Sick Leave"),IF(ISNUMBER(G97),G97,IF(AND(K97="Present",U97),V97,"")),"")</f>
        <v>0.583333333333333</v>
      </c>
      <c r="N97" s="14" t="n">
        <f aca="false">IF(AND(ISNUMBER(L97),ISNUMBER(M97)),MAX(0,(M97-L97)*24),0)</f>
        <v>6</v>
      </c>
      <c r="O97" s="14" t="n">
        <f aca="false">IF(NOT(U97),0,IF(K97="Vacation",IF(C97="Eve",Settings!$B$9*Settings!$B$11,W97),IF(K97="Partial Vacation",IF(AND(ISNUMBER(H97),ISNUMBER(I97)),MAX(0,(I97-H97)*24),0),0)))</f>
        <v>0</v>
      </c>
      <c r="P97" s="14" t="n">
        <f aca="false">IF(NOT(U97),0,IF(K97="Sick Leave",W97,IF(K97="Partial Sick Leave",IF(AND(ISNUMBER(H97),ISNUMBER(I97)),MAX(0,(I97-H97)*24),0),0)))</f>
        <v>0</v>
      </c>
      <c r="Q97" s="14" t="n">
        <f aca="false">IF(NOT(U97),0,IF(K97="Vacation",IF(C97="Eve",Settings!$B$11,1),IF(K97="Partial Vacation",O97/Settings!$B$9,0)))</f>
        <v>0</v>
      </c>
      <c r="R97" s="14" t="n">
        <f aca="false">IF(NOT(U97),0,IF(K97="Sick Leave",1,IF(K97="Partial Sick Leave",P97/Settings!$B$9,0)))</f>
        <v>0</v>
      </c>
      <c r="S97" s="35" t="str">
        <f aca="false">IF(AND(OR(E97="Vacation",E97="Sick Leave",E97="Partial Vacation",E97="Partial Sick Leave"),NOT(U97)),"Leave not allowed on this day",IF(AND(E97="Manual Work",OR(NOT(ISNUMBER(F97)),NOT(ISNUMBER(G97)))),"Enter start and end",IF(AND(OR(E97="Partial Vacation",E97="Partial Sick Leave"),OR(NOT(ISNUMBER(H97)),NOT(ISNUMBER(I97)))),"Enter leave from and to",IF(AND(ISNUMBER(F97),ISNUMBER(G97),G97&lt;=F97),"End is before start",IF(AND(ISNUMBER(H97),ISNUMBER(I97),I97&lt;=H97),"Leave end is before start",IF(AND(ISNUMBER(F97),ISNUMBER(G97),ISNUMBER(H97),ISNUMBER(I97),F97&lt;I97,H97&lt;G97),"Work and leave hours overlap",IF(AND(E97&lt;&gt;"",WEEKDAY(A97)=7),"Saturday - administrator only","")))))))</f>
        <v/>
      </c>
      <c r="T97" s="36" t="n">
        <f aca="false">MONTH(A97)</f>
        <v>4</v>
      </c>
      <c r="U97" s="37" t="b">
        <f aca="false">OR(C97="Workday",C97="Eve")</f>
        <v>1</v>
      </c>
      <c r="V97" s="34" t="n">
        <f aca="false">IF(C97="Eve",Settings!$B$8,Settings!$B$7)</f>
        <v>0.583333333333333</v>
      </c>
      <c r="W97" s="14" t="n">
        <f aca="false">IF(U97,(V97-Settings!$B$6)*24,0)</f>
        <v>6</v>
      </c>
    </row>
    <row r="98" customFormat="false" ht="15" hidden="false" customHeight="false" outlineLevel="0" collapsed="false">
      <c r="A98" s="29" t="n">
        <v>46114</v>
      </c>
      <c r="B98" s="30" t="str">
        <f aca="false">CHOOSE(WEEKDAY(A98),"Sun","Mon","Tue","Wed","Thu","Fri","Sat")</f>
        <v>Thu</v>
      </c>
      <c r="C98" s="30" t="str">
        <f aca="false">IF(IFERROR(INDEX(Holidays!$D$5:$D$60,MATCH(A98,Holidays!$A$5:$A$60,0)),"")="Holiday","Holiday",IF(WEEKDAY(A98)&gt;=6,"Weekend",IF(IFERROR(INDEX(Holidays!$D$5:$D$60,MATCH(A98,Holidays!$A$5:$A$60,0)),"")="Eve","Eve","Workday")))</f>
        <v>Holiday</v>
      </c>
      <c r="D98" s="18" t="str">
        <f aca="false">IFERROR(INDEX(Holidays!$C$5:$C$60,MATCH(A98,Holidays!$A$5:$A$60,0)),"")</f>
        <v>Pesach</v>
      </c>
      <c r="E98" s="31"/>
      <c r="F98" s="32"/>
      <c r="G98" s="32"/>
      <c r="H98" s="32"/>
      <c r="I98" s="32"/>
      <c r="J98" s="31"/>
      <c r="K98" s="33" t="str">
        <f aca="false">IF(E98&lt;&gt;"",E98,IF(U98,"Present",IF(C98="Holiday","Holiday","Weekend")))</f>
        <v>Holiday</v>
      </c>
      <c r="L98" s="34" t="str">
        <f aca="false">IF(OR(K98="Present",K98="Manual Work",K98="Partial Vacation",K98="Partial Sick Leave"),IF(ISNUMBER(F98),F98,IF(AND(K98="Present",U98),Settings!$B$6,"")),"")</f>
        <v/>
      </c>
      <c r="M98" s="34" t="str">
        <f aca="false">IF(OR(K98="Present",K98="Manual Work",K98="Partial Vacation",K98="Partial Sick Leave"),IF(ISNUMBER(G98),G98,IF(AND(K98="Present",U98),V98,"")),"")</f>
        <v/>
      </c>
      <c r="N98" s="14" t="n">
        <f aca="false">IF(AND(ISNUMBER(L98),ISNUMBER(M98)),MAX(0,(M98-L98)*24),0)</f>
        <v>0</v>
      </c>
      <c r="O98" s="14" t="n">
        <f aca="false">IF(NOT(U98),0,IF(K98="Vacation",IF(C98="Eve",Settings!$B$9*Settings!$B$11,W98),IF(K98="Partial Vacation",IF(AND(ISNUMBER(H98),ISNUMBER(I98)),MAX(0,(I98-H98)*24),0),0)))</f>
        <v>0</v>
      </c>
      <c r="P98" s="14" t="n">
        <f aca="false">IF(NOT(U98),0,IF(K98="Sick Leave",W98,IF(K98="Partial Sick Leave",IF(AND(ISNUMBER(H98),ISNUMBER(I98)),MAX(0,(I98-H98)*24),0),0)))</f>
        <v>0</v>
      </c>
      <c r="Q98" s="14" t="n">
        <f aca="false">IF(NOT(U98),0,IF(K98="Vacation",IF(C98="Eve",Settings!$B$11,1),IF(K98="Partial Vacation",O98/Settings!$B$9,0)))</f>
        <v>0</v>
      </c>
      <c r="R98" s="14" t="n">
        <f aca="false">IF(NOT(U98),0,IF(K98="Sick Leave",1,IF(K98="Partial Sick Leave",P98/Settings!$B$9,0)))</f>
        <v>0</v>
      </c>
      <c r="S98" s="35" t="str">
        <f aca="false">IF(AND(OR(E98="Vacation",E98="Sick Leave",E98="Partial Vacation",E98="Partial Sick Leave"),NOT(U98)),"Leave not allowed on this day",IF(AND(E98="Manual Work",OR(NOT(ISNUMBER(F98)),NOT(ISNUMBER(G98)))),"Enter start and end",IF(AND(OR(E98="Partial Vacation",E98="Partial Sick Leave"),OR(NOT(ISNUMBER(H98)),NOT(ISNUMBER(I98)))),"Enter leave from and to",IF(AND(ISNUMBER(F98),ISNUMBER(G98),G98&lt;=F98),"End is before start",IF(AND(ISNUMBER(H98),ISNUMBER(I98),I98&lt;=H98),"Leave end is before start",IF(AND(ISNUMBER(F98),ISNUMBER(G98),ISNUMBER(H98),ISNUMBER(I98),F98&lt;I98,H98&lt;G98),"Work and leave hours overlap",IF(AND(E98&lt;&gt;"",WEEKDAY(A98)=7),"Saturday - administrator only","")))))))</f>
        <v/>
      </c>
      <c r="T98" s="36" t="n">
        <f aca="false">MONTH(A98)</f>
        <v>4</v>
      </c>
      <c r="U98" s="37" t="b">
        <f aca="false">OR(C98="Workday",C98="Eve")</f>
        <v>0</v>
      </c>
      <c r="V98" s="34" t="n">
        <f aca="false">IF(C98="Eve",Settings!$B$8,Settings!$B$7)</f>
        <v>0.6875</v>
      </c>
      <c r="W98" s="14" t="n">
        <f aca="false">IF(U98,(V98-Settings!$B$6)*24,0)</f>
        <v>0</v>
      </c>
    </row>
    <row r="99" customFormat="false" ht="15" hidden="false" customHeight="false" outlineLevel="0" collapsed="false">
      <c r="A99" s="29" t="n">
        <v>46115</v>
      </c>
      <c r="B99" s="30" t="str">
        <f aca="false">CHOOSE(WEEKDAY(A99),"Sun","Mon","Tue","Wed","Thu","Fri","Sat")</f>
        <v>Fri</v>
      </c>
      <c r="C99" s="30" t="str">
        <f aca="false">IF(IFERROR(INDEX(Holidays!$D$5:$D$60,MATCH(A99,Holidays!$A$5:$A$60,0)),"")="Holiday","Holiday",IF(WEEKDAY(A99)&gt;=6,"Weekend",IF(IFERROR(INDEX(Holidays!$D$5:$D$60,MATCH(A99,Holidays!$A$5:$A$60,0)),"")="Eve","Eve","Workday")))</f>
        <v>Weekend</v>
      </c>
      <c r="D99" s="18" t="str">
        <f aca="false">IFERROR(INDEX(Holidays!$C$5:$C$60,MATCH(A99,Holidays!$A$5:$A$60,0)),"")</f>
        <v/>
      </c>
      <c r="E99" s="31"/>
      <c r="F99" s="32"/>
      <c r="G99" s="32"/>
      <c r="H99" s="32"/>
      <c r="I99" s="32"/>
      <c r="J99" s="31"/>
      <c r="K99" s="33" t="str">
        <f aca="false">IF(E99&lt;&gt;"",E99,IF(U99,"Present",IF(C99="Holiday","Holiday","Weekend")))</f>
        <v>Weekend</v>
      </c>
      <c r="L99" s="34" t="str">
        <f aca="false">IF(OR(K99="Present",K99="Manual Work",K99="Partial Vacation",K99="Partial Sick Leave"),IF(ISNUMBER(F99),F99,IF(AND(K99="Present",U99),Settings!$B$6,"")),"")</f>
        <v/>
      </c>
      <c r="M99" s="34" t="str">
        <f aca="false">IF(OR(K99="Present",K99="Manual Work",K99="Partial Vacation",K99="Partial Sick Leave"),IF(ISNUMBER(G99),G99,IF(AND(K99="Present",U99),V99,"")),"")</f>
        <v/>
      </c>
      <c r="N99" s="14" t="n">
        <f aca="false">IF(AND(ISNUMBER(L99),ISNUMBER(M99)),MAX(0,(M99-L99)*24),0)</f>
        <v>0</v>
      </c>
      <c r="O99" s="14" t="n">
        <f aca="false">IF(NOT(U99),0,IF(K99="Vacation",IF(C99="Eve",Settings!$B$9*Settings!$B$11,W99),IF(K99="Partial Vacation",IF(AND(ISNUMBER(H99),ISNUMBER(I99)),MAX(0,(I99-H99)*24),0),0)))</f>
        <v>0</v>
      </c>
      <c r="P99" s="14" t="n">
        <f aca="false">IF(NOT(U99),0,IF(K99="Sick Leave",W99,IF(K99="Partial Sick Leave",IF(AND(ISNUMBER(H99),ISNUMBER(I99)),MAX(0,(I99-H99)*24),0),0)))</f>
        <v>0</v>
      </c>
      <c r="Q99" s="14" t="n">
        <f aca="false">IF(NOT(U99),0,IF(K99="Vacation",IF(C99="Eve",Settings!$B$11,1),IF(K99="Partial Vacation",O99/Settings!$B$9,0)))</f>
        <v>0</v>
      </c>
      <c r="R99" s="14" t="n">
        <f aca="false">IF(NOT(U99),0,IF(K99="Sick Leave",1,IF(K99="Partial Sick Leave",P99/Settings!$B$9,0)))</f>
        <v>0</v>
      </c>
      <c r="S99" s="35" t="str">
        <f aca="false">IF(AND(OR(E99="Vacation",E99="Sick Leave",E99="Partial Vacation",E99="Partial Sick Leave"),NOT(U99)),"Leave not allowed on this day",IF(AND(E99="Manual Work",OR(NOT(ISNUMBER(F99)),NOT(ISNUMBER(G99)))),"Enter start and end",IF(AND(OR(E99="Partial Vacation",E99="Partial Sick Leave"),OR(NOT(ISNUMBER(H99)),NOT(ISNUMBER(I99)))),"Enter leave from and to",IF(AND(ISNUMBER(F99),ISNUMBER(G99),G99&lt;=F99),"End is before start",IF(AND(ISNUMBER(H99),ISNUMBER(I99),I99&lt;=H99),"Leave end is before start",IF(AND(ISNUMBER(F99),ISNUMBER(G99),ISNUMBER(H99),ISNUMBER(I99),F99&lt;I99,H99&lt;G99),"Work and leave hours overlap",IF(AND(E99&lt;&gt;"",WEEKDAY(A99)=7),"Saturday - administrator only","")))))))</f>
        <v/>
      </c>
      <c r="T99" s="36" t="n">
        <f aca="false">MONTH(A99)</f>
        <v>4</v>
      </c>
      <c r="U99" s="37" t="b">
        <f aca="false">OR(C99="Workday",C99="Eve")</f>
        <v>0</v>
      </c>
      <c r="V99" s="34" t="n">
        <f aca="false">IF(C99="Eve",Settings!$B$8,Settings!$B$7)</f>
        <v>0.6875</v>
      </c>
      <c r="W99" s="14" t="n">
        <f aca="false">IF(U99,(V99-Settings!$B$6)*24,0)</f>
        <v>0</v>
      </c>
    </row>
    <row r="100" customFormat="false" ht="15" hidden="false" customHeight="false" outlineLevel="0" collapsed="false">
      <c r="A100" s="29" t="n">
        <v>46116</v>
      </c>
      <c r="B100" s="30" t="str">
        <f aca="false">CHOOSE(WEEKDAY(A100),"Sun","Mon","Tue","Wed","Thu","Fri","Sat")</f>
        <v>Sat</v>
      </c>
      <c r="C100" s="30" t="str">
        <f aca="false">IF(IFERROR(INDEX(Holidays!$D$5:$D$60,MATCH(A100,Holidays!$A$5:$A$60,0)),"")="Holiday","Holiday",IF(WEEKDAY(A100)&gt;=6,"Weekend",IF(IFERROR(INDEX(Holidays!$D$5:$D$60,MATCH(A100,Holidays!$A$5:$A$60,0)),"")="Eve","Eve","Workday")))</f>
        <v>Weekend</v>
      </c>
      <c r="D100" s="18" t="str">
        <f aca="false">IFERROR(INDEX(Holidays!$C$5:$C$60,MATCH(A100,Holidays!$A$5:$A$60,0)),"")</f>
        <v/>
      </c>
      <c r="E100" s="31"/>
      <c r="F100" s="32"/>
      <c r="G100" s="32"/>
      <c r="H100" s="32"/>
      <c r="I100" s="32"/>
      <c r="J100" s="31"/>
      <c r="K100" s="33" t="str">
        <f aca="false">IF(E100&lt;&gt;"",E100,IF(U100,"Present",IF(C100="Holiday","Holiday","Weekend")))</f>
        <v>Weekend</v>
      </c>
      <c r="L100" s="34" t="str">
        <f aca="false">IF(OR(K100="Present",K100="Manual Work",K100="Partial Vacation",K100="Partial Sick Leave"),IF(ISNUMBER(F100),F100,IF(AND(K100="Present",U100),Settings!$B$6,"")),"")</f>
        <v/>
      </c>
      <c r="M100" s="34" t="str">
        <f aca="false">IF(OR(K100="Present",K100="Manual Work",K100="Partial Vacation",K100="Partial Sick Leave"),IF(ISNUMBER(G100),G100,IF(AND(K100="Present",U100),V100,"")),"")</f>
        <v/>
      </c>
      <c r="N100" s="14" t="n">
        <f aca="false">IF(AND(ISNUMBER(L100),ISNUMBER(M100)),MAX(0,(M100-L100)*24),0)</f>
        <v>0</v>
      </c>
      <c r="O100" s="14" t="n">
        <f aca="false">IF(NOT(U100),0,IF(K100="Vacation",IF(C100="Eve",Settings!$B$9*Settings!$B$11,W100),IF(K100="Partial Vacation",IF(AND(ISNUMBER(H100),ISNUMBER(I100)),MAX(0,(I100-H100)*24),0),0)))</f>
        <v>0</v>
      </c>
      <c r="P100" s="14" t="n">
        <f aca="false">IF(NOT(U100),0,IF(K100="Sick Leave",W100,IF(K100="Partial Sick Leave",IF(AND(ISNUMBER(H100),ISNUMBER(I100)),MAX(0,(I100-H100)*24),0),0)))</f>
        <v>0</v>
      </c>
      <c r="Q100" s="14" t="n">
        <f aca="false">IF(NOT(U100),0,IF(K100="Vacation",IF(C100="Eve",Settings!$B$11,1),IF(K100="Partial Vacation",O100/Settings!$B$9,0)))</f>
        <v>0</v>
      </c>
      <c r="R100" s="14" t="n">
        <f aca="false">IF(NOT(U100),0,IF(K100="Sick Leave",1,IF(K100="Partial Sick Leave",P100/Settings!$B$9,0)))</f>
        <v>0</v>
      </c>
      <c r="S100" s="35" t="str">
        <f aca="false">IF(AND(OR(E100="Vacation",E100="Sick Leave",E100="Partial Vacation",E100="Partial Sick Leave"),NOT(U100)),"Leave not allowed on this day",IF(AND(E100="Manual Work",OR(NOT(ISNUMBER(F100)),NOT(ISNUMBER(G100)))),"Enter start and end",IF(AND(OR(E100="Partial Vacation",E100="Partial Sick Leave"),OR(NOT(ISNUMBER(H100)),NOT(ISNUMBER(I100)))),"Enter leave from and to",IF(AND(ISNUMBER(F100),ISNUMBER(G100),G100&lt;=F100),"End is before start",IF(AND(ISNUMBER(H100),ISNUMBER(I100),I100&lt;=H100),"Leave end is before start",IF(AND(ISNUMBER(F100),ISNUMBER(G100),ISNUMBER(H100),ISNUMBER(I100),F100&lt;I100,H100&lt;G100),"Work and leave hours overlap",IF(AND(E100&lt;&gt;"",WEEKDAY(A100)=7),"Saturday - administrator only","")))))))</f>
        <v/>
      </c>
      <c r="T100" s="36" t="n">
        <f aca="false">MONTH(A100)</f>
        <v>4</v>
      </c>
      <c r="U100" s="37" t="b">
        <f aca="false">OR(C100="Workday",C100="Eve")</f>
        <v>0</v>
      </c>
      <c r="V100" s="34" t="n">
        <f aca="false">IF(C100="Eve",Settings!$B$8,Settings!$B$7)</f>
        <v>0.6875</v>
      </c>
      <c r="W100" s="14" t="n">
        <f aca="false">IF(U100,(V100-Settings!$B$6)*24,0)</f>
        <v>0</v>
      </c>
    </row>
    <row r="101" customFormat="false" ht="15" hidden="false" customHeight="false" outlineLevel="0" collapsed="false">
      <c r="A101" s="29" t="n">
        <v>46117</v>
      </c>
      <c r="B101" s="30" t="str">
        <f aca="false">CHOOSE(WEEKDAY(A101),"Sun","Mon","Tue","Wed","Thu","Fri","Sat")</f>
        <v>Sun</v>
      </c>
      <c r="C101" s="30" t="str">
        <f aca="false">IF(IFERROR(INDEX(Holidays!$D$5:$D$60,MATCH(A101,Holidays!$A$5:$A$60,0)),"")="Holiday","Holiday",IF(WEEKDAY(A101)&gt;=6,"Weekend",IF(IFERROR(INDEX(Holidays!$D$5:$D$60,MATCH(A101,Holidays!$A$5:$A$60,0)),"")="Eve","Eve","Workday")))</f>
        <v>Workday</v>
      </c>
      <c r="D101" s="18" t="str">
        <f aca="false">IFERROR(INDEX(Holidays!$C$5:$C$60,MATCH(A101,Holidays!$A$5:$A$60,0)),"")</f>
        <v/>
      </c>
      <c r="E101" s="31"/>
      <c r="F101" s="32"/>
      <c r="G101" s="32"/>
      <c r="H101" s="32"/>
      <c r="I101" s="32"/>
      <c r="J101" s="31"/>
      <c r="K101" s="33" t="str">
        <f aca="false">IF(E101&lt;&gt;"",E101,IF(U101,"Present",IF(C101="Holiday","Holiday","Weekend")))</f>
        <v>Present</v>
      </c>
      <c r="L101" s="34" t="n">
        <f aca="false">IF(OR(K101="Present",K101="Manual Work",K101="Partial Vacation",K101="Partial Sick Leave"),IF(ISNUMBER(F101),F101,IF(AND(K101="Present",U101),Settings!$B$6,"")),"")</f>
        <v>0.333333333333333</v>
      </c>
      <c r="M101" s="34" t="n">
        <f aca="false">IF(OR(K101="Present",K101="Manual Work",K101="Partial Vacation",K101="Partial Sick Leave"),IF(ISNUMBER(G101),G101,IF(AND(K101="Present",U101),V101,"")),"")</f>
        <v>0.6875</v>
      </c>
      <c r="N101" s="14" t="n">
        <f aca="false">IF(AND(ISNUMBER(L101),ISNUMBER(M101)),MAX(0,(M101-L101)*24),0)</f>
        <v>8.5</v>
      </c>
      <c r="O101" s="14" t="n">
        <f aca="false">IF(NOT(U101),0,IF(K101="Vacation",IF(C101="Eve",Settings!$B$9*Settings!$B$11,W101),IF(K101="Partial Vacation",IF(AND(ISNUMBER(H101),ISNUMBER(I101)),MAX(0,(I101-H101)*24),0),0)))</f>
        <v>0</v>
      </c>
      <c r="P101" s="14" t="n">
        <f aca="false">IF(NOT(U101),0,IF(K101="Sick Leave",W101,IF(K101="Partial Sick Leave",IF(AND(ISNUMBER(H101),ISNUMBER(I101)),MAX(0,(I101-H101)*24),0),0)))</f>
        <v>0</v>
      </c>
      <c r="Q101" s="14" t="n">
        <f aca="false">IF(NOT(U101),0,IF(K101="Vacation",IF(C101="Eve",Settings!$B$11,1),IF(K101="Partial Vacation",O101/Settings!$B$9,0)))</f>
        <v>0</v>
      </c>
      <c r="R101" s="14" t="n">
        <f aca="false">IF(NOT(U101),0,IF(K101="Sick Leave",1,IF(K101="Partial Sick Leave",P101/Settings!$B$9,0)))</f>
        <v>0</v>
      </c>
      <c r="S101" s="35" t="str">
        <f aca="false">IF(AND(OR(E101="Vacation",E101="Sick Leave",E101="Partial Vacation",E101="Partial Sick Leave"),NOT(U101)),"Leave not allowed on this day",IF(AND(E101="Manual Work",OR(NOT(ISNUMBER(F101)),NOT(ISNUMBER(G101)))),"Enter start and end",IF(AND(OR(E101="Partial Vacation",E101="Partial Sick Leave"),OR(NOT(ISNUMBER(H101)),NOT(ISNUMBER(I101)))),"Enter leave from and to",IF(AND(ISNUMBER(F101),ISNUMBER(G101),G101&lt;=F101),"End is before start",IF(AND(ISNUMBER(H101),ISNUMBER(I101),I101&lt;=H101),"Leave end is before start",IF(AND(ISNUMBER(F101),ISNUMBER(G101),ISNUMBER(H101),ISNUMBER(I101),F101&lt;I101,H101&lt;G101),"Work and leave hours overlap",IF(AND(E101&lt;&gt;"",WEEKDAY(A101)=7),"Saturday - administrator only","")))))))</f>
        <v/>
      </c>
      <c r="T101" s="36" t="n">
        <f aca="false">MONTH(A101)</f>
        <v>4</v>
      </c>
      <c r="U101" s="37" t="b">
        <f aca="false">OR(C101="Workday",C101="Eve")</f>
        <v>1</v>
      </c>
      <c r="V101" s="34" t="n">
        <f aca="false">IF(C101="Eve",Settings!$B$8,Settings!$B$7)</f>
        <v>0.6875</v>
      </c>
      <c r="W101" s="14" t="n">
        <f aca="false">IF(U101,(V101-Settings!$B$6)*24,0)</f>
        <v>8.5</v>
      </c>
    </row>
    <row r="102" customFormat="false" ht="15" hidden="false" customHeight="false" outlineLevel="0" collapsed="false">
      <c r="A102" s="29" t="n">
        <v>46118</v>
      </c>
      <c r="B102" s="30" t="str">
        <f aca="false">CHOOSE(WEEKDAY(A102),"Sun","Mon","Tue","Wed","Thu","Fri","Sat")</f>
        <v>Mon</v>
      </c>
      <c r="C102" s="30" t="str">
        <f aca="false">IF(IFERROR(INDEX(Holidays!$D$5:$D$60,MATCH(A102,Holidays!$A$5:$A$60,0)),"")="Holiday","Holiday",IF(WEEKDAY(A102)&gt;=6,"Weekend",IF(IFERROR(INDEX(Holidays!$D$5:$D$60,MATCH(A102,Holidays!$A$5:$A$60,0)),"")="Eve","Eve","Workday")))</f>
        <v>Workday</v>
      </c>
      <c r="D102" s="18" t="str">
        <f aca="false">IFERROR(INDEX(Holidays!$C$5:$C$60,MATCH(A102,Holidays!$A$5:$A$60,0)),"")</f>
        <v/>
      </c>
      <c r="E102" s="31"/>
      <c r="F102" s="32"/>
      <c r="G102" s="32"/>
      <c r="H102" s="32"/>
      <c r="I102" s="32"/>
      <c r="J102" s="31"/>
      <c r="K102" s="33" t="str">
        <f aca="false">IF(E102&lt;&gt;"",E102,IF(U102,"Present",IF(C102="Holiday","Holiday","Weekend")))</f>
        <v>Present</v>
      </c>
      <c r="L102" s="34" t="n">
        <f aca="false">IF(OR(K102="Present",K102="Manual Work",K102="Partial Vacation",K102="Partial Sick Leave"),IF(ISNUMBER(F102),F102,IF(AND(K102="Present",U102),Settings!$B$6,"")),"")</f>
        <v>0.333333333333333</v>
      </c>
      <c r="M102" s="34" t="n">
        <f aca="false">IF(OR(K102="Present",K102="Manual Work",K102="Partial Vacation",K102="Partial Sick Leave"),IF(ISNUMBER(G102),G102,IF(AND(K102="Present",U102),V102,"")),"")</f>
        <v>0.6875</v>
      </c>
      <c r="N102" s="14" t="n">
        <f aca="false">IF(AND(ISNUMBER(L102),ISNUMBER(M102)),MAX(0,(M102-L102)*24),0)</f>
        <v>8.5</v>
      </c>
      <c r="O102" s="14" t="n">
        <f aca="false">IF(NOT(U102),0,IF(K102="Vacation",IF(C102="Eve",Settings!$B$9*Settings!$B$11,W102),IF(K102="Partial Vacation",IF(AND(ISNUMBER(H102),ISNUMBER(I102)),MAX(0,(I102-H102)*24),0),0)))</f>
        <v>0</v>
      </c>
      <c r="P102" s="14" t="n">
        <f aca="false">IF(NOT(U102),0,IF(K102="Sick Leave",W102,IF(K102="Partial Sick Leave",IF(AND(ISNUMBER(H102),ISNUMBER(I102)),MAX(0,(I102-H102)*24),0),0)))</f>
        <v>0</v>
      </c>
      <c r="Q102" s="14" t="n">
        <f aca="false">IF(NOT(U102),0,IF(K102="Vacation",IF(C102="Eve",Settings!$B$11,1),IF(K102="Partial Vacation",O102/Settings!$B$9,0)))</f>
        <v>0</v>
      </c>
      <c r="R102" s="14" t="n">
        <f aca="false">IF(NOT(U102),0,IF(K102="Sick Leave",1,IF(K102="Partial Sick Leave",P102/Settings!$B$9,0)))</f>
        <v>0</v>
      </c>
      <c r="S102" s="35" t="str">
        <f aca="false">IF(AND(OR(E102="Vacation",E102="Sick Leave",E102="Partial Vacation",E102="Partial Sick Leave"),NOT(U102)),"Leave not allowed on this day",IF(AND(E102="Manual Work",OR(NOT(ISNUMBER(F102)),NOT(ISNUMBER(G102)))),"Enter start and end",IF(AND(OR(E102="Partial Vacation",E102="Partial Sick Leave"),OR(NOT(ISNUMBER(H102)),NOT(ISNUMBER(I102)))),"Enter leave from and to",IF(AND(ISNUMBER(F102),ISNUMBER(G102),G102&lt;=F102),"End is before start",IF(AND(ISNUMBER(H102),ISNUMBER(I102),I102&lt;=H102),"Leave end is before start",IF(AND(ISNUMBER(F102),ISNUMBER(G102),ISNUMBER(H102),ISNUMBER(I102),F102&lt;I102,H102&lt;G102),"Work and leave hours overlap",IF(AND(E102&lt;&gt;"",WEEKDAY(A102)=7),"Saturday - administrator only","")))))))</f>
        <v/>
      </c>
      <c r="T102" s="36" t="n">
        <f aca="false">MONTH(A102)</f>
        <v>4</v>
      </c>
      <c r="U102" s="37" t="b">
        <f aca="false">OR(C102="Workday",C102="Eve")</f>
        <v>1</v>
      </c>
      <c r="V102" s="34" t="n">
        <f aca="false">IF(C102="Eve",Settings!$B$8,Settings!$B$7)</f>
        <v>0.6875</v>
      </c>
      <c r="W102" s="14" t="n">
        <f aca="false">IF(U102,(V102-Settings!$B$6)*24,0)</f>
        <v>8.5</v>
      </c>
    </row>
    <row r="103" customFormat="false" ht="15" hidden="false" customHeight="false" outlineLevel="0" collapsed="false">
      <c r="A103" s="29" t="n">
        <v>46119</v>
      </c>
      <c r="B103" s="30" t="str">
        <f aca="false">CHOOSE(WEEKDAY(A103),"Sun","Mon","Tue","Wed","Thu","Fri","Sat")</f>
        <v>Tue</v>
      </c>
      <c r="C103" s="30" t="str">
        <f aca="false">IF(IFERROR(INDEX(Holidays!$D$5:$D$60,MATCH(A103,Holidays!$A$5:$A$60,0)),"")="Holiday","Holiday",IF(WEEKDAY(A103)&gt;=6,"Weekend",IF(IFERROR(INDEX(Holidays!$D$5:$D$60,MATCH(A103,Holidays!$A$5:$A$60,0)),"")="Eve","Eve","Workday")))</f>
        <v>Eve</v>
      </c>
      <c r="D103" s="18" t="str">
        <f aca="false">IFERROR(INDEX(Holidays!$C$5:$C$60,MATCH(A103,Holidays!$A$5:$A$60,0)),"")</f>
        <v>Erev Seventh Day of Pesach</v>
      </c>
      <c r="E103" s="31"/>
      <c r="F103" s="32"/>
      <c r="G103" s="32"/>
      <c r="H103" s="32"/>
      <c r="I103" s="32"/>
      <c r="J103" s="31"/>
      <c r="K103" s="33" t="str">
        <f aca="false">IF(E103&lt;&gt;"",E103,IF(U103,"Present",IF(C103="Holiday","Holiday","Weekend")))</f>
        <v>Present</v>
      </c>
      <c r="L103" s="34" t="n">
        <f aca="false">IF(OR(K103="Present",K103="Manual Work",K103="Partial Vacation",K103="Partial Sick Leave"),IF(ISNUMBER(F103),F103,IF(AND(K103="Present",U103),Settings!$B$6,"")),"")</f>
        <v>0.333333333333333</v>
      </c>
      <c r="M103" s="34" t="n">
        <f aca="false">IF(OR(K103="Present",K103="Manual Work",K103="Partial Vacation",K103="Partial Sick Leave"),IF(ISNUMBER(G103),G103,IF(AND(K103="Present",U103),V103,"")),"")</f>
        <v>0.583333333333333</v>
      </c>
      <c r="N103" s="14" t="n">
        <f aca="false">IF(AND(ISNUMBER(L103),ISNUMBER(M103)),MAX(0,(M103-L103)*24),0)</f>
        <v>6</v>
      </c>
      <c r="O103" s="14" t="n">
        <f aca="false">IF(NOT(U103),0,IF(K103="Vacation",IF(C103="Eve",Settings!$B$9*Settings!$B$11,W103),IF(K103="Partial Vacation",IF(AND(ISNUMBER(H103),ISNUMBER(I103)),MAX(0,(I103-H103)*24),0),0)))</f>
        <v>0</v>
      </c>
      <c r="P103" s="14" t="n">
        <f aca="false">IF(NOT(U103),0,IF(K103="Sick Leave",W103,IF(K103="Partial Sick Leave",IF(AND(ISNUMBER(H103),ISNUMBER(I103)),MAX(0,(I103-H103)*24),0),0)))</f>
        <v>0</v>
      </c>
      <c r="Q103" s="14" t="n">
        <f aca="false">IF(NOT(U103),0,IF(K103="Vacation",IF(C103="Eve",Settings!$B$11,1),IF(K103="Partial Vacation",O103/Settings!$B$9,0)))</f>
        <v>0</v>
      </c>
      <c r="R103" s="14" t="n">
        <f aca="false">IF(NOT(U103),0,IF(K103="Sick Leave",1,IF(K103="Partial Sick Leave",P103/Settings!$B$9,0)))</f>
        <v>0</v>
      </c>
      <c r="S103" s="35" t="str">
        <f aca="false">IF(AND(OR(E103="Vacation",E103="Sick Leave",E103="Partial Vacation",E103="Partial Sick Leave"),NOT(U103)),"Leave not allowed on this day",IF(AND(E103="Manual Work",OR(NOT(ISNUMBER(F103)),NOT(ISNUMBER(G103)))),"Enter start and end",IF(AND(OR(E103="Partial Vacation",E103="Partial Sick Leave"),OR(NOT(ISNUMBER(H103)),NOT(ISNUMBER(I103)))),"Enter leave from and to",IF(AND(ISNUMBER(F103),ISNUMBER(G103),G103&lt;=F103),"End is before start",IF(AND(ISNUMBER(H103),ISNUMBER(I103),I103&lt;=H103),"Leave end is before start",IF(AND(ISNUMBER(F103),ISNUMBER(G103),ISNUMBER(H103),ISNUMBER(I103),F103&lt;I103,H103&lt;G103),"Work and leave hours overlap",IF(AND(E103&lt;&gt;"",WEEKDAY(A103)=7),"Saturday - administrator only","")))))))</f>
        <v/>
      </c>
      <c r="T103" s="36" t="n">
        <f aca="false">MONTH(A103)</f>
        <v>4</v>
      </c>
      <c r="U103" s="37" t="b">
        <f aca="false">OR(C103="Workday",C103="Eve")</f>
        <v>1</v>
      </c>
      <c r="V103" s="34" t="n">
        <f aca="false">IF(C103="Eve",Settings!$B$8,Settings!$B$7)</f>
        <v>0.583333333333333</v>
      </c>
      <c r="W103" s="14" t="n">
        <f aca="false">IF(U103,(V103-Settings!$B$6)*24,0)</f>
        <v>6</v>
      </c>
    </row>
    <row r="104" customFormat="false" ht="15" hidden="false" customHeight="false" outlineLevel="0" collapsed="false">
      <c r="A104" s="29" t="n">
        <v>46120</v>
      </c>
      <c r="B104" s="30" t="str">
        <f aca="false">CHOOSE(WEEKDAY(A104),"Sun","Mon","Tue","Wed","Thu","Fri","Sat")</f>
        <v>Wed</v>
      </c>
      <c r="C104" s="30" t="str">
        <f aca="false">IF(IFERROR(INDEX(Holidays!$D$5:$D$60,MATCH(A104,Holidays!$A$5:$A$60,0)),"")="Holiday","Holiday",IF(WEEKDAY(A104)&gt;=6,"Weekend",IF(IFERROR(INDEX(Holidays!$D$5:$D$60,MATCH(A104,Holidays!$A$5:$A$60,0)),"")="Eve","Eve","Workday")))</f>
        <v>Holiday</v>
      </c>
      <c r="D104" s="18" t="str">
        <f aca="false">IFERROR(INDEX(Holidays!$C$5:$C$60,MATCH(A104,Holidays!$A$5:$A$60,0)),"")</f>
        <v>Seventh Day of Pesach</v>
      </c>
      <c r="E104" s="31"/>
      <c r="F104" s="32"/>
      <c r="G104" s="32"/>
      <c r="H104" s="32"/>
      <c r="I104" s="32"/>
      <c r="J104" s="31"/>
      <c r="K104" s="33" t="str">
        <f aca="false">IF(E104&lt;&gt;"",E104,IF(U104,"Present",IF(C104="Holiday","Holiday","Weekend")))</f>
        <v>Holiday</v>
      </c>
      <c r="L104" s="34" t="str">
        <f aca="false">IF(OR(K104="Present",K104="Manual Work",K104="Partial Vacation",K104="Partial Sick Leave"),IF(ISNUMBER(F104),F104,IF(AND(K104="Present",U104),Settings!$B$6,"")),"")</f>
        <v/>
      </c>
      <c r="M104" s="34" t="str">
        <f aca="false">IF(OR(K104="Present",K104="Manual Work",K104="Partial Vacation",K104="Partial Sick Leave"),IF(ISNUMBER(G104),G104,IF(AND(K104="Present",U104),V104,"")),"")</f>
        <v/>
      </c>
      <c r="N104" s="14" t="n">
        <f aca="false">IF(AND(ISNUMBER(L104),ISNUMBER(M104)),MAX(0,(M104-L104)*24),0)</f>
        <v>0</v>
      </c>
      <c r="O104" s="14" t="n">
        <f aca="false">IF(NOT(U104),0,IF(K104="Vacation",IF(C104="Eve",Settings!$B$9*Settings!$B$11,W104),IF(K104="Partial Vacation",IF(AND(ISNUMBER(H104),ISNUMBER(I104)),MAX(0,(I104-H104)*24),0),0)))</f>
        <v>0</v>
      </c>
      <c r="P104" s="14" t="n">
        <f aca="false">IF(NOT(U104),0,IF(K104="Sick Leave",W104,IF(K104="Partial Sick Leave",IF(AND(ISNUMBER(H104),ISNUMBER(I104)),MAX(0,(I104-H104)*24),0),0)))</f>
        <v>0</v>
      </c>
      <c r="Q104" s="14" t="n">
        <f aca="false">IF(NOT(U104),0,IF(K104="Vacation",IF(C104="Eve",Settings!$B$11,1),IF(K104="Partial Vacation",O104/Settings!$B$9,0)))</f>
        <v>0</v>
      </c>
      <c r="R104" s="14" t="n">
        <f aca="false">IF(NOT(U104),0,IF(K104="Sick Leave",1,IF(K104="Partial Sick Leave",P104/Settings!$B$9,0)))</f>
        <v>0</v>
      </c>
      <c r="S104" s="35" t="str">
        <f aca="false">IF(AND(OR(E104="Vacation",E104="Sick Leave",E104="Partial Vacation",E104="Partial Sick Leave"),NOT(U104)),"Leave not allowed on this day",IF(AND(E104="Manual Work",OR(NOT(ISNUMBER(F104)),NOT(ISNUMBER(G104)))),"Enter start and end",IF(AND(OR(E104="Partial Vacation",E104="Partial Sick Leave"),OR(NOT(ISNUMBER(H104)),NOT(ISNUMBER(I104)))),"Enter leave from and to",IF(AND(ISNUMBER(F104),ISNUMBER(G104),G104&lt;=F104),"End is before start",IF(AND(ISNUMBER(H104),ISNUMBER(I104),I104&lt;=H104),"Leave end is before start",IF(AND(ISNUMBER(F104),ISNUMBER(G104),ISNUMBER(H104),ISNUMBER(I104),F104&lt;I104,H104&lt;G104),"Work and leave hours overlap",IF(AND(E104&lt;&gt;"",WEEKDAY(A104)=7),"Saturday - administrator only","")))))))</f>
        <v/>
      </c>
      <c r="T104" s="36" t="n">
        <f aca="false">MONTH(A104)</f>
        <v>4</v>
      </c>
      <c r="U104" s="37" t="b">
        <f aca="false">OR(C104="Workday",C104="Eve")</f>
        <v>0</v>
      </c>
      <c r="V104" s="34" t="n">
        <f aca="false">IF(C104="Eve",Settings!$B$8,Settings!$B$7)</f>
        <v>0.6875</v>
      </c>
      <c r="W104" s="14" t="n">
        <f aca="false">IF(U104,(V104-Settings!$B$6)*24,0)</f>
        <v>0</v>
      </c>
    </row>
    <row r="105" customFormat="false" ht="15" hidden="false" customHeight="false" outlineLevel="0" collapsed="false">
      <c r="A105" s="29" t="n">
        <v>46121</v>
      </c>
      <c r="B105" s="30" t="str">
        <f aca="false">CHOOSE(WEEKDAY(A105),"Sun","Mon","Tue","Wed","Thu","Fri","Sat")</f>
        <v>Thu</v>
      </c>
      <c r="C105" s="30" t="str">
        <f aca="false">IF(IFERROR(INDEX(Holidays!$D$5:$D$60,MATCH(A105,Holidays!$A$5:$A$60,0)),"")="Holiday","Holiday",IF(WEEKDAY(A105)&gt;=6,"Weekend",IF(IFERROR(INDEX(Holidays!$D$5:$D$60,MATCH(A105,Holidays!$A$5:$A$60,0)),"")="Eve","Eve","Workday")))</f>
        <v>Workday</v>
      </c>
      <c r="D105" s="18" t="str">
        <f aca="false">IFERROR(INDEX(Holidays!$C$5:$C$60,MATCH(A105,Holidays!$A$5:$A$60,0)),"")</f>
        <v/>
      </c>
      <c r="E105" s="31"/>
      <c r="F105" s="32"/>
      <c r="G105" s="32"/>
      <c r="H105" s="32"/>
      <c r="I105" s="32"/>
      <c r="J105" s="31"/>
      <c r="K105" s="33" t="str">
        <f aca="false">IF(E105&lt;&gt;"",E105,IF(U105,"Present",IF(C105="Holiday","Holiday","Weekend")))</f>
        <v>Present</v>
      </c>
      <c r="L105" s="34" t="n">
        <f aca="false">IF(OR(K105="Present",K105="Manual Work",K105="Partial Vacation",K105="Partial Sick Leave"),IF(ISNUMBER(F105),F105,IF(AND(K105="Present",U105),Settings!$B$6,"")),"")</f>
        <v>0.333333333333333</v>
      </c>
      <c r="M105" s="34" t="n">
        <f aca="false">IF(OR(K105="Present",K105="Manual Work",K105="Partial Vacation",K105="Partial Sick Leave"),IF(ISNUMBER(G105),G105,IF(AND(K105="Present",U105),V105,"")),"")</f>
        <v>0.6875</v>
      </c>
      <c r="N105" s="14" t="n">
        <f aca="false">IF(AND(ISNUMBER(L105),ISNUMBER(M105)),MAX(0,(M105-L105)*24),0)</f>
        <v>8.5</v>
      </c>
      <c r="O105" s="14" t="n">
        <f aca="false">IF(NOT(U105),0,IF(K105="Vacation",IF(C105="Eve",Settings!$B$9*Settings!$B$11,W105),IF(K105="Partial Vacation",IF(AND(ISNUMBER(H105),ISNUMBER(I105)),MAX(0,(I105-H105)*24),0),0)))</f>
        <v>0</v>
      </c>
      <c r="P105" s="14" t="n">
        <f aca="false">IF(NOT(U105),0,IF(K105="Sick Leave",W105,IF(K105="Partial Sick Leave",IF(AND(ISNUMBER(H105),ISNUMBER(I105)),MAX(0,(I105-H105)*24),0),0)))</f>
        <v>0</v>
      </c>
      <c r="Q105" s="14" t="n">
        <f aca="false">IF(NOT(U105),0,IF(K105="Vacation",IF(C105="Eve",Settings!$B$11,1),IF(K105="Partial Vacation",O105/Settings!$B$9,0)))</f>
        <v>0</v>
      </c>
      <c r="R105" s="14" t="n">
        <f aca="false">IF(NOT(U105),0,IF(K105="Sick Leave",1,IF(K105="Partial Sick Leave",P105/Settings!$B$9,0)))</f>
        <v>0</v>
      </c>
      <c r="S105" s="35" t="str">
        <f aca="false">IF(AND(OR(E105="Vacation",E105="Sick Leave",E105="Partial Vacation",E105="Partial Sick Leave"),NOT(U105)),"Leave not allowed on this day",IF(AND(E105="Manual Work",OR(NOT(ISNUMBER(F105)),NOT(ISNUMBER(G105)))),"Enter start and end",IF(AND(OR(E105="Partial Vacation",E105="Partial Sick Leave"),OR(NOT(ISNUMBER(H105)),NOT(ISNUMBER(I105)))),"Enter leave from and to",IF(AND(ISNUMBER(F105),ISNUMBER(G105),G105&lt;=F105),"End is before start",IF(AND(ISNUMBER(H105),ISNUMBER(I105),I105&lt;=H105),"Leave end is before start",IF(AND(ISNUMBER(F105),ISNUMBER(G105),ISNUMBER(H105),ISNUMBER(I105),F105&lt;I105,H105&lt;G105),"Work and leave hours overlap",IF(AND(E105&lt;&gt;"",WEEKDAY(A105)=7),"Saturday - administrator only","")))))))</f>
        <v/>
      </c>
      <c r="T105" s="36" t="n">
        <f aca="false">MONTH(A105)</f>
        <v>4</v>
      </c>
      <c r="U105" s="37" t="b">
        <f aca="false">OR(C105="Workday",C105="Eve")</f>
        <v>1</v>
      </c>
      <c r="V105" s="34" t="n">
        <f aca="false">IF(C105="Eve",Settings!$B$8,Settings!$B$7)</f>
        <v>0.6875</v>
      </c>
      <c r="W105" s="14" t="n">
        <f aca="false">IF(U105,(V105-Settings!$B$6)*24,0)</f>
        <v>8.5</v>
      </c>
    </row>
    <row r="106" customFormat="false" ht="15" hidden="false" customHeight="false" outlineLevel="0" collapsed="false">
      <c r="A106" s="29" t="n">
        <v>46122</v>
      </c>
      <c r="B106" s="30" t="str">
        <f aca="false">CHOOSE(WEEKDAY(A106),"Sun","Mon","Tue","Wed","Thu","Fri","Sat")</f>
        <v>Fri</v>
      </c>
      <c r="C106" s="30" t="str">
        <f aca="false">IF(IFERROR(INDEX(Holidays!$D$5:$D$60,MATCH(A106,Holidays!$A$5:$A$60,0)),"")="Holiday","Holiday",IF(WEEKDAY(A106)&gt;=6,"Weekend",IF(IFERROR(INDEX(Holidays!$D$5:$D$60,MATCH(A106,Holidays!$A$5:$A$60,0)),"")="Eve","Eve","Workday")))</f>
        <v>Weekend</v>
      </c>
      <c r="D106" s="18" t="str">
        <f aca="false">IFERROR(INDEX(Holidays!$C$5:$C$60,MATCH(A106,Holidays!$A$5:$A$60,0)),"")</f>
        <v/>
      </c>
      <c r="E106" s="31"/>
      <c r="F106" s="32"/>
      <c r="G106" s="32"/>
      <c r="H106" s="32"/>
      <c r="I106" s="32"/>
      <c r="J106" s="31"/>
      <c r="K106" s="33" t="str">
        <f aca="false">IF(E106&lt;&gt;"",E106,IF(U106,"Present",IF(C106="Holiday","Holiday","Weekend")))</f>
        <v>Weekend</v>
      </c>
      <c r="L106" s="34" t="str">
        <f aca="false">IF(OR(K106="Present",K106="Manual Work",K106="Partial Vacation",K106="Partial Sick Leave"),IF(ISNUMBER(F106),F106,IF(AND(K106="Present",U106),Settings!$B$6,"")),"")</f>
        <v/>
      </c>
      <c r="M106" s="34" t="str">
        <f aca="false">IF(OR(K106="Present",K106="Manual Work",K106="Partial Vacation",K106="Partial Sick Leave"),IF(ISNUMBER(G106),G106,IF(AND(K106="Present",U106),V106,"")),"")</f>
        <v/>
      </c>
      <c r="N106" s="14" t="n">
        <f aca="false">IF(AND(ISNUMBER(L106),ISNUMBER(M106)),MAX(0,(M106-L106)*24),0)</f>
        <v>0</v>
      </c>
      <c r="O106" s="14" t="n">
        <f aca="false">IF(NOT(U106),0,IF(K106="Vacation",IF(C106="Eve",Settings!$B$9*Settings!$B$11,W106),IF(K106="Partial Vacation",IF(AND(ISNUMBER(H106),ISNUMBER(I106)),MAX(0,(I106-H106)*24),0),0)))</f>
        <v>0</v>
      </c>
      <c r="P106" s="14" t="n">
        <f aca="false">IF(NOT(U106),0,IF(K106="Sick Leave",W106,IF(K106="Partial Sick Leave",IF(AND(ISNUMBER(H106),ISNUMBER(I106)),MAX(0,(I106-H106)*24),0),0)))</f>
        <v>0</v>
      </c>
      <c r="Q106" s="14" t="n">
        <f aca="false">IF(NOT(U106),0,IF(K106="Vacation",IF(C106="Eve",Settings!$B$11,1),IF(K106="Partial Vacation",O106/Settings!$B$9,0)))</f>
        <v>0</v>
      </c>
      <c r="R106" s="14" t="n">
        <f aca="false">IF(NOT(U106),0,IF(K106="Sick Leave",1,IF(K106="Partial Sick Leave",P106/Settings!$B$9,0)))</f>
        <v>0</v>
      </c>
      <c r="S106" s="35" t="str">
        <f aca="false">IF(AND(OR(E106="Vacation",E106="Sick Leave",E106="Partial Vacation",E106="Partial Sick Leave"),NOT(U106)),"Leave not allowed on this day",IF(AND(E106="Manual Work",OR(NOT(ISNUMBER(F106)),NOT(ISNUMBER(G106)))),"Enter start and end",IF(AND(OR(E106="Partial Vacation",E106="Partial Sick Leave"),OR(NOT(ISNUMBER(H106)),NOT(ISNUMBER(I106)))),"Enter leave from and to",IF(AND(ISNUMBER(F106),ISNUMBER(G106),G106&lt;=F106),"End is before start",IF(AND(ISNUMBER(H106),ISNUMBER(I106),I106&lt;=H106),"Leave end is before start",IF(AND(ISNUMBER(F106),ISNUMBER(G106),ISNUMBER(H106),ISNUMBER(I106),F106&lt;I106,H106&lt;G106),"Work and leave hours overlap",IF(AND(E106&lt;&gt;"",WEEKDAY(A106)=7),"Saturday - administrator only","")))))))</f>
        <v/>
      </c>
      <c r="T106" s="36" t="n">
        <f aca="false">MONTH(A106)</f>
        <v>4</v>
      </c>
      <c r="U106" s="37" t="b">
        <f aca="false">OR(C106="Workday",C106="Eve")</f>
        <v>0</v>
      </c>
      <c r="V106" s="34" t="n">
        <f aca="false">IF(C106="Eve",Settings!$B$8,Settings!$B$7)</f>
        <v>0.6875</v>
      </c>
      <c r="W106" s="14" t="n">
        <f aca="false">IF(U106,(V106-Settings!$B$6)*24,0)</f>
        <v>0</v>
      </c>
    </row>
    <row r="107" customFormat="false" ht="15" hidden="false" customHeight="false" outlineLevel="0" collapsed="false">
      <c r="A107" s="29" t="n">
        <v>46123</v>
      </c>
      <c r="B107" s="30" t="str">
        <f aca="false">CHOOSE(WEEKDAY(A107),"Sun","Mon","Tue","Wed","Thu","Fri","Sat")</f>
        <v>Sat</v>
      </c>
      <c r="C107" s="30" t="str">
        <f aca="false">IF(IFERROR(INDEX(Holidays!$D$5:$D$60,MATCH(A107,Holidays!$A$5:$A$60,0)),"")="Holiday","Holiday",IF(WEEKDAY(A107)&gt;=6,"Weekend",IF(IFERROR(INDEX(Holidays!$D$5:$D$60,MATCH(A107,Holidays!$A$5:$A$60,0)),"")="Eve","Eve","Workday")))</f>
        <v>Weekend</v>
      </c>
      <c r="D107" s="18" t="str">
        <f aca="false">IFERROR(INDEX(Holidays!$C$5:$C$60,MATCH(A107,Holidays!$A$5:$A$60,0)),"")</f>
        <v/>
      </c>
      <c r="E107" s="31"/>
      <c r="F107" s="32"/>
      <c r="G107" s="32"/>
      <c r="H107" s="32"/>
      <c r="I107" s="32"/>
      <c r="J107" s="31"/>
      <c r="K107" s="33" t="str">
        <f aca="false">IF(E107&lt;&gt;"",E107,IF(U107,"Present",IF(C107="Holiday","Holiday","Weekend")))</f>
        <v>Weekend</v>
      </c>
      <c r="L107" s="34" t="str">
        <f aca="false">IF(OR(K107="Present",K107="Manual Work",K107="Partial Vacation",K107="Partial Sick Leave"),IF(ISNUMBER(F107),F107,IF(AND(K107="Present",U107),Settings!$B$6,"")),"")</f>
        <v/>
      </c>
      <c r="M107" s="34" t="str">
        <f aca="false">IF(OR(K107="Present",K107="Manual Work",K107="Partial Vacation",K107="Partial Sick Leave"),IF(ISNUMBER(G107),G107,IF(AND(K107="Present",U107),V107,"")),"")</f>
        <v/>
      </c>
      <c r="N107" s="14" t="n">
        <f aca="false">IF(AND(ISNUMBER(L107),ISNUMBER(M107)),MAX(0,(M107-L107)*24),0)</f>
        <v>0</v>
      </c>
      <c r="O107" s="14" t="n">
        <f aca="false">IF(NOT(U107),0,IF(K107="Vacation",IF(C107="Eve",Settings!$B$9*Settings!$B$11,W107),IF(K107="Partial Vacation",IF(AND(ISNUMBER(H107),ISNUMBER(I107)),MAX(0,(I107-H107)*24),0),0)))</f>
        <v>0</v>
      </c>
      <c r="P107" s="14" t="n">
        <f aca="false">IF(NOT(U107),0,IF(K107="Sick Leave",W107,IF(K107="Partial Sick Leave",IF(AND(ISNUMBER(H107),ISNUMBER(I107)),MAX(0,(I107-H107)*24),0),0)))</f>
        <v>0</v>
      </c>
      <c r="Q107" s="14" t="n">
        <f aca="false">IF(NOT(U107),0,IF(K107="Vacation",IF(C107="Eve",Settings!$B$11,1),IF(K107="Partial Vacation",O107/Settings!$B$9,0)))</f>
        <v>0</v>
      </c>
      <c r="R107" s="14" t="n">
        <f aca="false">IF(NOT(U107),0,IF(K107="Sick Leave",1,IF(K107="Partial Sick Leave",P107/Settings!$B$9,0)))</f>
        <v>0</v>
      </c>
      <c r="S107" s="35" t="str">
        <f aca="false">IF(AND(OR(E107="Vacation",E107="Sick Leave",E107="Partial Vacation",E107="Partial Sick Leave"),NOT(U107)),"Leave not allowed on this day",IF(AND(E107="Manual Work",OR(NOT(ISNUMBER(F107)),NOT(ISNUMBER(G107)))),"Enter start and end",IF(AND(OR(E107="Partial Vacation",E107="Partial Sick Leave"),OR(NOT(ISNUMBER(H107)),NOT(ISNUMBER(I107)))),"Enter leave from and to",IF(AND(ISNUMBER(F107),ISNUMBER(G107),G107&lt;=F107),"End is before start",IF(AND(ISNUMBER(H107),ISNUMBER(I107),I107&lt;=H107),"Leave end is before start",IF(AND(ISNUMBER(F107),ISNUMBER(G107),ISNUMBER(H107),ISNUMBER(I107),F107&lt;I107,H107&lt;G107),"Work and leave hours overlap",IF(AND(E107&lt;&gt;"",WEEKDAY(A107)=7),"Saturday - administrator only","")))))))</f>
        <v/>
      </c>
      <c r="T107" s="36" t="n">
        <f aca="false">MONTH(A107)</f>
        <v>4</v>
      </c>
      <c r="U107" s="37" t="b">
        <f aca="false">OR(C107="Workday",C107="Eve")</f>
        <v>0</v>
      </c>
      <c r="V107" s="34" t="n">
        <f aca="false">IF(C107="Eve",Settings!$B$8,Settings!$B$7)</f>
        <v>0.6875</v>
      </c>
      <c r="W107" s="14" t="n">
        <f aca="false">IF(U107,(V107-Settings!$B$6)*24,0)</f>
        <v>0</v>
      </c>
    </row>
    <row r="108" customFormat="false" ht="15" hidden="false" customHeight="false" outlineLevel="0" collapsed="false">
      <c r="A108" s="29" t="n">
        <v>46124</v>
      </c>
      <c r="B108" s="30" t="str">
        <f aca="false">CHOOSE(WEEKDAY(A108),"Sun","Mon","Tue","Wed","Thu","Fri","Sat")</f>
        <v>Sun</v>
      </c>
      <c r="C108" s="30" t="str">
        <f aca="false">IF(IFERROR(INDEX(Holidays!$D$5:$D$60,MATCH(A108,Holidays!$A$5:$A$60,0)),"")="Holiday","Holiday",IF(WEEKDAY(A108)&gt;=6,"Weekend",IF(IFERROR(INDEX(Holidays!$D$5:$D$60,MATCH(A108,Holidays!$A$5:$A$60,0)),"")="Eve","Eve","Workday")))</f>
        <v>Workday</v>
      </c>
      <c r="D108" s="18" t="str">
        <f aca="false">IFERROR(INDEX(Holidays!$C$5:$C$60,MATCH(A108,Holidays!$A$5:$A$60,0)),"")</f>
        <v/>
      </c>
      <c r="E108" s="31"/>
      <c r="F108" s="32"/>
      <c r="G108" s="32"/>
      <c r="H108" s="32"/>
      <c r="I108" s="32"/>
      <c r="J108" s="31"/>
      <c r="K108" s="33" t="str">
        <f aca="false">IF(E108&lt;&gt;"",E108,IF(U108,"Present",IF(C108="Holiday","Holiday","Weekend")))</f>
        <v>Present</v>
      </c>
      <c r="L108" s="34" t="n">
        <f aca="false">IF(OR(K108="Present",K108="Manual Work",K108="Partial Vacation",K108="Partial Sick Leave"),IF(ISNUMBER(F108),F108,IF(AND(K108="Present",U108),Settings!$B$6,"")),"")</f>
        <v>0.333333333333333</v>
      </c>
      <c r="M108" s="34" t="n">
        <f aca="false">IF(OR(K108="Present",K108="Manual Work",K108="Partial Vacation",K108="Partial Sick Leave"),IF(ISNUMBER(G108),G108,IF(AND(K108="Present",U108),V108,"")),"")</f>
        <v>0.6875</v>
      </c>
      <c r="N108" s="14" t="n">
        <f aca="false">IF(AND(ISNUMBER(L108),ISNUMBER(M108)),MAX(0,(M108-L108)*24),0)</f>
        <v>8.5</v>
      </c>
      <c r="O108" s="14" t="n">
        <f aca="false">IF(NOT(U108),0,IF(K108="Vacation",IF(C108="Eve",Settings!$B$9*Settings!$B$11,W108),IF(K108="Partial Vacation",IF(AND(ISNUMBER(H108),ISNUMBER(I108)),MAX(0,(I108-H108)*24),0),0)))</f>
        <v>0</v>
      </c>
      <c r="P108" s="14" t="n">
        <f aca="false">IF(NOT(U108),0,IF(K108="Sick Leave",W108,IF(K108="Partial Sick Leave",IF(AND(ISNUMBER(H108),ISNUMBER(I108)),MAX(0,(I108-H108)*24),0),0)))</f>
        <v>0</v>
      </c>
      <c r="Q108" s="14" t="n">
        <f aca="false">IF(NOT(U108),0,IF(K108="Vacation",IF(C108="Eve",Settings!$B$11,1),IF(K108="Partial Vacation",O108/Settings!$B$9,0)))</f>
        <v>0</v>
      </c>
      <c r="R108" s="14" t="n">
        <f aca="false">IF(NOT(U108),0,IF(K108="Sick Leave",1,IF(K108="Partial Sick Leave",P108/Settings!$B$9,0)))</f>
        <v>0</v>
      </c>
      <c r="S108" s="35" t="str">
        <f aca="false">IF(AND(OR(E108="Vacation",E108="Sick Leave",E108="Partial Vacation",E108="Partial Sick Leave"),NOT(U108)),"Leave not allowed on this day",IF(AND(E108="Manual Work",OR(NOT(ISNUMBER(F108)),NOT(ISNUMBER(G108)))),"Enter start and end",IF(AND(OR(E108="Partial Vacation",E108="Partial Sick Leave"),OR(NOT(ISNUMBER(H108)),NOT(ISNUMBER(I108)))),"Enter leave from and to",IF(AND(ISNUMBER(F108),ISNUMBER(G108),G108&lt;=F108),"End is before start",IF(AND(ISNUMBER(H108),ISNUMBER(I108),I108&lt;=H108),"Leave end is before start",IF(AND(ISNUMBER(F108),ISNUMBER(G108),ISNUMBER(H108),ISNUMBER(I108),F108&lt;I108,H108&lt;G108),"Work and leave hours overlap",IF(AND(E108&lt;&gt;"",WEEKDAY(A108)=7),"Saturday - administrator only","")))))))</f>
        <v/>
      </c>
      <c r="T108" s="36" t="n">
        <f aca="false">MONTH(A108)</f>
        <v>4</v>
      </c>
      <c r="U108" s="37" t="b">
        <f aca="false">OR(C108="Workday",C108="Eve")</f>
        <v>1</v>
      </c>
      <c r="V108" s="34" t="n">
        <f aca="false">IF(C108="Eve",Settings!$B$8,Settings!$B$7)</f>
        <v>0.6875</v>
      </c>
      <c r="W108" s="14" t="n">
        <f aca="false">IF(U108,(V108-Settings!$B$6)*24,0)</f>
        <v>8.5</v>
      </c>
    </row>
    <row r="109" customFormat="false" ht="15" hidden="false" customHeight="false" outlineLevel="0" collapsed="false">
      <c r="A109" s="29" t="n">
        <v>46125</v>
      </c>
      <c r="B109" s="30" t="str">
        <f aca="false">CHOOSE(WEEKDAY(A109),"Sun","Mon","Tue","Wed","Thu","Fri","Sat")</f>
        <v>Mon</v>
      </c>
      <c r="C109" s="30" t="str">
        <f aca="false">IF(IFERROR(INDEX(Holidays!$D$5:$D$60,MATCH(A109,Holidays!$A$5:$A$60,0)),"")="Holiday","Holiday",IF(WEEKDAY(A109)&gt;=6,"Weekend",IF(IFERROR(INDEX(Holidays!$D$5:$D$60,MATCH(A109,Holidays!$A$5:$A$60,0)),"")="Eve","Eve","Workday")))</f>
        <v>Workday</v>
      </c>
      <c r="D109" s="18" t="str">
        <f aca="false">IFERROR(INDEX(Holidays!$C$5:$C$60,MATCH(A109,Holidays!$A$5:$A$60,0)),"")</f>
        <v/>
      </c>
      <c r="E109" s="31"/>
      <c r="F109" s="32"/>
      <c r="G109" s="32"/>
      <c r="H109" s="32"/>
      <c r="I109" s="32"/>
      <c r="J109" s="31"/>
      <c r="K109" s="33" t="str">
        <f aca="false">IF(E109&lt;&gt;"",E109,IF(U109,"Present",IF(C109="Holiday","Holiday","Weekend")))</f>
        <v>Present</v>
      </c>
      <c r="L109" s="34" t="n">
        <f aca="false">IF(OR(K109="Present",K109="Manual Work",K109="Partial Vacation",K109="Partial Sick Leave"),IF(ISNUMBER(F109),F109,IF(AND(K109="Present",U109),Settings!$B$6,"")),"")</f>
        <v>0.333333333333333</v>
      </c>
      <c r="M109" s="34" t="n">
        <f aca="false">IF(OR(K109="Present",K109="Manual Work",K109="Partial Vacation",K109="Partial Sick Leave"),IF(ISNUMBER(G109),G109,IF(AND(K109="Present",U109),V109,"")),"")</f>
        <v>0.6875</v>
      </c>
      <c r="N109" s="14" t="n">
        <f aca="false">IF(AND(ISNUMBER(L109),ISNUMBER(M109)),MAX(0,(M109-L109)*24),0)</f>
        <v>8.5</v>
      </c>
      <c r="O109" s="14" t="n">
        <f aca="false">IF(NOT(U109),0,IF(K109="Vacation",IF(C109="Eve",Settings!$B$9*Settings!$B$11,W109),IF(K109="Partial Vacation",IF(AND(ISNUMBER(H109),ISNUMBER(I109)),MAX(0,(I109-H109)*24),0),0)))</f>
        <v>0</v>
      </c>
      <c r="P109" s="14" t="n">
        <f aca="false">IF(NOT(U109),0,IF(K109="Sick Leave",W109,IF(K109="Partial Sick Leave",IF(AND(ISNUMBER(H109),ISNUMBER(I109)),MAX(0,(I109-H109)*24),0),0)))</f>
        <v>0</v>
      </c>
      <c r="Q109" s="14" t="n">
        <f aca="false">IF(NOT(U109),0,IF(K109="Vacation",IF(C109="Eve",Settings!$B$11,1),IF(K109="Partial Vacation",O109/Settings!$B$9,0)))</f>
        <v>0</v>
      </c>
      <c r="R109" s="14" t="n">
        <f aca="false">IF(NOT(U109),0,IF(K109="Sick Leave",1,IF(K109="Partial Sick Leave",P109/Settings!$B$9,0)))</f>
        <v>0</v>
      </c>
      <c r="S109" s="35" t="str">
        <f aca="false">IF(AND(OR(E109="Vacation",E109="Sick Leave",E109="Partial Vacation",E109="Partial Sick Leave"),NOT(U109)),"Leave not allowed on this day",IF(AND(E109="Manual Work",OR(NOT(ISNUMBER(F109)),NOT(ISNUMBER(G109)))),"Enter start and end",IF(AND(OR(E109="Partial Vacation",E109="Partial Sick Leave"),OR(NOT(ISNUMBER(H109)),NOT(ISNUMBER(I109)))),"Enter leave from and to",IF(AND(ISNUMBER(F109),ISNUMBER(G109),G109&lt;=F109),"End is before start",IF(AND(ISNUMBER(H109),ISNUMBER(I109),I109&lt;=H109),"Leave end is before start",IF(AND(ISNUMBER(F109),ISNUMBER(G109),ISNUMBER(H109),ISNUMBER(I109),F109&lt;I109,H109&lt;G109),"Work and leave hours overlap",IF(AND(E109&lt;&gt;"",WEEKDAY(A109)=7),"Saturday - administrator only","")))))))</f>
        <v/>
      </c>
      <c r="T109" s="36" t="n">
        <f aca="false">MONTH(A109)</f>
        <v>4</v>
      </c>
      <c r="U109" s="37" t="b">
        <f aca="false">OR(C109="Workday",C109="Eve")</f>
        <v>1</v>
      </c>
      <c r="V109" s="34" t="n">
        <f aca="false">IF(C109="Eve",Settings!$B$8,Settings!$B$7)</f>
        <v>0.6875</v>
      </c>
      <c r="W109" s="14" t="n">
        <f aca="false">IF(U109,(V109-Settings!$B$6)*24,0)</f>
        <v>8.5</v>
      </c>
    </row>
    <row r="110" customFormat="false" ht="15" hidden="false" customHeight="false" outlineLevel="0" collapsed="false">
      <c r="A110" s="29" t="n">
        <v>46126</v>
      </c>
      <c r="B110" s="30" t="str">
        <f aca="false">CHOOSE(WEEKDAY(A110),"Sun","Mon","Tue","Wed","Thu","Fri","Sat")</f>
        <v>Tue</v>
      </c>
      <c r="C110" s="30" t="str">
        <f aca="false">IF(IFERROR(INDEX(Holidays!$D$5:$D$60,MATCH(A110,Holidays!$A$5:$A$60,0)),"")="Holiday","Holiday",IF(WEEKDAY(A110)&gt;=6,"Weekend",IF(IFERROR(INDEX(Holidays!$D$5:$D$60,MATCH(A110,Holidays!$A$5:$A$60,0)),"")="Eve","Eve","Workday")))</f>
        <v>Workday</v>
      </c>
      <c r="D110" s="18" t="str">
        <f aca="false">IFERROR(INDEX(Holidays!$C$5:$C$60,MATCH(A110,Holidays!$A$5:$A$60,0)),"")</f>
        <v/>
      </c>
      <c r="E110" s="31"/>
      <c r="F110" s="32"/>
      <c r="G110" s="32"/>
      <c r="H110" s="32"/>
      <c r="I110" s="32"/>
      <c r="J110" s="31"/>
      <c r="K110" s="33" t="str">
        <f aca="false">IF(E110&lt;&gt;"",E110,IF(U110,"Present",IF(C110="Holiday","Holiday","Weekend")))</f>
        <v>Present</v>
      </c>
      <c r="L110" s="34" t="n">
        <f aca="false">IF(OR(K110="Present",K110="Manual Work",K110="Partial Vacation",K110="Partial Sick Leave"),IF(ISNUMBER(F110),F110,IF(AND(K110="Present",U110),Settings!$B$6,"")),"")</f>
        <v>0.333333333333333</v>
      </c>
      <c r="M110" s="34" t="n">
        <f aca="false">IF(OR(K110="Present",K110="Manual Work",K110="Partial Vacation",K110="Partial Sick Leave"),IF(ISNUMBER(G110),G110,IF(AND(K110="Present",U110),V110,"")),"")</f>
        <v>0.6875</v>
      </c>
      <c r="N110" s="14" t="n">
        <f aca="false">IF(AND(ISNUMBER(L110),ISNUMBER(M110)),MAX(0,(M110-L110)*24),0)</f>
        <v>8.5</v>
      </c>
      <c r="O110" s="14" t="n">
        <f aca="false">IF(NOT(U110),0,IF(K110="Vacation",IF(C110="Eve",Settings!$B$9*Settings!$B$11,W110),IF(K110="Partial Vacation",IF(AND(ISNUMBER(H110),ISNUMBER(I110)),MAX(0,(I110-H110)*24),0),0)))</f>
        <v>0</v>
      </c>
      <c r="P110" s="14" t="n">
        <f aca="false">IF(NOT(U110),0,IF(K110="Sick Leave",W110,IF(K110="Partial Sick Leave",IF(AND(ISNUMBER(H110),ISNUMBER(I110)),MAX(0,(I110-H110)*24),0),0)))</f>
        <v>0</v>
      </c>
      <c r="Q110" s="14" t="n">
        <f aca="false">IF(NOT(U110),0,IF(K110="Vacation",IF(C110="Eve",Settings!$B$11,1),IF(K110="Partial Vacation",O110/Settings!$B$9,0)))</f>
        <v>0</v>
      </c>
      <c r="R110" s="14" t="n">
        <f aca="false">IF(NOT(U110),0,IF(K110="Sick Leave",1,IF(K110="Partial Sick Leave",P110/Settings!$B$9,0)))</f>
        <v>0</v>
      </c>
      <c r="S110" s="35" t="str">
        <f aca="false">IF(AND(OR(E110="Vacation",E110="Sick Leave",E110="Partial Vacation",E110="Partial Sick Leave"),NOT(U110)),"Leave not allowed on this day",IF(AND(E110="Manual Work",OR(NOT(ISNUMBER(F110)),NOT(ISNUMBER(G110)))),"Enter start and end",IF(AND(OR(E110="Partial Vacation",E110="Partial Sick Leave"),OR(NOT(ISNUMBER(H110)),NOT(ISNUMBER(I110)))),"Enter leave from and to",IF(AND(ISNUMBER(F110),ISNUMBER(G110),G110&lt;=F110),"End is before start",IF(AND(ISNUMBER(H110),ISNUMBER(I110),I110&lt;=H110),"Leave end is before start",IF(AND(ISNUMBER(F110),ISNUMBER(G110),ISNUMBER(H110),ISNUMBER(I110),F110&lt;I110,H110&lt;G110),"Work and leave hours overlap",IF(AND(E110&lt;&gt;"",WEEKDAY(A110)=7),"Saturday - administrator only","")))))))</f>
        <v/>
      </c>
      <c r="T110" s="36" t="n">
        <f aca="false">MONTH(A110)</f>
        <v>4</v>
      </c>
      <c r="U110" s="37" t="b">
        <f aca="false">OR(C110="Workday",C110="Eve")</f>
        <v>1</v>
      </c>
      <c r="V110" s="34" t="n">
        <f aca="false">IF(C110="Eve",Settings!$B$8,Settings!$B$7)</f>
        <v>0.6875</v>
      </c>
      <c r="W110" s="14" t="n">
        <f aca="false">IF(U110,(V110-Settings!$B$6)*24,0)</f>
        <v>8.5</v>
      </c>
    </row>
    <row r="111" customFormat="false" ht="15" hidden="false" customHeight="false" outlineLevel="0" collapsed="false">
      <c r="A111" s="29" t="n">
        <v>46127</v>
      </c>
      <c r="B111" s="30" t="str">
        <f aca="false">CHOOSE(WEEKDAY(A111),"Sun","Mon","Tue","Wed","Thu","Fri","Sat")</f>
        <v>Wed</v>
      </c>
      <c r="C111" s="30" t="str">
        <f aca="false">IF(IFERROR(INDEX(Holidays!$D$5:$D$60,MATCH(A111,Holidays!$A$5:$A$60,0)),"")="Holiday","Holiday",IF(WEEKDAY(A111)&gt;=6,"Weekend",IF(IFERROR(INDEX(Holidays!$D$5:$D$60,MATCH(A111,Holidays!$A$5:$A$60,0)),"")="Eve","Eve","Workday")))</f>
        <v>Workday</v>
      </c>
      <c r="D111" s="18" t="str">
        <f aca="false">IFERROR(INDEX(Holidays!$C$5:$C$60,MATCH(A111,Holidays!$A$5:$A$60,0)),"")</f>
        <v/>
      </c>
      <c r="E111" s="31"/>
      <c r="F111" s="32"/>
      <c r="G111" s="32"/>
      <c r="H111" s="32"/>
      <c r="I111" s="32"/>
      <c r="J111" s="31"/>
      <c r="K111" s="33" t="str">
        <f aca="false">IF(E111&lt;&gt;"",E111,IF(U111,"Present",IF(C111="Holiday","Holiday","Weekend")))</f>
        <v>Present</v>
      </c>
      <c r="L111" s="34" t="n">
        <f aca="false">IF(OR(K111="Present",K111="Manual Work",K111="Partial Vacation",K111="Partial Sick Leave"),IF(ISNUMBER(F111),F111,IF(AND(K111="Present",U111),Settings!$B$6,"")),"")</f>
        <v>0.333333333333333</v>
      </c>
      <c r="M111" s="34" t="n">
        <f aca="false">IF(OR(K111="Present",K111="Manual Work",K111="Partial Vacation",K111="Partial Sick Leave"),IF(ISNUMBER(G111),G111,IF(AND(K111="Present",U111),V111,"")),"")</f>
        <v>0.6875</v>
      </c>
      <c r="N111" s="14" t="n">
        <f aca="false">IF(AND(ISNUMBER(L111),ISNUMBER(M111)),MAX(0,(M111-L111)*24),0)</f>
        <v>8.5</v>
      </c>
      <c r="O111" s="14" t="n">
        <f aca="false">IF(NOT(U111),0,IF(K111="Vacation",IF(C111="Eve",Settings!$B$9*Settings!$B$11,W111),IF(K111="Partial Vacation",IF(AND(ISNUMBER(H111),ISNUMBER(I111)),MAX(0,(I111-H111)*24),0),0)))</f>
        <v>0</v>
      </c>
      <c r="P111" s="14" t="n">
        <f aca="false">IF(NOT(U111),0,IF(K111="Sick Leave",W111,IF(K111="Partial Sick Leave",IF(AND(ISNUMBER(H111),ISNUMBER(I111)),MAX(0,(I111-H111)*24),0),0)))</f>
        <v>0</v>
      </c>
      <c r="Q111" s="14" t="n">
        <f aca="false">IF(NOT(U111),0,IF(K111="Vacation",IF(C111="Eve",Settings!$B$11,1),IF(K111="Partial Vacation",O111/Settings!$B$9,0)))</f>
        <v>0</v>
      </c>
      <c r="R111" s="14" t="n">
        <f aca="false">IF(NOT(U111),0,IF(K111="Sick Leave",1,IF(K111="Partial Sick Leave",P111/Settings!$B$9,0)))</f>
        <v>0</v>
      </c>
      <c r="S111" s="35" t="str">
        <f aca="false">IF(AND(OR(E111="Vacation",E111="Sick Leave",E111="Partial Vacation",E111="Partial Sick Leave"),NOT(U111)),"Leave not allowed on this day",IF(AND(E111="Manual Work",OR(NOT(ISNUMBER(F111)),NOT(ISNUMBER(G111)))),"Enter start and end",IF(AND(OR(E111="Partial Vacation",E111="Partial Sick Leave"),OR(NOT(ISNUMBER(H111)),NOT(ISNUMBER(I111)))),"Enter leave from and to",IF(AND(ISNUMBER(F111),ISNUMBER(G111),G111&lt;=F111),"End is before start",IF(AND(ISNUMBER(H111),ISNUMBER(I111),I111&lt;=H111),"Leave end is before start",IF(AND(ISNUMBER(F111),ISNUMBER(G111),ISNUMBER(H111),ISNUMBER(I111),F111&lt;I111,H111&lt;G111),"Work and leave hours overlap",IF(AND(E111&lt;&gt;"",WEEKDAY(A111)=7),"Saturday - administrator only","")))))))</f>
        <v/>
      </c>
      <c r="T111" s="36" t="n">
        <f aca="false">MONTH(A111)</f>
        <v>4</v>
      </c>
      <c r="U111" s="37" t="b">
        <f aca="false">OR(C111="Workday",C111="Eve")</f>
        <v>1</v>
      </c>
      <c r="V111" s="34" t="n">
        <f aca="false">IF(C111="Eve",Settings!$B$8,Settings!$B$7)</f>
        <v>0.6875</v>
      </c>
      <c r="W111" s="14" t="n">
        <f aca="false">IF(U111,(V111-Settings!$B$6)*24,0)</f>
        <v>8.5</v>
      </c>
    </row>
    <row r="112" customFormat="false" ht="15" hidden="false" customHeight="false" outlineLevel="0" collapsed="false">
      <c r="A112" s="29" t="n">
        <v>46128</v>
      </c>
      <c r="B112" s="30" t="str">
        <f aca="false">CHOOSE(WEEKDAY(A112),"Sun","Mon","Tue","Wed","Thu","Fri","Sat")</f>
        <v>Thu</v>
      </c>
      <c r="C112" s="30" t="str">
        <f aca="false">IF(IFERROR(INDEX(Holidays!$D$5:$D$60,MATCH(A112,Holidays!$A$5:$A$60,0)),"")="Holiday","Holiday",IF(WEEKDAY(A112)&gt;=6,"Weekend",IF(IFERROR(INDEX(Holidays!$D$5:$D$60,MATCH(A112,Holidays!$A$5:$A$60,0)),"")="Eve","Eve","Workday")))</f>
        <v>Workday</v>
      </c>
      <c r="D112" s="18" t="str">
        <f aca="false">IFERROR(INDEX(Holidays!$C$5:$C$60,MATCH(A112,Holidays!$A$5:$A$60,0)),"")</f>
        <v/>
      </c>
      <c r="E112" s="31"/>
      <c r="F112" s="32"/>
      <c r="G112" s="32"/>
      <c r="H112" s="32"/>
      <c r="I112" s="32"/>
      <c r="J112" s="31"/>
      <c r="K112" s="33" t="str">
        <f aca="false">IF(E112&lt;&gt;"",E112,IF(U112,"Present",IF(C112="Holiday","Holiday","Weekend")))</f>
        <v>Present</v>
      </c>
      <c r="L112" s="34" t="n">
        <f aca="false">IF(OR(K112="Present",K112="Manual Work",K112="Partial Vacation",K112="Partial Sick Leave"),IF(ISNUMBER(F112),F112,IF(AND(K112="Present",U112),Settings!$B$6,"")),"")</f>
        <v>0.333333333333333</v>
      </c>
      <c r="M112" s="34" t="n">
        <f aca="false">IF(OR(K112="Present",K112="Manual Work",K112="Partial Vacation",K112="Partial Sick Leave"),IF(ISNUMBER(G112),G112,IF(AND(K112="Present",U112),V112,"")),"")</f>
        <v>0.6875</v>
      </c>
      <c r="N112" s="14" t="n">
        <f aca="false">IF(AND(ISNUMBER(L112),ISNUMBER(M112)),MAX(0,(M112-L112)*24),0)</f>
        <v>8.5</v>
      </c>
      <c r="O112" s="14" t="n">
        <f aca="false">IF(NOT(U112),0,IF(K112="Vacation",IF(C112="Eve",Settings!$B$9*Settings!$B$11,W112),IF(K112="Partial Vacation",IF(AND(ISNUMBER(H112),ISNUMBER(I112)),MAX(0,(I112-H112)*24),0),0)))</f>
        <v>0</v>
      </c>
      <c r="P112" s="14" t="n">
        <f aca="false">IF(NOT(U112),0,IF(K112="Sick Leave",W112,IF(K112="Partial Sick Leave",IF(AND(ISNUMBER(H112),ISNUMBER(I112)),MAX(0,(I112-H112)*24),0),0)))</f>
        <v>0</v>
      </c>
      <c r="Q112" s="14" t="n">
        <f aca="false">IF(NOT(U112),0,IF(K112="Vacation",IF(C112="Eve",Settings!$B$11,1),IF(K112="Partial Vacation",O112/Settings!$B$9,0)))</f>
        <v>0</v>
      </c>
      <c r="R112" s="14" t="n">
        <f aca="false">IF(NOT(U112),0,IF(K112="Sick Leave",1,IF(K112="Partial Sick Leave",P112/Settings!$B$9,0)))</f>
        <v>0</v>
      </c>
      <c r="S112" s="35" t="str">
        <f aca="false">IF(AND(OR(E112="Vacation",E112="Sick Leave",E112="Partial Vacation",E112="Partial Sick Leave"),NOT(U112)),"Leave not allowed on this day",IF(AND(E112="Manual Work",OR(NOT(ISNUMBER(F112)),NOT(ISNUMBER(G112)))),"Enter start and end",IF(AND(OR(E112="Partial Vacation",E112="Partial Sick Leave"),OR(NOT(ISNUMBER(H112)),NOT(ISNUMBER(I112)))),"Enter leave from and to",IF(AND(ISNUMBER(F112),ISNUMBER(G112),G112&lt;=F112),"End is before start",IF(AND(ISNUMBER(H112),ISNUMBER(I112),I112&lt;=H112),"Leave end is before start",IF(AND(ISNUMBER(F112),ISNUMBER(G112),ISNUMBER(H112),ISNUMBER(I112),F112&lt;I112,H112&lt;G112),"Work and leave hours overlap",IF(AND(E112&lt;&gt;"",WEEKDAY(A112)=7),"Saturday - administrator only","")))))))</f>
        <v/>
      </c>
      <c r="T112" s="36" t="n">
        <f aca="false">MONTH(A112)</f>
        <v>4</v>
      </c>
      <c r="U112" s="37" t="b">
        <f aca="false">OR(C112="Workday",C112="Eve")</f>
        <v>1</v>
      </c>
      <c r="V112" s="34" t="n">
        <f aca="false">IF(C112="Eve",Settings!$B$8,Settings!$B$7)</f>
        <v>0.6875</v>
      </c>
      <c r="W112" s="14" t="n">
        <f aca="false">IF(U112,(V112-Settings!$B$6)*24,0)</f>
        <v>8.5</v>
      </c>
    </row>
    <row r="113" customFormat="false" ht="15" hidden="false" customHeight="false" outlineLevel="0" collapsed="false">
      <c r="A113" s="29" t="n">
        <v>46129</v>
      </c>
      <c r="B113" s="30" t="str">
        <f aca="false">CHOOSE(WEEKDAY(A113),"Sun","Mon","Tue","Wed","Thu","Fri","Sat")</f>
        <v>Fri</v>
      </c>
      <c r="C113" s="30" t="str">
        <f aca="false">IF(IFERROR(INDEX(Holidays!$D$5:$D$60,MATCH(A113,Holidays!$A$5:$A$60,0)),"")="Holiday","Holiday",IF(WEEKDAY(A113)&gt;=6,"Weekend",IF(IFERROR(INDEX(Holidays!$D$5:$D$60,MATCH(A113,Holidays!$A$5:$A$60,0)),"")="Eve","Eve","Workday")))</f>
        <v>Weekend</v>
      </c>
      <c r="D113" s="18" t="str">
        <f aca="false">IFERROR(INDEX(Holidays!$C$5:$C$60,MATCH(A113,Holidays!$A$5:$A$60,0)),"")</f>
        <v/>
      </c>
      <c r="E113" s="31"/>
      <c r="F113" s="32"/>
      <c r="G113" s="32"/>
      <c r="H113" s="32"/>
      <c r="I113" s="32"/>
      <c r="J113" s="31"/>
      <c r="K113" s="33" t="str">
        <f aca="false">IF(E113&lt;&gt;"",E113,IF(U113,"Present",IF(C113="Holiday","Holiday","Weekend")))</f>
        <v>Weekend</v>
      </c>
      <c r="L113" s="34" t="str">
        <f aca="false">IF(OR(K113="Present",K113="Manual Work",K113="Partial Vacation",K113="Partial Sick Leave"),IF(ISNUMBER(F113),F113,IF(AND(K113="Present",U113),Settings!$B$6,"")),"")</f>
        <v/>
      </c>
      <c r="M113" s="34" t="str">
        <f aca="false">IF(OR(K113="Present",K113="Manual Work",K113="Partial Vacation",K113="Partial Sick Leave"),IF(ISNUMBER(G113),G113,IF(AND(K113="Present",U113),V113,"")),"")</f>
        <v/>
      </c>
      <c r="N113" s="14" t="n">
        <f aca="false">IF(AND(ISNUMBER(L113),ISNUMBER(M113)),MAX(0,(M113-L113)*24),0)</f>
        <v>0</v>
      </c>
      <c r="O113" s="14" t="n">
        <f aca="false">IF(NOT(U113),0,IF(K113="Vacation",IF(C113="Eve",Settings!$B$9*Settings!$B$11,W113),IF(K113="Partial Vacation",IF(AND(ISNUMBER(H113),ISNUMBER(I113)),MAX(0,(I113-H113)*24),0),0)))</f>
        <v>0</v>
      </c>
      <c r="P113" s="14" t="n">
        <f aca="false">IF(NOT(U113),0,IF(K113="Sick Leave",W113,IF(K113="Partial Sick Leave",IF(AND(ISNUMBER(H113),ISNUMBER(I113)),MAX(0,(I113-H113)*24),0),0)))</f>
        <v>0</v>
      </c>
      <c r="Q113" s="14" t="n">
        <f aca="false">IF(NOT(U113),0,IF(K113="Vacation",IF(C113="Eve",Settings!$B$11,1),IF(K113="Partial Vacation",O113/Settings!$B$9,0)))</f>
        <v>0</v>
      </c>
      <c r="R113" s="14" t="n">
        <f aca="false">IF(NOT(U113),0,IF(K113="Sick Leave",1,IF(K113="Partial Sick Leave",P113/Settings!$B$9,0)))</f>
        <v>0</v>
      </c>
      <c r="S113" s="35" t="str">
        <f aca="false">IF(AND(OR(E113="Vacation",E113="Sick Leave",E113="Partial Vacation",E113="Partial Sick Leave"),NOT(U113)),"Leave not allowed on this day",IF(AND(E113="Manual Work",OR(NOT(ISNUMBER(F113)),NOT(ISNUMBER(G113)))),"Enter start and end",IF(AND(OR(E113="Partial Vacation",E113="Partial Sick Leave"),OR(NOT(ISNUMBER(H113)),NOT(ISNUMBER(I113)))),"Enter leave from and to",IF(AND(ISNUMBER(F113),ISNUMBER(G113),G113&lt;=F113),"End is before start",IF(AND(ISNUMBER(H113),ISNUMBER(I113),I113&lt;=H113),"Leave end is before start",IF(AND(ISNUMBER(F113),ISNUMBER(G113),ISNUMBER(H113),ISNUMBER(I113),F113&lt;I113,H113&lt;G113),"Work and leave hours overlap",IF(AND(E113&lt;&gt;"",WEEKDAY(A113)=7),"Saturday - administrator only","")))))))</f>
        <v/>
      </c>
      <c r="T113" s="36" t="n">
        <f aca="false">MONTH(A113)</f>
        <v>4</v>
      </c>
      <c r="U113" s="37" t="b">
        <f aca="false">OR(C113="Workday",C113="Eve")</f>
        <v>0</v>
      </c>
      <c r="V113" s="34" t="n">
        <f aca="false">IF(C113="Eve",Settings!$B$8,Settings!$B$7)</f>
        <v>0.6875</v>
      </c>
      <c r="W113" s="14" t="n">
        <f aca="false">IF(U113,(V113-Settings!$B$6)*24,0)</f>
        <v>0</v>
      </c>
    </row>
    <row r="114" customFormat="false" ht="15" hidden="false" customHeight="false" outlineLevel="0" collapsed="false">
      <c r="A114" s="29" t="n">
        <v>46130</v>
      </c>
      <c r="B114" s="30" t="str">
        <f aca="false">CHOOSE(WEEKDAY(A114),"Sun","Mon","Tue","Wed","Thu","Fri","Sat")</f>
        <v>Sat</v>
      </c>
      <c r="C114" s="30" t="str">
        <f aca="false">IF(IFERROR(INDEX(Holidays!$D$5:$D$60,MATCH(A114,Holidays!$A$5:$A$60,0)),"")="Holiday","Holiday",IF(WEEKDAY(A114)&gt;=6,"Weekend",IF(IFERROR(INDEX(Holidays!$D$5:$D$60,MATCH(A114,Holidays!$A$5:$A$60,0)),"")="Eve","Eve","Workday")))</f>
        <v>Weekend</v>
      </c>
      <c r="D114" s="18" t="str">
        <f aca="false">IFERROR(INDEX(Holidays!$C$5:$C$60,MATCH(A114,Holidays!$A$5:$A$60,0)),"")</f>
        <v/>
      </c>
      <c r="E114" s="31"/>
      <c r="F114" s="32"/>
      <c r="G114" s="32"/>
      <c r="H114" s="32"/>
      <c r="I114" s="32"/>
      <c r="J114" s="31"/>
      <c r="K114" s="33" t="str">
        <f aca="false">IF(E114&lt;&gt;"",E114,IF(U114,"Present",IF(C114="Holiday","Holiday","Weekend")))</f>
        <v>Weekend</v>
      </c>
      <c r="L114" s="34" t="str">
        <f aca="false">IF(OR(K114="Present",K114="Manual Work",K114="Partial Vacation",K114="Partial Sick Leave"),IF(ISNUMBER(F114),F114,IF(AND(K114="Present",U114),Settings!$B$6,"")),"")</f>
        <v/>
      </c>
      <c r="M114" s="34" t="str">
        <f aca="false">IF(OR(K114="Present",K114="Manual Work",K114="Partial Vacation",K114="Partial Sick Leave"),IF(ISNUMBER(G114),G114,IF(AND(K114="Present",U114),V114,"")),"")</f>
        <v/>
      </c>
      <c r="N114" s="14" t="n">
        <f aca="false">IF(AND(ISNUMBER(L114),ISNUMBER(M114)),MAX(0,(M114-L114)*24),0)</f>
        <v>0</v>
      </c>
      <c r="O114" s="14" t="n">
        <f aca="false">IF(NOT(U114),0,IF(K114="Vacation",IF(C114="Eve",Settings!$B$9*Settings!$B$11,W114),IF(K114="Partial Vacation",IF(AND(ISNUMBER(H114),ISNUMBER(I114)),MAX(0,(I114-H114)*24),0),0)))</f>
        <v>0</v>
      </c>
      <c r="P114" s="14" t="n">
        <f aca="false">IF(NOT(U114),0,IF(K114="Sick Leave",W114,IF(K114="Partial Sick Leave",IF(AND(ISNUMBER(H114),ISNUMBER(I114)),MAX(0,(I114-H114)*24),0),0)))</f>
        <v>0</v>
      </c>
      <c r="Q114" s="14" t="n">
        <f aca="false">IF(NOT(U114),0,IF(K114="Vacation",IF(C114="Eve",Settings!$B$11,1),IF(K114="Partial Vacation",O114/Settings!$B$9,0)))</f>
        <v>0</v>
      </c>
      <c r="R114" s="14" t="n">
        <f aca="false">IF(NOT(U114),0,IF(K114="Sick Leave",1,IF(K114="Partial Sick Leave",P114/Settings!$B$9,0)))</f>
        <v>0</v>
      </c>
      <c r="S114" s="35" t="str">
        <f aca="false">IF(AND(OR(E114="Vacation",E114="Sick Leave",E114="Partial Vacation",E114="Partial Sick Leave"),NOT(U114)),"Leave not allowed on this day",IF(AND(E114="Manual Work",OR(NOT(ISNUMBER(F114)),NOT(ISNUMBER(G114)))),"Enter start and end",IF(AND(OR(E114="Partial Vacation",E114="Partial Sick Leave"),OR(NOT(ISNUMBER(H114)),NOT(ISNUMBER(I114)))),"Enter leave from and to",IF(AND(ISNUMBER(F114),ISNUMBER(G114),G114&lt;=F114),"End is before start",IF(AND(ISNUMBER(H114),ISNUMBER(I114),I114&lt;=H114),"Leave end is before start",IF(AND(ISNUMBER(F114),ISNUMBER(G114),ISNUMBER(H114),ISNUMBER(I114),F114&lt;I114,H114&lt;G114),"Work and leave hours overlap",IF(AND(E114&lt;&gt;"",WEEKDAY(A114)=7),"Saturday - administrator only","")))))))</f>
        <v/>
      </c>
      <c r="T114" s="36" t="n">
        <f aca="false">MONTH(A114)</f>
        <v>4</v>
      </c>
      <c r="U114" s="37" t="b">
        <f aca="false">OR(C114="Workday",C114="Eve")</f>
        <v>0</v>
      </c>
      <c r="V114" s="34" t="n">
        <f aca="false">IF(C114="Eve",Settings!$B$8,Settings!$B$7)</f>
        <v>0.6875</v>
      </c>
      <c r="W114" s="14" t="n">
        <f aca="false">IF(U114,(V114-Settings!$B$6)*24,0)</f>
        <v>0</v>
      </c>
    </row>
    <row r="115" customFormat="false" ht="15" hidden="false" customHeight="false" outlineLevel="0" collapsed="false">
      <c r="A115" s="29" t="n">
        <v>46131</v>
      </c>
      <c r="B115" s="30" t="str">
        <f aca="false">CHOOSE(WEEKDAY(A115),"Sun","Mon","Tue","Wed","Thu","Fri","Sat")</f>
        <v>Sun</v>
      </c>
      <c r="C115" s="30" t="str">
        <f aca="false">IF(IFERROR(INDEX(Holidays!$D$5:$D$60,MATCH(A115,Holidays!$A$5:$A$60,0)),"")="Holiday","Holiday",IF(WEEKDAY(A115)&gt;=6,"Weekend",IF(IFERROR(INDEX(Holidays!$D$5:$D$60,MATCH(A115,Holidays!$A$5:$A$60,0)),"")="Eve","Eve","Workday")))</f>
        <v>Workday</v>
      </c>
      <c r="D115" s="18" t="str">
        <f aca="false">IFERROR(INDEX(Holidays!$C$5:$C$60,MATCH(A115,Holidays!$A$5:$A$60,0)),"")</f>
        <v/>
      </c>
      <c r="E115" s="31"/>
      <c r="F115" s="32"/>
      <c r="G115" s="32"/>
      <c r="H115" s="32"/>
      <c r="I115" s="32"/>
      <c r="J115" s="31"/>
      <c r="K115" s="33" t="str">
        <f aca="false">IF(E115&lt;&gt;"",E115,IF(U115,"Present",IF(C115="Holiday","Holiday","Weekend")))</f>
        <v>Present</v>
      </c>
      <c r="L115" s="34" t="n">
        <f aca="false">IF(OR(K115="Present",K115="Manual Work",K115="Partial Vacation",K115="Partial Sick Leave"),IF(ISNUMBER(F115),F115,IF(AND(K115="Present",U115),Settings!$B$6,"")),"")</f>
        <v>0.333333333333333</v>
      </c>
      <c r="M115" s="34" t="n">
        <f aca="false">IF(OR(K115="Present",K115="Manual Work",K115="Partial Vacation",K115="Partial Sick Leave"),IF(ISNUMBER(G115),G115,IF(AND(K115="Present",U115),V115,"")),"")</f>
        <v>0.6875</v>
      </c>
      <c r="N115" s="14" t="n">
        <f aca="false">IF(AND(ISNUMBER(L115),ISNUMBER(M115)),MAX(0,(M115-L115)*24),0)</f>
        <v>8.5</v>
      </c>
      <c r="O115" s="14" t="n">
        <f aca="false">IF(NOT(U115),0,IF(K115="Vacation",IF(C115="Eve",Settings!$B$9*Settings!$B$11,W115),IF(K115="Partial Vacation",IF(AND(ISNUMBER(H115),ISNUMBER(I115)),MAX(0,(I115-H115)*24),0),0)))</f>
        <v>0</v>
      </c>
      <c r="P115" s="14" t="n">
        <f aca="false">IF(NOT(U115),0,IF(K115="Sick Leave",W115,IF(K115="Partial Sick Leave",IF(AND(ISNUMBER(H115),ISNUMBER(I115)),MAX(0,(I115-H115)*24),0),0)))</f>
        <v>0</v>
      </c>
      <c r="Q115" s="14" t="n">
        <f aca="false">IF(NOT(U115),0,IF(K115="Vacation",IF(C115="Eve",Settings!$B$11,1),IF(K115="Partial Vacation",O115/Settings!$B$9,0)))</f>
        <v>0</v>
      </c>
      <c r="R115" s="14" t="n">
        <f aca="false">IF(NOT(U115),0,IF(K115="Sick Leave",1,IF(K115="Partial Sick Leave",P115/Settings!$B$9,0)))</f>
        <v>0</v>
      </c>
      <c r="S115" s="35" t="str">
        <f aca="false">IF(AND(OR(E115="Vacation",E115="Sick Leave",E115="Partial Vacation",E115="Partial Sick Leave"),NOT(U115)),"Leave not allowed on this day",IF(AND(E115="Manual Work",OR(NOT(ISNUMBER(F115)),NOT(ISNUMBER(G115)))),"Enter start and end",IF(AND(OR(E115="Partial Vacation",E115="Partial Sick Leave"),OR(NOT(ISNUMBER(H115)),NOT(ISNUMBER(I115)))),"Enter leave from and to",IF(AND(ISNUMBER(F115),ISNUMBER(G115),G115&lt;=F115),"End is before start",IF(AND(ISNUMBER(H115),ISNUMBER(I115),I115&lt;=H115),"Leave end is before start",IF(AND(ISNUMBER(F115),ISNUMBER(G115),ISNUMBER(H115),ISNUMBER(I115),F115&lt;I115,H115&lt;G115),"Work and leave hours overlap",IF(AND(E115&lt;&gt;"",WEEKDAY(A115)=7),"Saturday - administrator only","")))))))</f>
        <v/>
      </c>
      <c r="T115" s="36" t="n">
        <f aca="false">MONTH(A115)</f>
        <v>4</v>
      </c>
      <c r="U115" s="37" t="b">
        <f aca="false">OR(C115="Workday",C115="Eve")</f>
        <v>1</v>
      </c>
      <c r="V115" s="34" t="n">
        <f aca="false">IF(C115="Eve",Settings!$B$8,Settings!$B$7)</f>
        <v>0.6875</v>
      </c>
      <c r="W115" s="14" t="n">
        <f aca="false">IF(U115,(V115-Settings!$B$6)*24,0)</f>
        <v>8.5</v>
      </c>
    </row>
    <row r="116" customFormat="false" ht="15" hidden="false" customHeight="false" outlineLevel="0" collapsed="false">
      <c r="A116" s="29" t="n">
        <v>46132</v>
      </c>
      <c r="B116" s="30" t="str">
        <f aca="false">CHOOSE(WEEKDAY(A116),"Sun","Mon","Tue","Wed","Thu","Fri","Sat")</f>
        <v>Mon</v>
      </c>
      <c r="C116" s="30" t="str">
        <f aca="false">IF(IFERROR(INDEX(Holidays!$D$5:$D$60,MATCH(A116,Holidays!$A$5:$A$60,0)),"")="Holiday","Holiday",IF(WEEKDAY(A116)&gt;=6,"Weekend",IF(IFERROR(INDEX(Holidays!$D$5:$D$60,MATCH(A116,Holidays!$A$5:$A$60,0)),"")="Eve","Eve","Workday")))</f>
        <v>Workday</v>
      </c>
      <c r="D116" s="18" t="str">
        <f aca="false">IFERROR(INDEX(Holidays!$C$5:$C$60,MATCH(A116,Holidays!$A$5:$A$60,0)),"")</f>
        <v/>
      </c>
      <c r="E116" s="31"/>
      <c r="F116" s="32"/>
      <c r="G116" s="32"/>
      <c r="H116" s="32"/>
      <c r="I116" s="32"/>
      <c r="J116" s="31"/>
      <c r="K116" s="33" t="str">
        <f aca="false">IF(E116&lt;&gt;"",E116,IF(U116,"Present",IF(C116="Holiday","Holiday","Weekend")))</f>
        <v>Present</v>
      </c>
      <c r="L116" s="34" t="n">
        <f aca="false">IF(OR(K116="Present",K116="Manual Work",K116="Partial Vacation",K116="Partial Sick Leave"),IF(ISNUMBER(F116),F116,IF(AND(K116="Present",U116),Settings!$B$6,"")),"")</f>
        <v>0.333333333333333</v>
      </c>
      <c r="M116" s="34" t="n">
        <f aca="false">IF(OR(K116="Present",K116="Manual Work",K116="Partial Vacation",K116="Partial Sick Leave"),IF(ISNUMBER(G116),G116,IF(AND(K116="Present",U116),V116,"")),"")</f>
        <v>0.6875</v>
      </c>
      <c r="N116" s="14" t="n">
        <f aca="false">IF(AND(ISNUMBER(L116),ISNUMBER(M116)),MAX(0,(M116-L116)*24),0)</f>
        <v>8.5</v>
      </c>
      <c r="O116" s="14" t="n">
        <f aca="false">IF(NOT(U116),0,IF(K116="Vacation",IF(C116="Eve",Settings!$B$9*Settings!$B$11,W116),IF(K116="Partial Vacation",IF(AND(ISNUMBER(H116),ISNUMBER(I116)),MAX(0,(I116-H116)*24),0),0)))</f>
        <v>0</v>
      </c>
      <c r="P116" s="14" t="n">
        <f aca="false">IF(NOT(U116),0,IF(K116="Sick Leave",W116,IF(K116="Partial Sick Leave",IF(AND(ISNUMBER(H116),ISNUMBER(I116)),MAX(0,(I116-H116)*24),0),0)))</f>
        <v>0</v>
      </c>
      <c r="Q116" s="14" t="n">
        <f aca="false">IF(NOT(U116),0,IF(K116="Vacation",IF(C116="Eve",Settings!$B$11,1),IF(K116="Partial Vacation",O116/Settings!$B$9,0)))</f>
        <v>0</v>
      </c>
      <c r="R116" s="14" t="n">
        <f aca="false">IF(NOT(U116),0,IF(K116="Sick Leave",1,IF(K116="Partial Sick Leave",P116/Settings!$B$9,0)))</f>
        <v>0</v>
      </c>
      <c r="S116" s="35" t="str">
        <f aca="false">IF(AND(OR(E116="Vacation",E116="Sick Leave",E116="Partial Vacation",E116="Partial Sick Leave"),NOT(U116)),"Leave not allowed on this day",IF(AND(E116="Manual Work",OR(NOT(ISNUMBER(F116)),NOT(ISNUMBER(G116)))),"Enter start and end",IF(AND(OR(E116="Partial Vacation",E116="Partial Sick Leave"),OR(NOT(ISNUMBER(H116)),NOT(ISNUMBER(I116)))),"Enter leave from and to",IF(AND(ISNUMBER(F116),ISNUMBER(G116),G116&lt;=F116),"End is before start",IF(AND(ISNUMBER(H116),ISNUMBER(I116),I116&lt;=H116),"Leave end is before start",IF(AND(ISNUMBER(F116),ISNUMBER(G116),ISNUMBER(H116),ISNUMBER(I116),F116&lt;I116,H116&lt;G116),"Work and leave hours overlap",IF(AND(E116&lt;&gt;"",WEEKDAY(A116)=7),"Saturday - administrator only","")))))))</f>
        <v/>
      </c>
      <c r="T116" s="36" t="n">
        <f aca="false">MONTH(A116)</f>
        <v>4</v>
      </c>
      <c r="U116" s="37" t="b">
        <f aca="false">OR(C116="Workday",C116="Eve")</f>
        <v>1</v>
      </c>
      <c r="V116" s="34" t="n">
        <f aca="false">IF(C116="Eve",Settings!$B$8,Settings!$B$7)</f>
        <v>0.6875</v>
      </c>
      <c r="W116" s="14" t="n">
        <f aca="false">IF(U116,(V116-Settings!$B$6)*24,0)</f>
        <v>8.5</v>
      </c>
    </row>
    <row r="117" customFormat="false" ht="15" hidden="false" customHeight="false" outlineLevel="0" collapsed="false">
      <c r="A117" s="29" t="n">
        <v>46133</v>
      </c>
      <c r="B117" s="30" t="str">
        <f aca="false">CHOOSE(WEEKDAY(A117),"Sun","Mon","Tue","Wed","Thu","Fri","Sat")</f>
        <v>Tue</v>
      </c>
      <c r="C117" s="30" t="str">
        <f aca="false">IF(IFERROR(INDEX(Holidays!$D$5:$D$60,MATCH(A117,Holidays!$A$5:$A$60,0)),"")="Holiday","Holiday",IF(WEEKDAY(A117)&gt;=6,"Weekend",IF(IFERROR(INDEX(Holidays!$D$5:$D$60,MATCH(A117,Holidays!$A$5:$A$60,0)),"")="Eve","Eve","Workday")))</f>
        <v>Workday</v>
      </c>
      <c r="D117" s="18" t="str">
        <f aca="false">IFERROR(INDEX(Holidays!$C$5:$C$60,MATCH(A117,Holidays!$A$5:$A$60,0)),"")</f>
        <v/>
      </c>
      <c r="E117" s="31"/>
      <c r="F117" s="32"/>
      <c r="G117" s="32"/>
      <c r="H117" s="32"/>
      <c r="I117" s="32"/>
      <c r="J117" s="31"/>
      <c r="K117" s="33" t="str">
        <f aca="false">IF(E117&lt;&gt;"",E117,IF(U117,"Present",IF(C117="Holiday","Holiday","Weekend")))</f>
        <v>Present</v>
      </c>
      <c r="L117" s="34" t="n">
        <f aca="false">IF(OR(K117="Present",K117="Manual Work",K117="Partial Vacation",K117="Partial Sick Leave"),IF(ISNUMBER(F117),F117,IF(AND(K117="Present",U117),Settings!$B$6,"")),"")</f>
        <v>0.333333333333333</v>
      </c>
      <c r="M117" s="34" t="n">
        <f aca="false">IF(OR(K117="Present",K117="Manual Work",K117="Partial Vacation",K117="Partial Sick Leave"),IF(ISNUMBER(G117),G117,IF(AND(K117="Present",U117),V117,"")),"")</f>
        <v>0.6875</v>
      </c>
      <c r="N117" s="14" t="n">
        <f aca="false">IF(AND(ISNUMBER(L117),ISNUMBER(M117)),MAX(0,(M117-L117)*24),0)</f>
        <v>8.5</v>
      </c>
      <c r="O117" s="14" t="n">
        <f aca="false">IF(NOT(U117),0,IF(K117="Vacation",IF(C117="Eve",Settings!$B$9*Settings!$B$11,W117),IF(K117="Partial Vacation",IF(AND(ISNUMBER(H117),ISNUMBER(I117)),MAX(0,(I117-H117)*24),0),0)))</f>
        <v>0</v>
      </c>
      <c r="P117" s="14" t="n">
        <f aca="false">IF(NOT(U117),0,IF(K117="Sick Leave",W117,IF(K117="Partial Sick Leave",IF(AND(ISNUMBER(H117),ISNUMBER(I117)),MAX(0,(I117-H117)*24),0),0)))</f>
        <v>0</v>
      </c>
      <c r="Q117" s="14" t="n">
        <f aca="false">IF(NOT(U117),0,IF(K117="Vacation",IF(C117="Eve",Settings!$B$11,1),IF(K117="Partial Vacation",O117/Settings!$B$9,0)))</f>
        <v>0</v>
      </c>
      <c r="R117" s="14" t="n">
        <f aca="false">IF(NOT(U117),0,IF(K117="Sick Leave",1,IF(K117="Partial Sick Leave",P117/Settings!$B$9,0)))</f>
        <v>0</v>
      </c>
      <c r="S117" s="35" t="str">
        <f aca="false">IF(AND(OR(E117="Vacation",E117="Sick Leave",E117="Partial Vacation",E117="Partial Sick Leave"),NOT(U117)),"Leave not allowed on this day",IF(AND(E117="Manual Work",OR(NOT(ISNUMBER(F117)),NOT(ISNUMBER(G117)))),"Enter start and end",IF(AND(OR(E117="Partial Vacation",E117="Partial Sick Leave"),OR(NOT(ISNUMBER(H117)),NOT(ISNUMBER(I117)))),"Enter leave from and to",IF(AND(ISNUMBER(F117),ISNUMBER(G117),G117&lt;=F117),"End is before start",IF(AND(ISNUMBER(H117),ISNUMBER(I117),I117&lt;=H117),"Leave end is before start",IF(AND(ISNUMBER(F117),ISNUMBER(G117),ISNUMBER(H117),ISNUMBER(I117),F117&lt;I117,H117&lt;G117),"Work and leave hours overlap",IF(AND(E117&lt;&gt;"",WEEKDAY(A117)=7),"Saturday - administrator only","")))))))</f>
        <v/>
      </c>
      <c r="T117" s="36" t="n">
        <f aca="false">MONTH(A117)</f>
        <v>4</v>
      </c>
      <c r="U117" s="37" t="b">
        <f aca="false">OR(C117="Workday",C117="Eve")</f>
        <v>1</v>
      </c>
      <c r="V117" s="34" t="n">
        <f aca="false">IF(C117="Eve",Settings!$B$8,Settings!$B$7)</f>
        <v>0.6875</v>
      </c>
      <c r="W117" s="14" t="n">
        <f aca="false">IF(U117,(V117-Settings!$B$6)*24,0)</f>
        <v>8.5</v>
      </c>
    </row>
    <row r="118" customFormat="false" ht="15" hidden="false" customHeight="false" outlineLevel="0" collapsed="false">
      <c r="A118" s="29" t="n">
        <v>46134</v>
      </c>
      <c r="B118" s="30" t="str">
        <f aca="false">CHOOSE(WEEKDAY(A118),"Sun","Mon","Tue","Wed","Thu","Fri","Sat")</f>
        <v>Wed</v>
      </c>
      <c r="C118" s="30" t="str">
        <f aca="false">IF(IFERROR(INDEX(Holidays!$D$5:$D$60,MATCH(A118,Holidays!$A$5:$A$60,0)),"")="Holiday","Holiday",IF(WEEKDAY(A118)&gt;=6,"Weekend",IF(IFERROR(INDEX(Holidays!$D$5:$D$60,MATCH(A118,Holidays!$A$5:$A$60,0)),"")="Eve","Eve","Workday")))</f>
        <v>Holiday</v>
      </c>
      <c r="D118" s="18" t="str">
        <f aca="false">IFERROR(INDEX(Holidays!$C$5:$C$60,MATCH(A118,Holidays!$A$5:$A$60,0)),"")</f>
        <v>Independence Day</v>
      </c>
      <c r="E118" s="31"/>
      <c r="F118" s="32"/>
      <c r="G118" s="32"/>
      <c r="H118" s="32"/>
      <c r="I118" s="32"/>
      <c r="J118" s="31"/>
      <c r="K118" s="33" t="str">
        <f aca="false">IF(E118&lt;&gt;"",E118,IF(U118,"Present",IF(C118="Holiday","Holiday","Weekend")))</f>
        <v>Holiday</v>
      </c>
      <c r="L118" s="34" t="str">
        <f aca="false">IF(OR(K118="Present",K118="Manual Work",K118="Partial Vacation",K118="Partial Sick Leave"),IF(ISNUMBER(F118),F118,IF(AND(K118="Present",U118),Settings!$B$6,"")),"")</f>
        <v/>
      </c>
      <c r="M118" s="34" t="str">
        <f aca="false">IF(OR(K118="Present",K118="Manual Work",K118="Partial Vacation",K118="Partial Sick Leave"),IF(ISNUMBER(G118),G118,IF(AND(K118="Present",U118),V118,"")),"")</f>
        <v/>
      </c>
      <c r="N118" s="14" t="n">
        <f aca="false">IF(AND(ISNUMBER(L118),ISNUMBER(M118)),MAX(0,(M118-L118)*24),0)</f>
        <v>0</v>
      </c>
      <c r="O118" s="14" t="n">
        <f aca="false">IF(NOT(U118),0,IF(K118="Vacation",IF(C118="Eve",Settings!$B$9*Settings!$B$11,W118),IF(K118="Partial Vacation",IF(AND(ISNUMBER(H118),ISNUMBER(I118)),MAX(0,(I118-H118)*24),0),0)))</f>
        <v>0</v>
      </c>
      <c r="P118" s="14" t="n">
        <f aca="false">IF(NOT(U118),0,IF(K118="Sick Leave",W118,IF(K118="Partial Sick Leave",IF(AND(ISNUMBER(H118),ISNUMBER(I118)),MAX(0,(I118-H118)*24),0),0)))</f>
        <v>0</v>
      </c>
      <c r="Q118" s="14" t="n">
        <f aca="false">IF(NOT(U118),0,IF(K118="Vacation",IF(C118="Eve",Settings!$B$11,1),IF(K118="Partial Vacation",O118/Settings!$B$9,0)))</f>
        <v>0</v>
      </c>
      <c r="R118" s="14" t="n">
        <f aca="false">IF(NOT(U118),0,IF(K118="Sick Leave",1,IF(K118="Partial Sick Leave",P118/Settings!$B$9,0)))</f>
        <v>0</v>
      </c>
      <c r="S118" s="35" t="str">
        <f aca="false">IF(AND(OR(E118="Vacation",E118="Sick Leave",E118="Partial Vacation",E118="Partial Sick Leave"),NOT(U118)),"Leave not allowed on this day",IF(AND(E118="Manual Work",OR(NOT(ISNUMBER(F118)),NOT(ISNUMBER(G118)))),"Enter start and end",IF(AND(OR(E118="Partial Vacation",E118="Partial Sick Leave"),OR(NOT(ISNUMBER(H118)),NOT(ISNUMBER(I118)))),"Enter leave from and to",IF(AND(ISNUMBER(F118),ISNUMBER(G118),G118&lt;=F118),"End is before start",IF(AND(ISNUMBER(H118),ISNUMBER(I118),I118&lt;=H118),"Leave end is before start",IF(AND(ISNUMBER(F118),ISNUMBER(G118),ISNUMBER(H118),ISNUMBER(I118),F118&lt;I118,H118&lt;G118),"Work and leave hours overlap",IF(AND(E118&lt;&gt;"",WEEKDAY(A118)=7),"Saturday - administrator only","")))))))</f>
        <v/>
      </c>
      <c r="T118" s="36" t="n">
        <f aca="false">MONTH(A118)</f>
        <v>4</v>
      </c>
      <c r="U118" s="37" t="b">
        <f aca="false">OR(C118="Workday",C118="Eve")</f>
        <v>0</v>
      </c>
      <c r="V118" s="34" t="n">
        <f aca="false">IF(C118="Eve",Settings!$B$8,Settings!$B$7)</f>
        <v>0.6875</v>
      </c>
      <c r="W118" s="14" t="n">
        <f aca="false">IF(U118,(V118-Settings!$B$6)*24,0)</f>
        <v>0</v>
      </c>
    </row>
    <row r="119" customFormat="false" ht="15" hidden="false" customHeight="false" outlineLevel="0" collapsed="false">
      <c r="A119" s="29" t="n">
        <v>46135</v>
      </c>
      <c r="B119" s="30" t="str">
        <f aca="false">CHOOSE(WEEKDAY(A119),"Sun","Mon","Tue","Wed","Thu","Fri","Sat")</f>
        <v>Thu</v>
      </c>
      <c r="C119" s="30" t="str">
        <f aca="false">IF(IFERROR(INDEX(Holidays!$D$5:$D$60,MATCH(A119,Holidays!$A$5:$A$60,0)),"")="Holiday","Holiday",IF(WEEKDAY(A119)&gt;=6,"Weekend",IF(IFERROR(INDEX(Holidays!$D$5:$D$60,MATCH(A119,Holidays!$A$5:$A$60,0)),"")="Eve","Eve","Workday")))</f>
        <v>Workday</v>
      </c>
      <c r="D119" s="18" t="str">
        <f aca="false">IFERROR(INDEX(Holidays!$C$5:$C$60,MATCH(A119,Holidays!$A$5:$A$60,0)),"")</f>
        <v/>
      </c>
      <c r="E119" s="31"/>
      <c r="F119" s="32"/>
      <c r="G119" s="32"/>
      <c r="H119" s="32"/>
      <c r="I119" s="32"/>
      <c r="J119" s="31"/>
      <c r="K119" s="33" t="str">
        <f aca="false">IF(E119&lt;&gt;"",E119,IF(U119,"Present",IF(C119="Holiday","Holiday","Weekend")))</f>
        <v>Present</v>
      </c>
      <c r="L119" s="34" t="n">
        <f aca="false">IF(OR(K119="Present",K119="Manual Work",K119="Partial Vacation",K119="Partial Sick Leave"),IF(ISNUMBER(F119),F119,IF(AND(K119="Present",U119),Settings!$B$6,"")),"")</f>
        <v>0.333333333333333</v>
      </c>
      <c r="M119" s="34" t="n">
        <f aca="false">IF(OR(K119="Present",K119="Manual Work",K119="Partial Vacation",K119="Partial Sick Leave"),IF(ISNUMBER(G119),G119,IF(AND(K119="Present",U119),V119,"")),"")</f>
        <v>0.6875</v>
      </c>
      <c r="N119" s="14" t="n">
        <f aca="false">IF(AND(ISNUMBER(L119),ISNUMBER(M119)),MAX(0,(M119-L119)*24),0)</f>
        <v>8.5</v>
      </c>
      <c r="O119" s="14" t="n">
        <f aca="false">IF(NOT(U119),0,IF(K119="Vacation",IF(C119="Eve",Settings!$B$9*Settings!$B$11,W119),IF(K119="Partial Vacation",IF(AND(ISNUMBER(H119),ISNUMBER(I119)),MAX(0,(I119-H119)*24),0),0)))</f>
        <v>0</v>
      </c>
      <c r="P119" s="14" t="n">
        <f aca="false">IF(NOT(U119),0,IF(K119="Sick Leave",W119,IF(K119="Partial Sick Leave",IF(AND(ISNUMBER(H119),ISNUMBER(I119)),MAX(0,(I119-H119)*24),0),0)))</f>
        <v>0</v>
      </c>
      <c r="Q119" s="14" t="n">
        <f aca="false">IF(NOT(U119),0,IF(K119="Vacation",IF(C119="Eve",Settings!$B$11,1),IF(K119="Partial Vacation",O119/Settings!$B$9,0)))</f>
        <v>0</v>
      </c>
      <c r="R119" s="14" t="n">
        <f aca="false">IF(NOT(U119),0,IF(K119="Sick Leave",1,IF(K119="Partial Sick Leave",P119/Settings!$B$9,0)))</f>
        <v>0</v>
      </c>
      <c r="S119" s="35" t="str">
        <f aca="false">IF(AND(OR(E119="Vacation",E119="Sick Leave",E119="Partial Vacation",E119="Partial Sick Leave"),NOT(U119)),"Leave not allowed on this day",IF(AND(E119="Manual Work",OR(NOT(ISNUMBER(F119)),NOT(ISNUMBER(G119)))),"Enter start and end",IF(AND(OR(E119="Partial Vacation",E119="Partial Sick Leave"),OR(NOT(ISNUMBER(H119)),NOT(ISNUMBER(I119)))),"Enter leave from and to",IF(AND(ISNUMBER(F119),ISNUMBER(G119),G119&lt;=F119),"End is before start",IF(AND(ISNUMBER(H119),ISNUMBER(I119),I119&lt;=H119),"Leave end is before start",IF(AND(ISNUMBER(F119),ISNUMBER(G119),ISNUMBER(H119),ISNUMBER(I119),F119&lt;I119,H119&lt;G119),"Work and leave hours overlap",IF(AND(E119&lt;&gt;"",WEEKDAY(A119)=7),"Saturday - administrator only","")))))))</f>
        <v/>
      </c>
      <c r="T119" s="36" t="n">
        <f aca="false">MONTH(A119)</f>
        <v>4</v>
      </c>
      <c r="U119" s="37" t="b">
        <f aca="false">OR(C119="Workday",C119="Eve")</f>
        <v>1</v>
      </c>
      <c r="V119" s="34" t="n">
        <f aca="false">IF(C119="Eve",Settings!$B$8,Settings!$B$7)</f>
        <v>0.6875</v>
      </c>
      <c r="W119" s="14" t="n">
        <f aca="false">IF(U119,(V119-Settings!$B$6)*24,0)</f>
        <v>8.5</v>
      </c>
    </row>
    <row r="120" customFormat="false" ht="15" hidden="false" customHeight="false" outlineLevel="0" collapsed="false">
      <c r="A120" s="29" t="n">
        <v>46136</v>
      </c>
      <c r="B120" s="30" t="str">
        <f aca="false">CHOOSE(WEEKDAY(A120),"Sun","Mon","Tue","Wed","Thu","Fri","Sat")</f>
        <v>Fri</v>
      </c>
      <c r="C120" s="30" t="str">
        <f aca="false">IF(IFERROR(INDEX(Holidays!$D$5:$D$60,MATCH(A120,Holidays!$A$5:$A$60,0)),"")="Holiday","Holiday",IF(WEEKDAY(A120)&gt;=6,"Weekend",IF(IFERROR(INDEX(Holidays!$D$5:$D$60,MATCH(A120,Holidays!$A$5:$A$60,0)),"")="Eve","Eve","Workday")))</f>
        <v>Weekend</v>
      </c>
      <c r="D120" s="18" t="str">
        <f aca="false">IFERROR(INDEX(Holidays!$C$5:$C$60,MATCH(A120,Holidays!$A$5:$A$60,0)),"")</f>
        <v/>
      </c>
      <c r="E120" s="31"/>
      <c r="F120" s="32"/>
      <c r="G120" s="32"/>
      <c r="H120" s="32"/>
      <c r="I120" s="32"/>
      <c r="J120" s="31"/>
      <c r="K120" s="33" t="str">
        <f aca="false">IF(E120&lt;&gt;"",E120,IF(U120,"Present",IF(C120="Holiday","Holiday","Weekend")))</f>
        <v>Weekend</v>
      </c>
      <c r="L120" s="34" t="str">
        <f aca="false">IF(OR(K120="Present",K120="Manual Work",K120="Partial Vacation",K120="Partial Sick Leave"),IF(ISNUMBER(F120),F120,IF(AND(K120="Present",U120),Settings!$B$6,"")),"")</f>
        <v/>
      </c>
      <c r="M120" s="34" t="str">
        <f aca="false">IF(OR(K120="Present",K120="Manual Work",K120="Partial Vacation",K120="Partial Sick Leave"),IF(ISNUMBER(G120),G120,IF(AND(K120="Present",U120),V120,"")),"")</f>
        <v/>
      </c>
      <c r="N120" s="14" t="n">
        <f aca="false">IF(AND(ISNUMBER(L120),ISNUMBER(M120)),MAX(0,(M120-L120)*24),0)</f>
        <v>0</v>
      </c>
      <c r="O120" s="14" t="n">
        <f aca="false">IF(NOT(U120),0,IF(K120="Vacation",IF(C120="Eve",Settings!$B$9*Settings!$B$11,W120),IF(K120="Partial Vacation",IF(AND(ISNUMBER(H120),ISNUMBER(I120)),MAX(0,(I120-H120)*24),0),0)))</f>
        <v>0</v>
      </c>
      <c r="P120" s="14" t="n">
        <f aca="false">IF(NOT(U120),0,IF(K120="Sick Leave",W120,IF(K120="Partial Sick Leave",IF(AND(ISNUMBER(H120),ISNUMBER(I120)),MAX(0,(I120-H120)*24),0),0)))</f>
        <v>0</v>
      </c>
      <c r="Q120" s="14" t="n">
        <f aca="false">IF(NOT(U120),0,IF(K120="Vacation",IF(C120="Eve",Settings!$B$11,1),IF(K120="Partial Vacation",O120/Settings!$B$9,0)))</f>
        <v>0</v>
      </c>
      <c r="R120" s="14" t="n">
        <f aca="false">IF(NOT(U120),0,IF(K120="Sick Leave",1,IF(K120="Partial Sick Leave",P120/Settings!$B$9,0)))</f>
        <v>0</v>
      </c>
      <c r="S120" s="35" t="str">
        <f aca="false">IF(AND(OR(E120="Vacation",E120="Sick Leave",E120="Partial Vacation",E120="Partial Sick Leave"),NOT(U120)),"Leave not allowed on this day",IF(AND(E120="Manual Work",OR(NOT(ISNUMBER(F120)),NOT(ISNUMBER(G120)))),"Enter start and end",IF(AND(OR(E120="Partial Vacation",E120="Partial Sick Leave"),OR(NOT(ISNUMBER(H120)),NOT(ISNUMBER(I120)))),"Enter leave from and to",IF(AND(ISNUMBER(F120),ISNUMBER(G120),G120&lt;=F120),"End is before start",IF(AND(ISNUMBER(H120),ISNUMBER(I120),I120&lt;=H120),"Leave end is before start",IF(AND(ISNUMBER(F120),ISNUMBER(G120),ISNUMBER(H120),ISNUMBER(I120),F120&lt;I120,H120&lt;G120),"Work and leave hours overlap",IF(AND(E120&lt;&gt;"",WEEKDAY(A120)=7),"Saturday - administrator only","")))))))</f>
        <v/>
      </c>
      <c r="T120" s="36" t="n">
        <f aca="false">MONTH(A120)</f>
        <v>4</v>
      </c>
      <c r="U120" s="37" t="b">
        <f aca="false">OR(C120="Workday",C120="Eve")</f>
        <v>0</v>
      </c>
      <c r="V120" s="34" t="n">
        <f aca="false">IF(C120="Eve",Settings!$B$8,Settings!$B$7)</f>
        <v>0.6875</v>
      </c>
      <c r="W120" s="14" t="n">
        <f aca="false">IF(U120,(V120-Settings!$B$6)*24,0)</f>
        <v>0</v>
      </c>
    </row>
    <row r="121" customFormat="false" ht="15" hidden="false" customHeight="false" outlineLevel="0" collapsed="false">
      <c r="A121" s="29" t="n">
        <v>46137</v>
      </c>
      <c r="B121" s="30" t="str">
        <f aca="false">CHOOSE(WEEKDAY(A121),"Sun","Mon","Tue","Wed","Thu","Fri","Sat")</f>
        <v>Sat</v>
      </c>
      <c r="C121" s="30" t="str">
        <f aca="false">IF(IFERROR(INDEX(Holidays!$D$5:$D$60,MATCH(A121,Holidays!$A$5:$A$60,0)),"")="Holiday","Holiday",IF(WEEKDAY(A121)&gt;=6,"Weekend",IF(IFERROR(INDEX(Holidays!$D$5:$D$60,MATCH(A121,Holidays!$A$5:$A$60,0)),"")="Eve","Eve","Workday")))</f>
        <v>Weekend</v>
      </c>
      <c r="D121" s="18" t="str">
        <f aca="false">IFERROR(INDEX(Holidays!$C$5:$C$60,MATCH(A121,Holidays!$A$5:$A$60,0)),"")</f>
        <v/>
      </c>
      <c r="E121" s="31"/>
      <c r="F121" s="32"/>
      <c r="G121" s="32"/>
      <c r="H121" s="32"/>
      <c r="I121" s="32"/>
      <c r="J121" s="31"/>
      <c r="K121" s="33" t="str">
        <f aca="false">IF(E121&lt;&gt;"",E121,IF(U121,"Present",IF(C121="Holiday","Holiday","Weekend")))</f>
        <v>Weekend</v>
      </c>
      <c r="L121" s="34" t="str">
        <f aca="false">IF(OR(K121="Present",K121="Manual Work",K121="Partial Vacation",K121="Partial Sick Leave"),IF(ISNUMBER(F121),F121,IF(AND(K121="Present",U121),Settings!$B$6,"")),"")</f>
        <v/>
      </c>
      <c r="M121" s="34" t="str">
        <f aca="false">IF(OR(K121="Present",K121="Manual Work",K121="Partial Vacation",K121="Partial Sick Leave"),IF(ISNUMBER(G121),G121,IF(AND(K121="Present",U121),V121,"")),"")</f>
        <v/>
      </c>
      <c r="N121" s="14" t="n">
        <f aca="false">IF(AND(ISNUMBER(L121),ISNUMBER(M121)),MAX(0,(M121-L121)*24),0)</f>
        <v>0</v>
      </c>
      <c r="O121" s="14" t="n">
        <f aca="false">IF(NOT(U121),0,IF(K121="Vacation",IF(C121="Eve",Settings!$B$9*Settings!$B$11,W121),IF(K121="Partial Vacation",IF(AND(ISNUMBER(H121),ISNUMBER(I121)),MAX(0,(I121-H121)*24),0),0)))</f>
        <v>0</v>
      </c>
      <c r="P121" s="14" t="n">
        <f aca="false">IF(NOT(U121),0,IF(K121="Sick Leave",W121,IF(K121="Partial Sick Leave",IF(AND(ISNUMBER(H121),ISNUMBER(I121)),MAX(0,(I121-H121)*24),0),0)))</f>
        <v>0</v>
      </c>
      <c r="Q121" s="14" t="n">
        <f aca="false">IF(NOT(U121),0,IF(K121="Vacation",IF(C121="Eve",Settings!$B$11,1),IF(K121="Partial Vacation",O121/Settings!$B$9,0)))</f>
        <v>0</v>
      </c>
      <c r="R121" s="14" t="n">
        <f aca="false">IF(NOT(U121),0,IF(K121="Sick Leave",1,IF(K121="Partial Sick Leave",P121/Settings!$B$9,0)))</f>
        <v>0</v>
      </c>
      <c r="S121" s="35" t="str">
        <f aca="false">IF(AND(OR(E121="Vacation",E121="Sick Leave",E121="Partial Vacation",E121="Partial Sick Leave"),NOT(U121)),"Leave not allowed on this day",IF(AND(E121="Manual Work",OR(NOT(ISNUMBER(F121)),NOT(ISNUMBER(G121)))),"Enter start and end",IF(AND(OR(E121="Partial Vacation",E121="Partial Sick Leave"),OR(NOT(ISNUMBER(H121)),NOT(ISNUMBER(I121)))),"Enter leave from and to",IF(AND(ISNUMBER(F121),ISNUMBER(G121),G121&lt;=F121),"End is before start",IF(AND(ISNUMBER(H121),ISNUMBER(I121),I121&lt;=H121),"Leave end is before start",IF(AND(ISNUMBER(F121),ISNUMBER(G121),ISNUMBER(H121),ISNUMBER(I121),F121&lt;I121,H121&lt;G121),"Work and leave hours overlap",IF(AND(E121&lt;&gt;"",WEEKDAY(A121)=7),"Saturday - administrator only","")))))))</f>
        <v/>
      </c>
      <c r="T121" s="36" t="n">
        <f aca="false">MONTH(A121)</f>
        <v>4</v>
      </c>
      <c r="U121" s="37" t="b">
        <f aca="false">OR(C121="Workday",C121="Eve")</f>
        <v>0</v>
      </c>
      <c r="V121" s="34" t="n">
        <f aca="false">IF(C121="Eve",Settings!$B$8,Settings!$B$7)</f>
        <v>0.6875</v>
      </c>
      <c r="W121" s="14" t="n">
        <f aca="false">IF(U121,(V121-Settings!$B$6)*24,0)</f>
        <v>0</v>
      </c>
    </row>
    <row r="122" customFormat="false" ht="15" hidden="false" customHeight="false" outlineLevel="0" collapsed="false">
      <c r="A122" s="29" t="n">
        <v>46138</v>
      </c>
      <c r="B122" s="30" t="str">
        <f aca="false">CHOOSE(WEEKDAY(A122),"Sun","Mon","Tue","Wed","Thu","Fri","Sat")</f>
        <v>Sun</v>
      </c>
      <c r="C122" s="30" t="str">
        <f aca="false">IF(IFERROR(INDEX(Holidays!$D$5:$D$60,MATCH(A122,Holidays!$A$5:$A$60,0)),"")="Holiday","Holiday",IF(WEEKDAY(A122)&gt;=6,"Weekend",IF(IFERROR(INDEX(Holidays!$D$5:$D$60,MATCH(A122,Holidays!$A$5:$A$60,0)),"")="Eve","Eve","Workday")))</f>
        <v>Workday</v>
      </c>
      <c r="D122" s="18" t="str">
        <f aca="false">IFERROR(INDEX(Holidays!$C$5:$C$60,MATCH(A122,Holidays!$A$5:$A$60,0)),"")</f>
        <v/>
      </c>
      <c r="E122" s="31"/>
      <c r="F122" s="32"/>
      <c r="G122" s="32"/>
      <c r="H122" s="32"/>
      <c r="I122" s="32"/>
      <c r="J122" s="31"/>
      <c r="K122" s="33" t="str">
        <f aca="false">IF(E122&lt;&gt;"",E122,IF(U122,"Present",IF(C122="Holiday","Holiday","Weekend")))</f>
        <v>Present</v>
      </c>
      <c r="L122" s="34" t="n">
        <f aca="false">IF(OR(K122="Present",K122="Manual Work",K122="Partial Vacation",K122="Partial Sick Leave"),IF(ISNUMBER(F122),F122,IF(AND(K122="Present",U122),Settings!$B$6,"")),"")</f>
        <v>0.333333333333333</v>
      </c>
      <c r="M122" s="34" t="n">
        <f aca="false">IF(OR(K122="Present",K122="Manual Work",K122="Partial Vacation",K122="Partial Sick Leave"),IF(ISNUMBER(G122),G122,IF(AND(K122="Present",U122),V122,"")),"")</f>
        <v>0.6875</v>
      </c>
      <c r="N122" s="14" t="n">
        <f aca="false">IF(AND(ISNUMBER(L122),ISNUMBER(M122)),MAX(0,(M122-L122)*24),0)</f>
        <v>8.5</v>
      </c>
      <c r="O122" s="14" t="n">
        <f aca="false">IF(NOT(U122),0,IF(K122="Vacation",IF(C122="Eve",Settings!$B$9*Settings!$B$11,W122),IF(K122="Partial Vacation",IF(AND(ISNUMBER(H122),ISNUMBER(I122)),MAX(0,(I122-H122)*24),0),0)))</f>
        <v>0</v>
      </c>
      <c r="P122" s="14" t="n">
        <f aca="false">IF(NOT(U122),0,IF(K122="Sick Leave",W122,IF(K122="Partial Sick Leave",IF(AND(ISNUMBER(H122),ISNUMBER(I122)),MAX(0,(I122-H122)*24),0),0)))</f>
        <v>0</v>
      </c>
      <c r="Q122" s="14" t="n">
        <f aca="false">IF(NOT(U122),0,IF(K122="Vacation",IF(C122="Eve",Settings!$B$11,1),IF(K122="Partial Vacation",O122/Settings!$B$9,0)))</f>
        <v>0</v>
      </c>
      <c r="R122" s="14" t="n">
        <f aca="false">IF(NOT(U122),0,IF(K122="Sick Leave",1,IF(K122="Partial Sick Leave",P122/Settings!$B$9,0)))</f>
        <v>0</v>
      </c>
      <c r="S122" s="35" t="str">
        <f aca="false">IF(AND(OR(E122="Vacation",E122="Sick Leave",E122="Partial Vacation",E122="Partial Sick Leave"),NOT(U122)),"Leave not allowed on this day",IF(AND(E122="Manual Work",OR(NOT(ISNUMBER(F122)),NOT(ISNUMBER(G122)))),"Enter start and end",IF(AND(OR(E122="Partial Vacation",E122="Partial Sick Leave"),OR(NOT(ISNUMBER(H122)),NOT(ISNUMBER(I122)))),"Enter leave from and to",IF(AND(ISNUMBER(F122),ISNUMBER(G122),G122&lt;=F122),"End is before start",IF(AND(ISNUMBER(H122),ISNUMBER(I122),I122&lt;=H122),"Leave end is before start",IF(AND(ISNUMBER(F122),ISNUMBER(G122),ISNUMBER(H122),ISNUMBER(I122),F122&lt;I122,H122&lt;G122),"Work and leave hours overlap",IF(AND(E122&lt;&gt;"",WEEKDAY(A122)=7),"Saturday - administrator only","")))))))</f>
        <v/>
      </c>
      <c r="T122" s="36" t="n">
        <f aca="false">MONTH(A122)</f>
        <v>4</v>
      </c>
      <c r="U122" s="37" t="b">
        <f aca="false">OR(C122="Workday",C122="Eve")</f>
        <v>1</v>
      </c>
      <c r="V122" s="34" t="n">
        <f aca="false">IF(C122="Eve",Settings!$B$8,Settings!$B$7)</f>
        <v>0.6875</v>
      </c>
      <c r="W122" s="14" t="n">
        <f aca="false">IF(U122,(V122-Settings!$B$6)*24,0)</f>
        <v>8.5</v>
      </c>
    </row>
    <row r="123" customFormat="false" ht="15" hidden="false" customHeight="false" outlineLevel="0" collapsed="false">
      <c r="A123" s="29" t="n">
        <v>46139</v>
      </c>
      <c r="B123" s="30" t="str">
        <f aca="false">CHOOSE(WEEKDAY(A123),"Sun","Mon","Tue","Wed","Thu","Fri","Sat")</f>
        <v>Mon</v>
      </c>
      <c r="C123" s="30" t="str">
        <f aca="false">IF(IFERROR(INDEX(Holidays!$D$5:$D$60,MATCH(A123,Holidays!$A$5:$A$60,0)),"")="Holiday","Holiday",IF(WEEKDAY(A123)&gt;=6,"Weekend",IF(IFERROR(INDEX(Holidays!$D$5:$D$60,MATCH(A123,Holidays!$A$5:$A$60,0)),"")="Eve","Eve","Workday")))</f>
        <v>Workday</v>
      </c>
      <c r="D123" s="18" t="str">
        <f aca="false">IFERROR(INDEX(Holidays!$C$5:$C$60,MATCH(A123,Holidays!$A$5:$A$60,0)),"")</f>
        <v/>
      </c>
      <c r="E123" s="31"/>
      <c r="F123" s="32"/>
      <c r="G123" s="32"/>
      <c r="H123" s="32"/>
      <c r="I123" s="32"/>
      <c r="J123" s="31"/>
      <c r="K123" s="33" t="str">
        <f aca="false">IF(E123&lt;&gt;"",E123,IF(U123,"Present",IF(C123="Holiday","Holiday","Weekend")))</f>
        <v>Present</v>
      </c>
      <c r="L123" s="34" t="n">
        <f aca="false">IF(OR(K123="Present",K123="Manual Work",K123="Partial Vacation",K123="Partial Sick Leave"),IF(ISNUMBER(F123),F123,IF(AND(K123="Present",U123),Settings!$B$6,"")),"")</f>
        <v>0.333333333333333</v>
      </c>
      <c r="M123" s="34" t="n">
        <f aca="false">IF(OR(K123="Present",K123="Manual Work",K123="Partial Vacation",K123="Partial Sick Leave"),IF(ISNUMBER(G123),G123,IF(AND(K123="Present",U123),V123,"")),"")</f>
        <v>0.6875</v>
      </c>
      <c r="N123" s="14" t="n">
        <f aca="false">IF(AND(ISNUMBER(L123),ISNUMBER(M123)),MAX(0,(M123-L123)*24),0)</f>
        <v>8.5</v>
      </c>
      <c r="O123" s="14" t="n">
        <f aca="false">IF(NOT(U123),0,IF(K123="Vacation",IF(C123="Eve",Settings!$B$9*Settings!$B$11,W123),IF(K123="Partial Vacation",IF(AND(ISNUMBER(H123),ISNUMBER(I123)),MAX(0,(I123-H123)*24),0),0)))</f>
        <v>0</v>
      </c>
      <c r="P123" s="14" t="n">
        <f aca="false">IF(NOT(U123),0,IF(K123="Sick Leave",W123,IF(K123="Partial Sick Leave",IF(AND(ISNUMBER(H123),ISNUMBER(I123)),MAX(0,(I123-H123)*24),0),0)))</f>
        <v>0</v>
      </c>
      <c r="Q123" s="14" t="n">
        <f aca="false">IF(NOT(U123),0,IF(K123="Vacation",IF(C123="Eve",Settings!$B$11,1),IF(K123="Partial Vacation",O123/Settings!$B$9,0)))</f>
        <v>0</v>
      </c>
      <c r="R123" s="14" t="n">
        <f aca="false">IF(NOT(U123),0,IF(K123="Sick Leave",1,IF(K123="Partial Sick Leave",P123/Settings!$B$9,0)))</f>
        <v>0</v>
      </c>
      <c r="S123" s="35" t="str">
        <f aca="false">IF(AND(OR(E123="Vacation",E123="Sick Leave",E123="Partial Vacation",E123="Partial Sick Leave"),NOT(U123)),"Leave not allowed on this day",IF(AND(E123="Manual Work",OR(NOT(ISNUMBER(F123)),NOT(ISNUMBER(G123)))),"Enter start and end",IF(AND(OR(E123="Partial Vacation",E123="Partial Sick Leave"),OR(NOT(ISNUMBER(H123)),NOT(ISNUMBER(I123)))),"Enter leave from and to",IF(AND(ISNUMBER(F123),ISNUMBER(G123),G123&lt;=F123),"End is before start",IF(AND(ISNUMBER(H123),ISNUMBER(I123),I123&lt;=H123),"Leave end is before start",IF(AND(ISNUMBER(F123),ISNUMBER(G123),ISNUMBER(H123),ISNUMBER(I123),F123&lt;I123,H123&lt;G123),"Work and leave hours overlap",IF(AND(E123&lt;&gt;"",WEEKDAY(A123)=7),"Saturday - administrator only","")))))))</f>
        <v/>
      </c>
      <c r="T123" s="36" t="n">
        <f aca="false">MONTH(A123)</f>
        <v>4</v>
      </c>
      <c r="U123" s="37" t="b">
        <f aca="false">OR(C123="Workday",C123="Eve")</f>
        <v>1</v>
      </c>
      <c r="V123" s="34" t="n">
        <f aca="false">IF(C123="Eve",Settings!$B$8,Settings!$B$7)</f>
        <v>0.6875</v>
      </c>
      <c r="W123" s="14" t="n">
        <f aca="false">IF(U123,(V123-Settings!$B$6)*24,0)</f>
        <v>8.5</v>
      </c>
    </row>
    <row r="124" customFormat="false" ht="15" hidden="false" customHeight="false" outlineLevel="0" collapsed="false">
      <c r="A124" s="29" t="n">
        <v>46140</v>
      </c>
      <c r="B124" s="30" t="str">
        <f aca="false">CHOOSE(WEEKDAY(A124),"Sun","Mon","Tue","Wed","Thu","Fri","Sat")</f>
        <v>Tue</v>
      </c>
      <c r="C124" s="30" t="str">
        <f aca="false">IF(IFERROR(INDEX(Holidays!$D$5:$D$60,MATCH(A124,Holidays!$A$5:$A$60,0)),"")="Holiday","Holiday",IF(WEEKDAY(A124)&gt;=6,"Weekend",IF(IFERROR(INDEX(Holidays!$D$5:$D$60,MATCH(A124,Holidays!$A$5:$A$60,0)),"")="Eve","Eve","Workday")))</f>
        <v>Workday</v>
      </c>
      <c r="D124" s="18" t="str">
        <f aca="false">IFERROR(INDEX(Holidays!$C$5:$C$60,MATCH(A124,Holidays!$A$5:$A$60,0)),"")</f>
        <v/>
      </c>
      <c r="E124" s="31"/>
      <c r="F124" s="32"/>
      <c r="G124" s="32"/>
      <c r="H124" s="32"/>
      <c r="I124" s="32"/>
      <c r="J124" s="31"/>
      <c r="K124" s="33" t="str">
        <f aca="false">IF(E124&lt;&gt;"",E124,IF(U124,"Present",IF(C124="Holiday","Holiday","Weekend")))</f>
        <v>Present</v>
      </c>
      <c r="L124" s="34" t="n">
        <f aca="false">IF(OR(K124="Present",K124="Manual Work",K124="Partial Vacation",K124="Partial Sick Leave"),IF(ISNUMBER(F124),F124,IF(AND(K124="Present",U124),Settings!$B$6,"")),"")</f>
        <v>0.333333333333333</v>
      </c>
      <c r="M124" s="34" t="n">
        <f aca="false">IF(OR(K124="Present",K124="Manual Work",K124="Partial Vacation",K124="Partial Sick Leave"),IF(ISNUMBER(G124),G124,IF(AND(K124="Present",U124),V124,"")),"")</f>
        <v>0.6875</v>
      </c>
      <c r="N124" s="14" t="n">
        <f aca="false">IF(AND(ISNUMBER(L124),ISNUMBER(M124)),MAX(0,(M124-L124)*24),0)</f>
        <v>8.5</v>
      </c>
      <c r="O124" s="14" t="n">
        <f aca="false">IF(NOT(U124),0,IF(K124="Vacation",IF(C124="Eve",Settings!$B$9*Settings!$B$11,W124),IF(K124="Partial Vacation",IF(AND(ISNUMBER(H124),ISNUMBER(I124)),MAX(0,(I124-H124)*24),0),0)))</f>
        <v>0</v>
      </c>
      <c r="P124" s="14" t="n">
        <f aca="false">IF(NOT(U124),0,IF(K124="Sick Leave",W124,IF(K124="Partial Sick Leave",IF(AND(ISNUMBER(H124),ISNUMBER(I124)),MAX(0,(I124-H124)*24),0),0)))</f>
        <v>0</v>
      </c>
      <c r="Q124" s="14" t="n">
        <f aca="false">IF(NOT(U124),0,IF(K124="Vacation",IF(C124="Eve",Settings!$B$11,1),IF(K124="Partial Vacation",O124/Settings!$B$9,0)))</f>
        <v>0</v>
      </c>
      <c r="R124" s="14" t="n">
        <f aca="false">IF(NOT(U124),0,IF(K124="Sick Leave",1,IF(K124="Partial Sick Leave",P124/Settings!$B$9,0)))</f>
        <v>0</v>
      </c>
      <c r="S124" s="35" t="str">
        <f aca="false">IF(AND(OR(E124="Vacation",E124="Sick Leave",E124="Partial Vacation",E124="Partial Sick Leave"),NOT(U124)),"Leave not allowed on this day",IF(AND(E124="Manual Work",OR(NOT(ISNUMBER(F124)),NOT(ISNUMBER(G124)))),"Enter start and end",IF(AND(OR(E124="Partial Vacation",E124="Partial Sick Leave"),OR(NOT(ISNUMBER(H124)),NOT(ISNUMBER(I124)))),"Enter leave from and to",IF(AND(ISNUMBER(F124),ISNUMBER(G124),G124&lt;=F124),"End is before start",IF(AND(ISNUMBER(H124),ISNUMBER(I124),I124&lt;=H124),"Leave end is before start",IF(AND(ISNUMBER(F124),ISNUMBER(G124),ISNUMBER(H124),ISNUMBER(I124),F124&lt;I124,H124&lt;G124),"Work and leave hours overlap",IF(AND(E124&lt;&gt;"",WEEKDAY(A124)=7),"Saturday - administrator only","")))))))</f>
        <v/>
      </c>
      <c r="T124" s="36" t="n">
        <f aca="false">MONTH(A124)</f>
        <v>4</v>
      </c>
      <c r="U124" s="37" t="b">
        <f aca="false">OR(C124="Workday",C124="Eve")</f>
        <v>1</v>
      </c>
      <c r="V124" s="34" t="n">
        <f aca="false">IF(C124="Eve",Settings!$B$8,Settings!$B$7)</f>
        <v>0.6875</v>
      </c>
      <c r="W124" s="14" t="n">
        <f aca="false">IF(U124,(V124-Settings!$B$6)*24,0)</f>
        <v>8.5</v>
      </c>
    </row>
    <row r="125" customFormat="false" ht="15" hidden="false" customHeight="false" outlineLevel="0" collapsed="false">
      <c r="A125" s="29" t="n">
        <v>46141</v>
      </c>
      <c r="B125" s="30" t="str">
        <f aca="false">CHOOSE(WEEKDAY(A125),"Sun","Mon","Tue","Wed","Thu","Fri","Sat")</f>
        <v>Wed</v>
      </c>
      <c r="C125" s="30" t="str">
        <f aca="false">IF(IFERROR(INDEX(Holidays!$D$5:$D$60,MATCH(A125,Holidays!$A$5:$A$60,0)),"")="Holiday","Holiday",IF(WEEKDAY(A125)&gt;=6,"Weekend",IF(IFERROR(INDEX(Holidays!$D$5:$D$60,MATCH(A125,Holidays!$A$5:$A$60,0)),"")="Eve","Eve","Workday")))</f>
        <v>Workday</v>
      </c>
      <c r="D125" s="18" t="str">
        <f aca="false">IFERROR(INDEX(Holidays!$C$5:$C$60,MATCH(A125,Holidays!$A$5:$A$60,0)),"")</f>
        <v/>
      </c>
      <c r="E125" s="31"/>
      <c r="F125" s="32"/>
      <c r="G125" s="32"/>
      <c r="H125" s="32"/>
      <c r="I125" s="32"/>
      <c r="J125" s="31"/>
      <c r="K125" s="33" t="str">
        <f aca="false">IF(E125&lt;&gt;"",E125,IF(U125,"Present",IF(C125="Holiday","Holiday","Weekend")))</f>
        <v>Present</v>
      </c>
      <c r="L125" s="34" t="n">
        <f aca="false">IF(OR(K125="Present",K125="Manual Work",K125="Partial Vacation",K125="Partial Sick Leave"),IF(ISNUMBER(F125),F125,IF(AND(K125="Present",U125),Settings!$B$6,"")),"")</f>
        <v>0.333333333333333</v>
      </c>
      <c r="M125" s="34" t="n">
        <f aca="false">IF(OR(K125="Present",K125="Manual Work",K125="Partial Vacation",K125="Partial Sick Leave"),IF(ISNUMBER(G125),G125,IF(AND(K125="Present",U125),V125,"")),"")</f>
        <v>0.6875</v>
      </c>
      <c r="N125" s="14" t="n">
        <f aca="false">IF(AND(ISNUMBER(L125),ISNUMBER(M125)),MAX(0,(M125-L125)*24),0)</f>
        <v>8.5</v>
      </c>
      <c r="O125" s="14" t="n">
        <f aca="false">IF(NOT(U125),0,IF(K125="Vacation",IF(C125="Eve",Settings!$B$9*Settings!$B$11,W125),IF(K125="Partial Vacation",IF(AND(ISNUMBER(H125),ISNUMBER(I125)),MAX(0,(I125-H125)*24),0),0)))</f>
        <v>0</v>
      </c>
      <c r="P125" s="14" t="n">
        <f aca="false">IF(NOT(U125),0,IF(K125="Sick Leave",W125,IF(K125="Partial Sick Leave",IF(AND(ISNUMBER(H125),ISNUMBER(I125)),MAX(0,(I125-H125)*24),0),0)))</f>
        <v>0</v>
      </c>
      <c r="Q125" s="14" t="n">
        <f aca="false">IF(NOT(U125),0,IF(K125="Vacation",IF(C125="Eve",Settings!$B$11,1),IF(K125="Partial Vacation",O125/Settings!$B$9,0)))</f>
        <v>0</v>
      </c>
      <c r="R125" s="14" t="n">
        <f aca="false">IF(NOT(U125),0,IF(K125="Sick Leave",1,IF(K125="Partial Sick Leave",P125/Settings!$B$9,0)))</f>
        <v>0</v>
      </c>
      <c r="S125" s="35" t="str">
        <f aca="false">IF(AND(OR(E125="Vacation",E125="Sick Leave",E125="Partial Vacation",E125="Partial Sick Leave"),NOT(U125)),"Leave not allowed on this day",IF(AND(E125="Manual Work",OR(NOT(ISNUMBER(F125)),NOT(ISNUMBER(G125)))),"Enter start and end",IF(AND(OR(E125="Partial Vacation",E125="Partial Sick Leave"),OR(NOT(ISNUMBER(H125)),NOT(ISNUMBER(I125)))),"Enter leave from and to",IF(AND(ISNUMBER(F125),ISNUMBER(G125),G125&lt;=F125),"End is before start",IF(AND(ISNUMBER(H125),ISNUMBER(I125),I125&lt;=H125),"Leave end is before start",IF(AND(ISNUMBER(F125),ISNUMBER(G125),ISNUMBER(H125),ISNUMBER(I125),F125&lt;I125,H125&lt;G125),"Work and leave hours overlap",IF(AND(E125&lt;&gt;"",WEEKDAY(A125)=7),"Saturday - administrator only","")))))))</f>
        <v/>
      </c>
      <c r="T125" s="36" t="n">
        <f aca="false">MONTH(A125)</f>
        <v>4</v>
      </c>
      <c r="U125" s="37" t="b">
        <f aca="false">OR(C125="Workday",C125="Eve")</f>
        <v>1</v>
      </c>
      <c r="V125" s="34" t="n">
        <f aca="false">IF(C125="Eve",Settings!$B$8,Settings!$B$7)</f>
        <v>0.6875</v>
      </c>
      <c r="W125" s="14" t="n">
        <f aca="false">IF(U125,(V125-Settings!$B$6)*24,0)</f>
        <v>8.5</v>
      </c>
    </row>
    <row r="126" customFormat="false" ht="15" hidden="false" customHeight="false" outlineLevel="0" collapsed="false">
      <c r="A126" s="29" t="n">
        <v>46142</v>
      </c>
      <c r="B126" s="30" t="str">
        <f aca="false">CHOOSE(WEEKDAY(A126),"Sun","Mon","Tue","Wed","Thu","Fri","Sat")</f>
        <v>Thu</v>
      </c>
      <c r="C126" s="30" t="str">
        <f aca="false">IF(IFERROR(INDEX(Holidays!$D$5:$D$60,MATCH(A126,Holidays!$A$5:$A$60,0)),"")="Holiday","Holiday",IF(WEEKDAY(A126)&gt;=6,"Weekend",IF(IFERROR(INDEX(Holidays!$D$5:$D$60,MATCH(A126,Holidays!$A$5:$A$60,0)),"")="Eve","Eve","Workday")))</f>
        <v>Workday</v>
      </c>
      <c r="D126" s="18" t="str">
        <f aca="false">IFERROR(INDEX(Holidays!$C$5:$C$60,MATCH(A126,Holidays!$A$5:$A$60,0)),"")</f>
        <v/>
      </c>
      <c r="E126" s="31"/>
      <c r="F126" s="32"/>
      <c r="G126" s="32"/>
      <c r="H126" s="32"/>
      <c r="I126" s="32"/>
      <c r="J126" s="31"/>
      <c r="K126" s="33" t="str">
        <f aca="false">IF(E126&lt;&gt;"",E126,IF(U126,"Present",IF(C126="Holiday","Holiday","Weekend")))</f>
        <v>Present</v>
      </c>
      <c r="L126" s="34" t="n">
        <f aca="false">IF(OR(K126="Present",K126="Manual Work",K126="Partial Vacation",K126="Partial Sick Leave"),IF(ISNUMBER(F126),F126,IF(AND(K126="Present",U126),Settings!$B$6,"")),"")</f>
        <v>0.333333333333333</v>
      </c>
      <c r="M126" s="34" t="n">
        <f aca="false">IF(OR(K126="Present",K126="Manual Work",K126="Partial Vacation",K126="Partial Sick Leave"),IF(ISNUMBER(G126),G126,IF(AND(K126="Present",U126),V126,"")),"")</f>
        <v>0.6875</v>
      </c>
      <c r="N126" s="14" t="n">
        <f aca="false">IF(AND(ISNUMBER(L126),ISNUMBER(M126)),MAX(0,(M126-L126)*24),0)</f>
        <v>8.5</v>
      </c>
      <c r="O126" s="14" t="n">
        <f aca="false">IF(NOT(U126),0,IF(K126="Vacation",IF(C126="Eve",Settings!$B$9*Settings!$B$11,W126),IF(K126="Partial Vacation",IF(AND(ISNUMBER(H126),ISNUMBER(I126)),MAX(0,(I126-H126)*24),0),0)))</f>
        <v>0</v>
      </c>
      <c r="P126" s="14" t="n">
        <f aca="false">IF(NOT(U126),0,IF(K126="Sick Leave",W126,IF(K126="Partial Sick Leave",IF(AND(ISNUMBER(H126),ISNUMBER(I126)),MAX(0,(I126-H126)*24),0),0)))</f>
        <v>0</v>
      </c>
      <c r="Q126" s="14" t="n">
        <f aca="false">IF(NOT(U126),0,IF(K126="Vacation",IF(C126="Eve",Settings!$B$11,1),IF(K126="Partial Vacation",O126/Settings!$B$9,0)))</f>
        <v>0</v>
      </c>
      <c r="R126" s="14" t="n">
        <f aca="false">IF(NOT(U126),0,IF(K126="Sick Leave",1,IF(K126="Partial Sick Leave",P126/Settings!$B$9,0)))</f>
        <v>0</v>
      </c>
      <c r="S126" s="35" t="str">
        <f aca="false">IF(AND(OR(E126="Vacation",E126="Sick Leave",E126="Partial Vacation",E126="Partial Sick Leave"),NOT(U126)),"Leave not allowed on this day",IF(AND(E126="Manual Work",OR(NOT(ISNUMBER(F126)),NOT(ISNUMBER(G126)))),"Enter start and end",IF(AND(OR(E126="Partial Vacation",E126="Partial Sick Leave"),OR(NOT(ISNUMBER(H126)),NOT(ISNUMBER(I126)))),"Enter leave from and to",IF(AND(ISNUMBER(F126),ISNUMBER(G126),G126&lt;=F126),"End is before start",IF(AND(ISNUMBER(H126),ISNUMBER(I126),I126&lt;=H126),"Leave end is before start",IF(AND(ISNUMBER(F126),ISNUMBER(G126),ISNUMBER(H126),ISNUMBER(I126),F126&lt;I126,H126&lt;G126),"Work and leave hours overlap",IF(AND(E126&lt;&gt;"",WEEKDAY(A126)=7),"Saturday - administrator only","")))))))</f>
        <v/>
      </c>
      <c r="T126" s="36" t="n">
        <f aca="false">MONTH(A126)</f>
        <v>4</v>
      </c>
      <c r="U126" s="37" t="b">
        <f aca="false">OR(C126="Workday",C126="Eve")</f>
        <v>1</v>
      </c>
      <c r="V126" s="34" t="n">
        <f aca="false">IF(C126="Eve",Settings!$B$8,Settings!$B$7)</f>
        <v>0.6875</v>
      </c>
      <c r="W126" s="14" t="n">
        <f aca="false">IF(U126,(V126-Settings!$B$6)*24,0)</f>
        <v>8.5</v>
      </c>
    </row>
    <row r="127" customFormat="false" ht="15" hidden="false" customHeight="false" outlineLevel="0" collapsed="false">
      <c r="A127" s="29" t="n">
        <v>46143</v>
      </c>
      <c r="B127" s="30" t="str">
        <f aca="false">CHOOSE(WEEKDAY(A127),"Sun","Mon","Tue","Wed","Thu","Fri","Sat")</f>
        <v>Fri</v>
      </c>
      <c r="C127" s="30" t="str">
        <f aca="false">IF(IFERROR(INDEX(Holidays!$D$5:$D$60,MATCH(A127,Holidays!$A$5:$A$60,0)),"")="Holiday","Holiday",IF(WEEKDAY(A127)&gt;=6,"Weekend",IF(IFERROR(INDEX(Holidays!$D$5:$D$60,MATCH(A127,Holidays!$A$5:$A$60,0)),"")="Eve","Eve","Workday")))</f>
        <v>Weekend</v>
      </c>
      <c r="D127" s="18" t="str">
        <f aca="false">IFERROR(INDEX(Holidays!$C$5:$C$60,MATCH(A127,Holidays!$A$5:$A$60,0)),"")</f>
        <v/>
      </c>
      <c r="E127" s="31"/>
      <c r="F127" s="32"/>
      <c r="G127" s="32"/>
      <c r="H127" s="32"/>
      <c r="I127" s="32"/>
      <c r="J127" s="31"/>
      <c r="K127" s="33" t="str">
        <f aca="false">IF(E127&lt;&gt;"",E127,IF(U127,"Present",IF(C127="Holiday","Holiday","Weekend")))</f>
        <v>Weekend</v>
      </c>
      <c r="L127" s="34" t="str">
        <f aca="false">IF(OR(K127="Present",K127="Manual Work",K127="Partial Vacation",K127="Partial Sick Leave"),IF(ISNUMBER(F127),F127,IF(AND(K127="Present",U127),Settings!$B$6,"")),"")</f>
        <v/>
      </c>
      <c r="M127" s="34" t="str">
        <f aca="false">IF(OR(K127="Present",K127="Manual Work",K127="Partial Vacation",K127="Partial Sick Leave"),IF(ISNUMBER(G127),G127,IF(AND(K127="Present",U127),V127,"")),"")</f>
        <v/>
      </c>
      <c r="N127" s="14" t="n">
        <f aca="false">IF(AND(ISNUMBER(L127),ISNUMBER(M127)),MAX(0,(M127-L127)*24),0)</f>
        <v>0</v>
      </c>
      <c r="O127" s="14" t="n">
        <f aca="false">IF(NOT(U127),0,IF(K127="Vacation",IF(C127="Eve",Settings!$B$9*Settings!$B$11,W127),IF(K127="Partial Vacation",IF(AND(ISNUMBER(H127),ISNUMBER(I127)),MAX(0,(I127-H127)*24),0),0)))</f>
        <v>0</v>
      </c>
      <c r="P127" s="14" t="n">
        <f aca="false">IF(NOT(U127),0,IF(K127="Sick Leave",W127,IF(K127="Partial Sick Leave",IF(AND(ISNUMBER(H127),ISNUMBER(I127)),MAX(0,(I127-H127)*24),0),0)))</f>
        <v>0</v>
      </c>
      <c r="Q127" s="14" t="n">
        <f aca="false">IF(NOT(U127),0,IF(K127="Vacation",IF(C127="Eve",Settings!$B$11,1),IF(K127="Partial Vacation",O127/Settings!$B$9,0)))</f>
        <v>0</v>
      </c>
      <c r="R127" s="14" t="n">
        <f aca="false">IF(NOT(U127),0,IF(K127="Sick Leave",1,IF(K127="Partial Sick Leave",P127/Settings!$B$9,0)))</f>
        <v>0</v>
      </c>
      <c r="S127" s="35" t="str">
        <f aca="false">IF(AND(OR(E127="Vacation",E127="Sick Leave",E127="Partial Vacation",E127="Partial Sick Leave"),NOT(U127)),"Leave not allowed on this day",IF(AND(E127="Manual Work",OR(NOT(ISNUMBER(F127)),NOT(ISNUMBER(G127)))),"Enter start and end",IF(AND(OR(E127="Partial Vacation",E127="Partial Sick Leave"),OR(NOT(ISNUMBER(H127)),NOT(ISNUMBER(I127)))),"Enter leave from and to",IF(AND(ISNUMBER(F127),ISNUMBER(G127),G127&lt;=F127),"End is before start",IF(AND(ISNUMBER(H127),ISNUMBER(I127),I127&lt;=H127),"Leave end is before start",IF(AND(ISNUMBER(F127),ISNUMBER(G127),ISNUMBER(H127),ISNUMBER(I127),F127&lt;I127,H127&lt;G127),"Work and leave hours overlap",IF(AND(E127&lt;&gt;"",WEEKDAY(A127)=7),"Saturday - administrator only","")))))))</f>
        <v/>
      </c>
      <c r="T127" s="36" t="n">
        <f aca="false">MONTH(A127)</f>
        <v>5</v>
      </c>
      <c r="U127" s="37" t="b">
        <f aca="false">OR(C127="Workday",C127="Eve")</f>
        <v>0</v>
      </c>
      <c r="V127" s="34" t="n">
        <f aca="false">IF(C127="Eve",Settings!$B$8,Settings!$B$7)</f>
        <v>0.6875</v>
      </c>
      <c r="W127" s="14" t="n">
        <f aca="false">IF(U127,(V127-Settings!$B$6)*24,0)</f>
        <v>0</v>
      </c>
    </row>
    <row r="128" customFormat="false" ht="15" hidden="false" customHeight="false" outlineLevel="0" collapsed="false">
      <c r="A128" s="29" t="n">
        <v>46144</v>
      </c>
      <c r="B128" s="30" t="str">
        <f aca="false">CHOOSE(WEEKDAY(A128),"Sun","Mon","Tue","Wed","Thu","Fri","Sat")</f>
        <v>Sat</v>
      </c>
      <c r="C128" s="30" t="str">
        <f aca="false">IF(IFERROR(INDEX(Holidays!$D$5:$D$60,MATCH(A128,Holidays!$A$5:$A$60,0)),"")="Holiday","Holiday",IF(WEEKDAY(A128)&gt;=6,"Weekend",IF(IFERROR(INDEX(Holidays!$D$5:$D$60,MATCH(A128,Holidays!$A$5:$A$60,0)),"")="Eve","Eve","Workday")))</f>
        <v>Weekend</v>
      </c>
      <c r="D128" s="18" t="str">
        <f aca="false">IFERROR(INDEX(Holidays!$C$5:$C$60,MATCH(A128,Holidays!$A$5:$A$60,0)),"")</f>
        <v/>
      </c>
      <c r="E128" s="31"/>
      <c r="F128" s="32"/>
      <c r="G128" s="32"/>
      <c r="H128" s="32"/>
      <c r="I128" s="32"/>
      <c r="J128" s="31"/>
      <c r="K128" s="33" t="str">
        <f aca="false">IF(E128&lt;&gt;"",E128,IF(U128,"Present",IF(C128="Holiday","Holiday","Weekend")))</f>
        <v>Weekend</v>
      </c>
      <c r="L128" s="34" t="str">
        <f aca="false">IF(OR(K128="Present",K128="Manual Work",K128="Partial Vacation",K128="Partial Sick Leave"),IF(ISNUMBER(F128),F128,IF(AND(K128="Present",U128),Settings!$B$6,"")),"")</f>
        <v/>
      </c>
      <c r="M128" s="34" t="str">
        <f aca="false">IF(OR(K128="Present",K128="Manual Work",K128="Partial Vacation",K128="Partial Sick Leave"),IF(ISNUMBER(G128),G128,IF(AND(K128="Present",U128),V128,"")),"")</f>
        <v/>
      </c>
      <c r="N128" s="14" t="n">
        <f aca="false">IF(AND(ISNUMBER(L128),ISNUMBER(M128)),MAX(0,(M128-L128)*24),0)</f>
        <v>0</v>
      </c>
      <c r="O128" s="14" t="n">
        <f aca="false">IF(NOT(U128),0,IF(K128="Vacation",IF(C128="Eve",Settings!$B$9*Settings!$B$11,W128),IF(K128="Partial Vacation",IF(AND(ISNUMBER(H128),ISNUMBER(I128)),MAX(0,(I128-H128)*24),0),0)))</f>
        <v>0</v>
      </c>
      <c r="P128" s="14" t="n">
        <f aca="false">IF(NOT(U128),0,IF(K128="Sick Leave",W128,IF(K128="Partial Sick Leave",IF(AND(ISNUMBER(H128),ISNUMBER(I128)),MAX(0,(I128-H128)*24),0),0)))</f>
        <v>0</v>
      </c>
      <c r="Q128" s="14" t="n">
        <f aca="false">IF(NOT(U128),0,IF(K128="Vacation",IF(C128="Eve",Settings!$B$11,1),IF(K128="Partial Vacation",O128/Settings!$B$9,0)))</f>
        <v>0</v>
      </c>
      <c r="R128" s="14" t="n">
        <f aca="false">IF(NOT(U128),0,IF(K128="Sick Leave",1,IF(K128="Partial Sick Leave",P128/Settings!$B$9,0)))</f>
        <v>0</v>
      </c>
      <c r="S128" s="35" t="str">
        <f aca="false">IF(AND(OR(E128="Vacation",E128="Sick Leave",E128="Partial Vacation",E128="Partial Sick Leave"),NOT(U128)),"Leave not allowed on this day",IF(AND(E128="Manual Work",OR(NOT(ISNUMBER(F128)),NOT(ISNUMBER(G128)))),"Enter start and end",IF(AND(OR(E128="Partial Vacation",E128="Partial Sick Leave"),OR(NOT(ISNUMBER(H128)),NOT(ISNUMBER(I128)))),"Enter leave from and to",IF(AND(ISNUMBER(F128),ISNUMBER(G128),G128&lt;=F128),"End is before start",IF(AND(ISNUMBER(H128),ISNUMBER(I128),I128&lt;=H128),"Leave end is before start",IF(AND(ISNUMBER(F128),ISNUMBER(G128),ISNUMBER(H128),ISNUMBER(I128),F128&lt;I128,H128&lt;G128),"Work and leave hours overlap",IF(AND(E128&lt;&gt;"",WEEKDAY(A128)=7),"Saturday - administrator only","")))))))</f>
        <v/>
      </c>
      <c r="T128" s="36" t="n">
        <f aca="false">MONTH(A128)</f>
        <v>5</v>
      </c>
      <c r="U128" s="37" t="b">
        <f aca="false">OR(C128="Workday",C128="Eve")</f>
        <v>0</v>
      </c>
      <c r="V128" s="34" t="n">
        <f aca="false">IF(C128="Eve",Settings!$B$8,Settings!$B$7)</f>
        <v>0.6875</v>
      </c>
      <c r="W128" s="14" t="n">
        <f aca="false">IF(U128,(V128-Settings!$B$6)*24,0)</f>
        <v>0</v>
      </c>
    </row>
    <row r="129" customFormat="false" ht="15" hidden="false" customHeight="false" outlineLevel="0" collapsed="false">
      <c r="A129" s="29" t="n">
        <v>46145</v>
      </c>
      <c r="B129" s="30" t="str">
        <f aca="false">CHOOSE(WEEKDAY(A129),"Sun","Mon","Tue","Wed","Thu","Fri","Sat")</f>
        <v>Sun</v>
      </c>
      <c r="C129" s="30" t="str">
        <f aca="false">IF(IFERROR(INDEX(Holidays!$D$5:$D$60,MATCH(A129,Holidays!$A$5:$A$60,0)),"")="Holiday","Holiday",IF(WEEKDAY(A129)&gt;=6,"Weekend",IF(IFERROR(INDEX(Holidays!$D$5:$D$60,MATCH(A129,Holidays!$A$5:$A$60,0)),"")="Eve","Eve","Workday")))</f>
        <v>Workday</v>
      </c>
      <c r="D129" s="18" t="str">
        <f aca="false">IFERROR(INDEX(Holidays!$C$5:$C$60,MATCH(A129,Holidays!$A$5:$A$60,0)),"")</f>
        <v/>
      </c>
      <c r="E129" s="31"/>
      <c r="F129" s="32"/>
      <c r="G129" s="32"/>
      <c r="H129" s="32"/>
      <c r="I129" s="32"/>
      <c r="J129" s="31"/>
      <c r="K129" s="33" t="str">
        <f aca="false">IF(E129&lt;&gt;"",E129,IF(U129,"Present",IF(C129="Holiday","Holiday","Weekend")))</f>
        <v>Present</v>
      </c>
      <c r="L129" s="34" t="n">
        <f aca="false">IF(OR(K129="Present",K129="Manual Work",K129="Partial Vacation",K129="Partial Sick Leave"),IF(ISNUMBER(F129),F129,IF(AND(K129="Present",U129),Settings!$B$6,"")),"")</f>
        <v>0.333333333333333</v>
      </c>
      <c r="M129" s="34" t="n">
        <f aca="false">IF(OR(K129="Present",K129="Manual Work",K129="Partial Vacation",K129="Partial Sick Leave"),IF(ISNUMBER(G129),G129,IF(AND(K129="Present",U129),V129,"")),"")</f>
        <v>0.6875</v>
      </c>
      <c r="N129" s="14" t="n">
        <f aca="false">IF(AND(ISNUMBER(L129),ISNUMBER(M129)),MAX(0,(M129-L129)*24),0)</f>
        <v>8.5</v>
      </c>
      <c r="O129" s="14" t="n">
        <f aca="false">IF(NOT(U129),0,IF(K129="Vacation",IF(C129="Eve",Settings!$B$9*Settings!$B$11,W129),IF(K129="Partial Vacation",IF(AND(ISNUMBER(H129),ISNUMBER(I129)),MAX(0,(I129-H129)*24),0),0)))</f>
        <v>0</v>
      </c>
      <c r="P129" s="14" t="n">
        <f aca="false">IF(NOT(U129),0,IF(K129="Sick Leave",W129,IF(K129="Partial Sick Leave",IF(AND(ISNUMBER(H129),ISNUMBER(I129)),MAX(0,(I129-H129)*24),0),0)))</f>
        <v>0</v>
      </c>
      <c r="Q129" s="14" t="n">
        <f aca="false">IF(NOT(U129),0,IF(K129="Vacation",IF(C129="Eve",Settings!$B$11,1),IF(K129="Partial Vacation",O129/Settings!$B$9,0)))</f>
        <v>0</v>
      </c>
      <c r="R129" s="14" t="n">
        <f aca="false">IF(NOT(U129),0,IF(K129="Sick Leave",1,IF(K129="Partial Sick Leave",P129/Settings!$B$9,0)))</f>
        <v>0</v>
      </c>
      <c r="S129" s="35" t="str">
        <f aca="false">IF(AND(OR(E129="Vacation",E129="Sick Leave",E129="Partial Vacation",E129="Partial Sick Leave"),NOT(U129)),"Leave not allowed on this day",IF(AND(E129="Manual Work",OR(NOT(ISNUMBER(F129)),NOT(ISNUMBER(G129)))),"Enter start and end",IF(AND(OR(E129="Partial Vacation",E129="Partial Sick Leave"),OR(NOT(ISNUMBER(H129)),NOT(ISNUMBER(I129)))),"Enter leave from and to",IF(AND(ISNUMBER(F129),ISNUMBER(G129),G129&lt;=F129),"End is before start",IF(AND(ISNUMBER(H129),ISNUMBER(I129),I129&lt;=H129),"Leave end is before start",IF(AND(ISNUMBER(F129),ISNUMBER(G129),ISNUMBER(H129),ISNUMBER(I129),F129&lt;I129,H129&lt;G129),"Work and leave hours overlap",IF(AND(E129&lt;&gt;"",WEEKDAY(A129)=7),"Saturday - administrator only","")))))))</f>
        <v/>
      </c>
      <c r="T129" s="36" t="n">
        <f aca="false">MONTH(A129)</f>
        <v>5</v>
      </c>
      <c r="U129" s="37" t="b">
        <f aca="false">OR(C129="Workday",C129="Eve")</f>
        <v>1</v>
      </c>
      <c r="V129" s="34" t="n">
        <f aca="false">IF(C129="Eve",Settings!$B$8,Settings!$B$7)</f>
        <v>0.6875</v>
      </c>
      <c r="W129" s="14" t="n">
        <f aca="false">IF(U129,(V129-Settings!$B$6)*24,0)</f>
        <v>8.5</v>
      </c>
    </row>
    <row r="130" customFormat="false" ht="15" hidden="false" customHeight="false" outlineLevel="0" collapsed="false">
      <c r="A130" s="29" t="n">
        <v>46146</v>
      </c>
      <c r="B130" s="30" t="str">
        <f aca="false">CHOOSE(WEEKDAY(A130),"Sun","Mon","Tue","Wed","Thu","Fri","Sat")</f>
        <v>Mon</v>
      </c>
      <c r="C130" s="30" t="str">
        <f aca="false">IF(IFERROR(INDEX(Holidays!$D$5:$D$60,MATCH(A130,Holidays!$A$5:$A$60,0)),"")="Holiday","Holiday",IF(WEEKDAY(A130)&gt;=6,"Weekend",IF(IFERROR(INDEX(Holidays!$D$5:$D$60,MATCH(A130,Holidays!$A$5:$A$60,0)),"")="Eve","Eve","Workday")))</f>
        <v>Workday</v>
      </c>
      <c r="D130" s="18" t="str">
        <f aca="false">IFERROR(INDEX(Holidays!$C$5:$C$60,MATCH(A130,Holidays!$A$5:$A$60,0)),"")</f>
        <v/>
      </c>
      <c r="E130" s="31"/>
      <c r="F130" s="32"/>
      <c r="G130" s="32"/>
      <c r="H130" s="32"/>
      <c r="I130" s="32"/>
      <c r="J130" s="31"/>
      <c r="K130" s="33" t="str">
        <f aca="false">IF(E130&lt;&gt;"",E130,IF(U130,"Present",IF(C130="Holiday","Holiday","Weekend")))</f>
        <v>Present</v>
      </c>
      <c r="L130" s="34" t="n">
        <f aca="false">IF(OR(K130="Present",K130="Manual Work",K130="Partial Vacation",K130="Partial Sick Leave"),IF(ISNUMBER(F130),F130,IF(AND(K130="Present",U130),Settings!$B$6,"")),"")</f>
        <v>0.333333333333333</v>
      </c>
      <c r="M130" s="34" t="n">
        <f aca="false">IF(OR(K130="Present",K130="Manual Work",K130="Partial Vacation",K130="Partial Sick Leave"),IF(ISNUMBER(G130),G130,IF(AND(K130="Present",U130),V130,"")),"")</f>
        <v>0.6875</v>
      </c>
      <c r="N130" s="14" t="n">
        <f aca="false">IF(AND(ISNUMBER(L130),ISNUMBER(M130)),MAX(0,(M130-L130)*24),0)</f>
        <v>8.5</v>
      </c>
      <c r="O130" s="14" t="n">
        <f aca="false">IF(NOT(U130),0,IF(K130="Vacation",IF(C130="Eve",Settings!$B$9*Settings!$B$11,W130),IF(K130="Partial Vacation",IF(AND(ISNUMBER(H130),ISNUMBER(I130)),MAX(0,(I130-H130)*24),0),0)))</f>
        <v>0</v>
      </c>
      <c r="P130" s="14" t="n">
        <f aca="false">IF(NOT(U130),0,IF(K130="Sick Leave",W130,IF(K130="Partial Sick Leave",IF(AND(ISNUMBER(H130),ISNUMBER(I130)),MAX(0,(I130-H130)*24),0),0)))</f>
        <v>0</v>
      </c>
      <c r="Q130" s="14" t="n">
        <f aca="false">IF(NOT(U130),0,IF(K130="Vacation",IF(C130="Eve",Settings!$B$11,1),IF(K130="Partial Vacation",O130/Settings!$B$9,0)))</f>
        <v>0</v>
      </c>
      <c r="R130" s="14" t="n">
        <f aca="false">IF(NOT(U130),0,IF(K130="Sick Leave",1,IF(K130="Partial Sick Leave",P130/Settings!$B$9,0)))</f>
        <v>0</v>
      </c>
      <c r="S130" s="35" t="str">
        <f aca="false">IF(AND(OR(E130="Vacation",E130="Sick Leave",E130="Partial Vacation",E130="Partial Sick Leave"),NOT(U130)),"Leave not allowed on this day",IF(AND(E130="Manual Work",OR(NOT(ISNUMBER(F130)),NOT(ISNUMBER(G130)))),"Enter start and end",IF(AND(OR(E130="Partial Vacation",E130="Partial Sick Leave"),OR(NOT(ISNUMBER(H130)),NOT(ISNUMBER(I130)))),"Enter leave from and to",IF(AND(ISNUMBER(F130),ISNUMBER(G130),G130&lt;=F130),"End is before start",IF(AND(ISNUMBER(H130),ISNUMBER(I130),I130&lt;=H130),"Leave end is before start",IF(AND(ISNUMBER(F130),ISNUMBER(G130),ISNUMBER(H130),ISNUMBER(I130),F130&lt;I130,H130&lt;G130),"Work and leave hours overlap",IF(AND(E130&lt;&gt;"",WEEKDAY(A130)=7),"Saturday - administrator only","")))))))</f>
        <v/>
      </c>
      <c r="T130" s="36" t="n">
        <f aca="false">MONTH(A130)</f>
        <v>5</v>
      </c>
      <c r="U130" s="37" t="b">
        <f aca="false">OR(C130="Workday",C130="Eve")</f>
        <v>1</v>
      </c>
      <c r="V130" s="34" t="n">
        <f aca="false">IF(C130="Eve",Settings!$B$8,Settings!$B$7)</f>
        <v>0.6875</v>
      </c>
      <c r="W130" s="14" t="n">
        <f aca="false">IF(U130,(V130-Settings!$B$6)*24,0)</f>
        <v>8.5</v>
      </c>
    </row>
    <row r="131" customFormat="false" ht="15" hidden="false" customHeight="false" outlineLevel="0" collapsed="false">
      <c r="A131" s="29" t="n">
        <v>46147</v>
      </c>
      <c r="B131" s="30" t="str">
        <f aca="false">CHOOSE(WEEKDAY(A131),"Sun","Mon","Tue","Wed","Thu","Fri","Sat")</f>
        <v>Tue</v>
      </c>
      <c r="C131" s="30" t="str">
        <f aca="false">IF(IFERROR(INDEX(Holidays!$D$5:$D$60,MATCH(A131,Holidays!$A$5:$A$60,0)),"")="Holiday","Holiday",IF(WEEKDAY(A131)&gt;=6,"Weekend",IF(IFERROR(INDEX(Holidays!$D$5:$D$60,MATCH(A131,Holidays!$A$5:$A$60,0)),"")="Eve","Eve","Workday")))</f>
        <v>Workday</v>
      </c>
      <c r="D131" s="18" t="str">
        <f aca="false">IFERROR(INDEX(Holidays!$C$5:$C$60,MATCH(A131,Holidays!$A$5:$A$60,0)),"")</f>
        <v/>
      </c>
      <c r="E131" s="31"/>
      <c r="F131" s="32"/>
      <c r="G131" s="32"/>
      <c r="H131" s="32"/>
      <c r="I131" s="32"/>
      <c r="J131" s="31"/>
      <c r="K131" s="33" t="str">
        <f aca="false">IF(E131&lt;&gt;"",E131,IF(U131,"Present",IF(C131="Holiday","Holiday","Weekend")))</f>
        <v>Present</v>
      </c>
      <c r="L131" s="34" t="n">
        <f aca="false">IF(OR(K131="Present",K131="Manual Work",K131="Partial Vacation",K131="Partial Sick Leave"),IF(ISNUMBER(F131),F131,IF(AND(K131="Present",U131),Settings!$B$6,"")),"")</f>
        <v>0.333333333333333</v>
      </c>
      <c r="M131" s="34" t="n">
        <f aca="false">IF(OR(K131="Present",K131="Manual Work",K131="Partial Vacation",K131="Partial Sick Leave"),IF(ISNUMBER(G131),G131,IF(AND(K131="Present",U131),V131,"")),"")</f>
        <v>0.6875</v>
      </c>
      <c r="N131" s="14" t="n">
        <f aca="false">IF(AND(ISNUMBER(L131),ISNUMBER(M131)),MAX(0,(M131-L131)*24),0)</f>
        <v>8.5</v>
      </c>
      <c r="O131" s="14" t="n">
        <f aca="false">IF(NOT(U131),0,IF(K131="Vacation",IF(C131="Eve",Settings!$B$9*Settings!$B$11,W131),IF(K131="Partial Vacation",IF(AND(ISNUMBER(H131),ISNUMBER(I131)),MAX(0,(I131-H131)*24),0),0)))</f>
        <v>0</v>
      </c>
      <c r="P131" s="14" t="n">
        <f aca="false">IF(NOT(U131),0,IF(K131="Sick Leave",W131,IF(K131="Partial Sick Leave",IF(AND(ISNUMBER(H131),ISNUMBER(I131)),MAX(0,(I131-H131)*24),0),0)))</f>
        <v>0</v>
      </c>
      <c r="Q131" s="14" t="n">
        <f aca="false">IF(NOT(U131),0,IF(K131="Vacation",IF(C131="Eve",Settings!$B$11,1),IF(K131="Partial Vacation",O131/Settings!$B$9,0)))</f>
        <v>0</v>
      </c>
      <c r="R131" s="14" t="n">
        <f aca="false">IF(NOT(U131),0,IF(K131="Sick Leave",1,IF(K131="Partial Sick Leave",P131/Settings!$B$9,0)))</f>
        <v>0</v>
      </c>
      <c r="S131" s="35" t="str">
        <f aca="false">IF(AND(OR(E131="Vacation",E131="Sick Leave",E131="Partial Vacation",E131="Partial Sick Leave"),NOT(U131)),"Leave not allowed on this day",IF(AND(E131="Manual Work",OR(NOT(ISNUMBER(F131)),NOT(ISNUMBER(G131)))),"Enter start and end",IF(AND(OR(E131="Partial Vacation",E131="Partial Sick Leave"),OR(NOT(ISNUMBER(H131)),NOT(ISNUMBER(I131)))),"Enter leave from and to",IF(AND(ISNUMBER(F131),ISNUMBER(G131),G131&lt;=F131),"End is before start",IF(AND(ISNUMBER(H131),ISNUMBER(I131),I131&lt;=H131),"Leave end is before start",IF(AND(ISNUMBER(F131),ISNUMBER(G131),ISNUMBER(H131),ISNUMBER(I131),F131&lt;I131,H131&lt;G131),"Work and leave hours overlap",IF(AND(E131&lt;&gt;"",WEEKDAY(A131)=7),"Saturday - administrator only","")))))))</f>
        <v/>
      </c>
      <c r="T131" s="36" t="n">
        <f aca="false">MONTH(A131)</f>
        <v>5</v>
      </c>
      <c r="U131" s="37" t="b">
        <f aca="false">OR(C131="Workday",C131="Eve")</f>
        <v>1</v>
      </c>
      <c r="V131" s="34" t="n">
        <f aca="false">IF(C131="Eve",Settings!$B$8,Settings!$B$7)</f>
        <v>0.6875</v>
      </c>
      <c r="W131" s="14" t="n">
        <f aca="false">IF(U131,(V131-Settings!$B$6)*24,0)</f>
        <v>8.5</v>
      </c>
    </row>
    <row r="132" customFormat="false" ht="15" hidden="false" customHeight="false" outlineLevel="0" collapsed="false">
      <c r="A132" s="29" t="n">
        <v>46148</v>
      </c>
      <c r="B132" s="30" t="str">
        <f aca="false">CHOOSE(WEEKDAY(A132),"Sun","Mon","Tue","Wed","Thu","Fri","Sat")</f>
        <v>Wed</v>
      </c>
      <c r="C132" s="30" t="str">
        <f aca="false">IF(IFERROR(INDEX(Holidays!$D$5:$D$60,MATCH(A132,Holidays!$A$5:$A$60,0)),"")="Holiday","Holiday",IF(WEEKDAY(A132)&gt;=6,"Weekend",IF(IFERROR(INDEX(Holidays!$D$5:$D$60,MATCH(A132,Holidays!$A$5:$A$60,0)),"")="Eve","Eve","Workday")))</f>
        <v>Workday</v>
      </c>
      <c r="D132" s="18" t="str">
        <f aca="false">IFERROR(INDEX(Holidays!$C$5:$C$60,MATCH(A132,Holidays!$A$5:$A$60,0)),"")</f>
        <v/>
      </c>
      <c r="E132" s="31"/>
      <c r="F132" s="32"/>
      <c r="G132" s="32"/>
      <c r="H132" s="32"/>
      <c r="I132" s="32"/>
      <c r="J132" s="31"/>
      <c r="K132" s="33" t="str">
        <f aca="false">IF(E132&lt;&gt;"",E132,IF(U132,"Present",IF(C132="Holiday","Holiday","Weekend")))</f>
        <v>Present</v>
      </c>
      <c r="L132" s="34" t="n">
        <f aca="false">IF(OR(K132="Present",K132="Manual Work",K132="Partial Vacation",K132="Partial Sick Leave"),IF(ISNUMBER(F132),F132,IF(AND(K132="Present",U132),Settings!$B$6,"")),"")</f>
        <v>0.333333333333333</v>
      </c>
      <c r="M132" s="34" t="n">
        <f aca="false">IF(OR(K132="Present",K132="Manual Work",K132="Partial Vacation",K132="Partial Sick Leave"),IF(ISNUMBER(G132),G132,IF(AND(K132="Present",U132),V132,"")),"")</f>
        <v>0.6875</v>
      </c>
      <c r="N132" s="14" t="n">
        <f aca="false">IF(AND(ISNUMBER(L132),ISNUMBER(M132)),MAX(0,(M132-L132)*24),0)</f>
        <v>8.5</v>
      </c>
      <c r="O132" s="14" t="n">
        <f aca="false">IF(NOT(U132),0,IF(K132="Vacation",IF(C132="Eve",Settings!$B$9*Settings!$B$11,W132),IF(K132="Partial Vacation",IF(AND(ISNUMBER(H132),ISNUMBER(I132)),MAX(0,(I132-H132)*24),0),0)))</f>
        <v>0</v>
      </c>
      <c r="P132" s="14" t="n">
        <f aca="false">IF(NOT(U132),0,IF(K132="Sick Leave",W132,IF(K132="Partial Sick Leave",IF(AND(ISNUMBER(H132),ISNUMBER(I132)),MAX(0,(I132-H132)*24),0),0)))</f>
        <v>0</v>
      </c>
      <c r="Q132" s="14" t="n">
        <f aca="false">IF(NOT(U132),0,IF(K132="Vacation",IF(C132="Eve",Settings!$B$11,1),IF(K132="Partial Vacation",O132/Settings!$B$9,0)))</f>
        <v>0</v>
      </c>
      <c r="R132" s="14" t="n">
        <f aca="false">IF(NOT(U132),0,IF(K132="Sick Leave",1,IF(K132="Partial Sick Leave",P132/Settings!$B$9,0)))</f>
        <v>0</v>
      </c>
      <c r="S132" s="35" t="str">
        <f aca="false">IF(AND(OR(E132="Vacation",E132="Sick Leave",E132="Partial Vacation",E132="Partial Sick Leave"),NOT(U132)),"Leave not allowed on this day",IF(AND(E132="Manual Work",OR(NOT(ISNUMBER(F132)),NOT(ISNUMBER(G132)))),"Enter start and end",IF(AND(OR(E132="Partial Vacation",E132="Partial Sick Leave"),OR(NOT(ISNUMBER(H132)),NOT(ISNUMBER(I132)))),"Enter leave from and to",IF(AND(ISNUMBER(F132),ISNUMBER(G132),G132&lt;=F132),"End is before start",IF(AND(ISNUMBER(H132),ISNUMBER(I132),I132&lt;=H132),"Leave end is before start",IF(AND(ISNUMBER(F132),ISNUMBER(G132),ISNUMBER(H132),ISNUMBER(I132),F132&lt;I132,H132&lt;G132),"Work and leave hours overlap",IF(AND(E132&lt;&gt;"",WEEKDAY(A132)=7),"Saturday - administrator only","")))))))</f>
        <v/>
      </c>
      <c r="T132" s="36" t="n">
        <f aca="false">MONTH(A132)</f>
        <v>5</v>
      </c>
      <c r="U132" s="37" t="b">
        <f aca="false">OR(C132="Workday",C132="Eve")</f>
        <v>1</v>
      </c>
      <c r="V132" s="34" t="n">
        <f aca="false">IF(C132="Eve",Settings!$B$8,Settings!$B$7)</f>
        <v>0.6875</v>
      </c>
      <c r="W132" s="14" t="n">
        <f aca="false">IF(U132,(V132-Settings!$B$6)*24,0)</f>
        <v>8.5</v>
      </c>
    </row>
    <row r="133" customFormat="false" ht="15" hidden="false" customHeight="false" outlineLevel="0" collapsed="false">
      <c r="A133" s="29" t="n">
        <v>46149</v>
      </c>
      <c r="B133" s="30" t="str">
        <f aca="false">CHOOSE(WEEKDAY(A133),"Sun","Mon","Tue","Wed","Thu","Fri","Sat")</f>
        <v>Thu</v>
      </c>
      <c r="C133" s="30" t="str">
        <f aca="false">IF(IFERROR(INDEX(Holidays!$D$5:$D$60,MATCH(A133,Holidays!$A$5:$A$60,0)),"")="Holiday","Holiday",IF(WEEKDAY(A133)&gt;=6,"Weekend",IF(IFERROR(INDEX(Holidays!$D$5:$D$60,MATCH(A133,Holidays!$A$5:$A$60,0)),"")="Eve","Eve","Workday")))</f>
        <v>Workday</v>
      </c>
      <c r="D133" s="18" t="str">
        <f aca="false">IFERROR(INDEX(Holidays!$C$5:$C$60,MATCH(A133,Holidays!$A$5:$A$60,0)),"")</f>
        <v/>
      </c>
      <c r="E133" s="31"/>
      <c r="F133" s="32"/>
      <c r="G133" s="32"/>
      <c r="H133" s="32"/>
      <c r="I133" s="32"/>
      <c r="J133" s="31"/>
      <c r="K133" s="33" t="str">
        <f aca="false">IF(E133&lt;&gt;"",E133,IF(U133,"Present",IF(C133="Holiday","Holiday","Weekend")))</f>
        <v>Present</v>
      </c>
      <c r="L133" s="34" t="n">
        <f aca="false">IF(OR(K133="Present",K133="Manual Work",K133="Partial Vacation",K133="Partial Sick Leave"),IF(ISNUMBER(F133),F133,IF(AND(K133="Present",U133),Settings!$B$6,"")),"")</f>
        <v>0.333333333333333</v>
      </c>
      <c r="M133" s="34" t="n">
        <f aca="false">IF(OR(K133="Present",K133="Manual Work",K133="Partial Vacation",K133="Partial Sick Leave"),IF(ISNUMBER(G133),G133,IF(AND(K133="Present",U133),V133,"")),"")</f>
        <v>0.6875</v>
      </c>
      <c r="N133" s="14" t="n">
        <f aca="false">IF(AND(ISNUMBER(L133),ISNUMBER(M133)),MAX(0,(M133-L133)*24),0)</f>
        <v>8.5</v>
      </c>
      <c r="O133" s="14" t="n">
        <f aca="false">IF(NOT(U133),0,IF(K133="Vacation",IF(C133="Eve",Settings!$B$9*Settings!$B$11,W133),IF(K133="Partial Vacation",IF(AND(ISNUMBER(H133),ISNUMBER(I133)),MAX(0,(I133-H133)*24),0),0)))</f>
        <v>0</v>
      </c>
      <c r="P133" s="14" t="n">
        <f aca="false">IF(NOT(U133),0,IF(K133="Sick Leave",W133,IF(K133="Partial Sick Leave",IF(AND(ISNUMBER(H133),ISNUMBER(I133)),MAX(0,(I133-H133)*24),0),0)))</f>
        <v>0</v>
      </c>
      <c r="Q133" s="14" t="n">
        <f aca="false">IF(NOT(U133),0,IF(K133="Vacation",IF(C133="Eve",Settings!$B$11,1),IF(K133="Partial Vacation",O133/Settings!$B$9,0)))</f>
        <v>0</v>
      </c>
      <c r="R133" s="14" t="n">
        <f aca="false">IF(NOT(U133),0,IF(K133="Sick Leave",1,IF(K133="Partial Sick Leave",P133/Settings!$B$9,0)))</f>
        <v>0</v>
      </c>
      <c r="S133" s="35" t="str">
        <f aca="false">IF(AND(OR(E133="Vacation",E133="Sick Leave",E133="Partial Vacation",E133="Partial Sick Leave"),NOT(U133)),"Leave not allowed on this day",IF(AND(E133="Manual Work",OR(NOT(ISNUMBER(F133)),NOT(ISNUMBER(G133)))),"Enter start and end",IF(AND(OR(E133="Partial Vacation",E133="Partial Sick Leave"),OR(NOT(ISNUMBER(H133)),NOT(ISNUMBER(I133)))),"Enter leave from and to",IF(AND(ISNUMBER(F133),ISNUMBER(G133),G133&lt;=F133),"End is before start",IF(AND(ISNUMBER(H133),ISNUMBER(I133),I133&lt;=H133),"Leave end is before start",IF(AND(ISNUMBER(F133),ISNUMBER(G133),ISNUMBER(H133),ISNUMBER(I133),F133&lt;I133,H133&lt;G133),"Work and leave hours overlap",IF(AND(E133&lt;&gt;"",WEEKDAY(A133)=7),"Saturday - administrator only","")))))))</f>
        <v/>
      </c>
      <c r="T133" s="36" t="n">
        <f aca="false">MONTH(A133)</f>
        <v>5</v>
      </c>
      <c r="U133" s="37" t="b">
        <f aca="false">OR(C133="Workday",C133="Eve")</f>
        <v>1</v>
      </c>
      <c r="V133" s="34" t="n">
        <f aca="false">IF(C133="Eve",Settings!$B$8,Settings!$B$7)</f>
        <v>0.6875</v>
      </c>
      <c r="W133" s="14" t="n">
        <f aca="false">IF(U133,(V133-Settings!$B$6)*24,0)</f>
        <v>8.5</v>
      </c>
    </row>
    <row r="134" customFormat="false" ht="15" hidden="false" customHeight="false" outlineLevel="0" collapsed="false">
      <c r="A134" s="29" t="n">
        <v>46150</v>
      </c>
      <c r="B134" s="30" t="str">
        <f aca="false">CHOOSE(WEEKDAY(A134),"Sun","Mon","Tue","Wed","Thu","Fri","Sat")</f>
        <v>Fri</v>
      </c>
      <c r="C134" s="30" t="str">
        <f aca="false">IF(IFERROR(INDEX(Holidays!$D$5:$D$60,MATCH(A134,Holidays!$A$5:$A$60,0)),"")="Holiday","Holiday",IF(WEEKDAY(A134)&gt;=6,"Weekend",IF(IFERROR(INDEX(Holidays!$D$5:$D$60,MATCH(A134,Holidays!$A$5:$A$60,0)),"")="Eve","Eve","Workday")))</f>
        <v>Weekend</v>
      </c>
      <c r="D134" s="18" t="str">
        <f aca="false">IFERROR(INDEX(Holidays!$C$5:$C$60,MATCH(A134,Holidays!$A$5:$A$60,0)),"")</f>
        <v/>
      </c>
      <c r="E134" s="31"/>
      <c r="F134" s="32"/>
      <c r="G134" s="32"/>
      <c r="H134" s="32"/>
      <c r="I134" s="32"/>
      <c r="J134" s="31"/>
      <c r="K134" s="33" t="str">
        <f aca="false">IF(E134&lt;&gt;"",E134,IF(U134,"Present",IF(C134="Holiday","Holiday","Weekend")))</f>
        <v>Weekend</v>
      </c>
      <c r="L134" s="34" t="str">
        <f aca="false">IF(OR(K134="Present",K134="Manual Work",K134="Partial Vacation",K134="Partial Sick Leave"),IF(ISNUMBER(F134),F134,IF(AND(K134="Present",U134),Settings!$B$6,"")),"")</f>
        <v/>
      </c>
      <c r="M134" s="34" t="str">
        <f aca="false">IF(OR(K134="Present",K134="Manual Work",K134="Partial Vacation",K134="Partial Sick Leave"),IF(ISNUMBER(G134),G134,IF(AND(K134="Present",U134),V134,"")),"")</f>
        <v/>
      </c>
      <c r="N134" s="14" t="n">
        <f aca="false">IF(AND(ISNUMBER(L134),ISNUMBER(M134)),MAX(0,(M134-L134)*24),0)</f>
        <v>0</v>
      </c>
      <c r="O134" s="14" t="n">
        <f aca="false">IF(NOT(U134),0,IF(K134="Vacation",IF(C134="Eve",Settings!$B$9*Settings!$B$11,W134),IF(K134="Partial Vacation",IF(AND(ISNUMBER(H134),ISNUMBER(I134)),MAX(0,(I134-H134)*24),0),0)))</f>
        <v>0</v>
      </c>
      <c r="P134" s="14" t="n">
        <f aca="false">IF(NOT(U134),0,IF(K134="Sick Leave",W134,IF(K134="Partial Sick Leave",IF(AND(ISNUMBER(H134),ISNUMBER(I134)),MAX(0,(I134-H134)*24),0),0)))</f>
        <v>0</v>
      </c>
      <c r="Q134" s="14" t="n">
        <f aca="false">IF(NOT(U134),0,IF(K134="Vacation",IF(C134="Eve",Settings!$B$11,1),IF(K134="Partial Vacation",O134/Settings!$B$9,0)))</f>
        <v>0</v>
      </c>
      <c r="R134" s="14" t="n">
        <f aca="false">IF(NOT(U134),0,IF(K134="Sick Leave",1,IF(K134="Partial Sick Leave",P134/Settings!$B$9,0)))</f>
        <v>0</v>
      </c>
      <c r="S134" s="35" t="str">
        <f aca="false">IF(AND(OR(E134="Vacation",E134="Sick Leave",E134="Partial Vacation",E134="Partial Sick Leave"),NOT(U134)),"Leave not allowed on this day",IF(AND(E134="Manual Work",OR(NOT(ISNUMBER(F134)),NOT(ISNUMBER(G134)))),"Enter start and end",IF(AND(OR(E134="Partial Vacation",E134="Partial Sick Leave"),OR(NOT(ISNUMBER(H134)),NOT(ISNUMBER(I134)))),"Enter leave from and to",IF(AND(ISNUMBER(F134),ISNUMBER(G134),G134&lt;=F134),"End is before start",IF(AND(ISNUMBER(H134),ISNUMBER(I134),I134&lt;=H134),"Leave end is before start",IF(AND(ISNUMBER(F134),ISNUMBER(G134),ISNUMBER(H134),ISNUMBER(I134),F134&lt;I134,H134&lt;G134),"Work and leave hours overlap",IF(AND(E134&lt;&gt;"",WEEKDAY(A134)=7),"Saturday - administrator only","")))))))</f>
        <v/>
      </c>
      <c r="T134" s="36" t="n">
        <f aca="false">MONTH(A134)</f>
        <v>5</v>
      </c>
      <c r="U134" s="37" t="b">
        <f aca="false">OR(C134="Workday",C134="Eve")</f>
        <v>0</v>
      </c>
      <c r="V134" s="34" t="n">
        <f aca="false">IF(C134="Eve",Settings!$B$8,Settings!$B$7)</f>
        <v>0.6875</v>
      </c>
      <c r="W134" s="14" t="n">
        <f aca="false">IF(U134,(V134-Settings!$B$6)*24,0)</f>
        <v>0</v>
      </c>
    </row>
    <row r="135" customFormat="false" ht="15" hidden="false" customHeight="false" outlineLevel="0" collapsed="false">
      <c r="A135" s="29" t="n">
        <v>46151</v>
      </c>
      <c r="B135" s="30" t="str">
        <f aca="false">CHOOSE(WEEKDAY(A135),"Sun","Mon","Tue","Wed","Thu","Fri","Sat")</f>
        <v>Sat</v>
      </c>
      <c r="C135" s="30" t="str">
        <f aca="false">IF(IFERROR(INDEX(Holidays!$D$5:$D$60,MATCH(A135,Holidays!$A$5:$A$60,0)),"")="Holiday","Holiday",IF(WEEKDAY(A135)&gt;=6,"Weekend",IF(IFERROR(INDEX(Holidays!$D$5:$D$60,MATCH(A135,Holidays!$A$5:$A$60,0)),"")="Eve","Eve","Workday")))</f>
        <v>Weekend</v>
      </c>
      <c r="D135" s="18" t="str">
        <f aca="false">IFERROR(INDEX(Holidays!$C$5:$C$60,MATCH(A135,Holidays!$A$5:$A$60,0)),"")</f>
        <v/>
      </c>
      <c r="E135" s="31"/>
      <c r="F135" s="32"/>
      <c r="G135" s="32"/>
      <c r="H135" s="32"/>
      <c r="I135" s="32"/>
      <c r="J135" s="31"/>
      <c r="K135" s="33" t="str">
        <f aca="false">IF(E135&lt;&gt;"",E135,IF(U135,"Present",IF(C135="Holiday","Holiday","Weekend")))</f>
        <v>Weekend</v>
      </c>
      <c r="L135" s="34" t="str">
        <f aca="false">IF(OR(K135="Present",K135="Manual Work",K135="Partial Vacation",K135="Partial Sick Leave"),IF(ISNUMBER(F135),F135,IF(AND(K135="Present",U135),Settings!$B$6,"")),"")</f>
        <v/>
      </c>
      <c r="M135" s="34" t="str">
        <f aca="false">IF(OR(K135="Present",K135="Manual Work",K135="Partial Vacation",K135="Partial Sick Leave"),IF(ISNUMBER(G135),G135,IF(AND(K135="Present",U135),V135,"")),"")</f>
        <v/>
      </c>
      <c r="N135" s="14" t="n">
        <f aca="false">IF(AND(ISNUMBER(L135),ISNUMBER(M135)),MAX(0,(M135-L135)*24),0)</f>
        <v>0</v>
      </c>
      <c r="O135" s="14" t="n">
        <f aca="false">IF(NOT(U135),0,IF(K135="Vacation",IF(C135="Eve",Settings!$B$9*Settings!$B$11,W135),IF(K135="Partial Vacation",IF(AND(ISNUMBER(H135),ISNUMBER(I135)),MAX(0,(I135-H135)*24),0),0)))</f>
        <v>0</v>
      </c>
      <c r="P135" s="14" t="n">
        <f aca="false">IF(NOT(U135),0,IF(K135="Sick Leave",W135,IF(K135="Partial Sick Leave",IF(AND(ISNUMBER(H135),ISNUMBER(I135)),MAX(0,(I135-H135)*24),0),0)))</f>
        <v>0</v>
      </c>
      <c r="Q135" s="14" t="n">
        <f aca="false">IF(NOT(U135),0,IF(K135="Vacation",IF(C135="Eve",Settings!$B$11,1),IF(K135="Partial Vacation",O135/Settings!$B$9,0)))</f>
        <v>0</v>
      </c>
      <c r="R135" s="14" t="n">
        <f aca="false">IF(NOT(U135),0,IF(K135="Sick Leave",1,IF(K135="Partial Sick Leave",P135/Settings!$B$9,0)))</f>
        <v>0</v>
      </c>
      <c r="S135" s="35" t="str">
        <f aca="false">IF(AND(OR(E135="Vacation",E135="Sick Leave",E135="Partial Vacation",E135="Partial Sick Leave"),NOT(U135)),"Leave not allowed on this day",IF(AND(E135="Manual Work",OR(NOT(ISNUMBER(F135)),NOT(ISNUMBER(G135)))),"Enter start and end",IF(AND(OR(E135="Partial Vacation",E135="Partial Sick Leave"),OR(NOT(ISNUMBER(H135)),NOT(ISNUMBER(I135)))),"Enter leave from and to",IF(AND(ISNUMBER(F135),ISNUMBER(G135),G135&lt;=F135),"End is before start",IF(AND(ISNUMBER(H135),ISNUMBER(I135),I135&lt;=H135),"Leave end is before start",IF(AND(ISNUMBER(F135),ISNUMBER(G135),ISNUMBER(H135),ISNUMBER(I135),F135&lt;I135,H135&lt;G135),"Work and leave hours overlap",IF(AND(E135&lt;&gt;"",WEEKDAY(A135)=7),"Saturday - administrator only","")))))))</f>
        <v/>
      </c>
      <c r="T135" s="36" t="n">
        <f aca="false">MONTH(A135)</f>
        <v>5</v>
      </c>
      <c r="U135" s="37" t="b">
        <f aca="false">OR(C135="Workday",C135="Eve")</f>
        <v>0</v>
      </c>
      <c r="V135" s="34" t="n">
        <f aca="false">IF(C135="Eve",Settings!$B$8,Settings!$B$7)</f>
        <v>0.6875</v>
      </c>
      <c r="W135" s="14" t="n">
        <f aca="false">IF(U135,(V135-Settings!$B$6)*24,0)</f>
        <v>0</v>
      </c>
    </row>
    <row r="136" customFormat="false" ht="15" hidden="false" customHeight="false" outlineLevel="0" collapsed="false">
      <c r="A136" s="29" t="n">
        <v>46152</v>
      </c>
      <c r="B136" s="30" t="str">
        <f aca="false">CHOOSE(WEEKDAY(A136),"Sun","Mon","Tue","Wed","Thu","Fri","Sat")</f>
        <v>Sun</v>
      </c>
      <c r="C136" s="30" t="str">
        <f aca="false">IF(IFERROR(INDEX(Holidays!$D$5:$D$60,MATCH(A136,Holidays!$A$5:$A$60,0)),"")="Holiday","Holiday",IF(WEEKDAY(A136)&gt;=6,"Weekend",IF(IFERROR(INDEX(Holidays!$D$5:$D$60,MATCH(A136,Holidays!$A$5:$A$60,0)),"")="Eve","Eve","Workday")))</f>
        <v>Workday</v>
      </c>
      <c r="D136" s="18" t="str">
        <f aca="false">IFERROR(INDEX(Holidays!$C$5:$C$60,MATCH(A136,Holidays!$A$5:$A$60,0)),"")</f>
        <v/>
      </c>
      <c r="E136" s="31"/>
      <c r="F136" s="32"/>
      <c r="G136" s="32"/>
      <c r="H136" s="32"/>
      <c r="I136" s="32"/>
      <c r="J136" s="31"/>
      <c r="K136" s="33" t="str">
        <f aca="false">IF(E136&lt;&gt;"",E136,IF(U136,"Present",IF(C136="Holiday","Holiday","Weekend")))</f>
        <v>Present</v>
      </c>
      <c r="L136" s="34" t="n">
        <f aca="false">IF(OR(K136="Present",K136="Manual Work",K136="Partial Vacation",K136="Partial Sick Leave"),IF(ISNUMBER(F136),F136,IF(AND(K136="Present",U136),Settings!$B$6,"")),"")</f>
        <v>0.333333333333333</v>
      </c>
      <c r="M136" s="34" t="n">
        <f aca="false">IF(OR(K136="Present",K136="Manual Work",K136="Partial Vacation",K136="Partial Sick Leave"),IF(ISNUMBER(G136),G136,IF(AND(K136="Present",U136),V136,"")),"")</f>
        <v>0.6875</v>
      </c>
      <c r="N136" s="14" t="n">
        <f aca="false">IF(AND(ISNUMBER(L136),ISNUMBER(M136)),MAX(0,(M136-L136)*24),0)</f>
        <v>8.5</v>
      </c>
      <c r="O136" s="14" t="n">
        <f aca="false">IF(NOT(U136),0,IF(K136="Vacation",IF(C136="Eve",Settings!$B$9*Settings!$B$11,W136),IF(K136="Partial Vacation",IF(AND(ISNUMBER(H136),ISNUMBER(I136)),MAX(0,(I136-H136)*24),0),0)))</f>
        <v>0</v>
      </c>
      <c r="P136" s="14" t="n">
        <f aca="false">IF(NOT(U136),0,IF(K136="Sick Leave",W136,IF(K136="Partial Sick Leave",IF(AND(ISNUMBER(H136),ISNUMBER(I136)),MAX(0,(I136-H136)*24),0),0)))</f>
        <v>0</v>
      </c>
      <c r="Q136" s="14" t="n">
        <f aca="false">IF(NOT(U136),0,IF(K136="Vacation",IF(C136="Eve",Settings!$B$11,1),IF(K136="Partial Vacation",O136/Settings!$B$9,0)))</f>
        <v>0</v>
      </c>
      <c r="R136" s="14" t="n">
        <f aca="false">IF(NOT(U136),0,IF(K136="Sick Leave",1,IF(K136="Partial Sick Leave",P136/Settings!$B$9,0)))</f>
        <v>0</v>
      </c>
      <c r="S136" s="35" t="str">
        <f aca="false">IF(AND(OR(E136="Vacation",E136="Sick Leave",E136="Partial Vacation",E136="Partial Sick Leave"),NOT(U136)),"Leave not allowed on this day",IF(AND(E136="Manual Work",OR(NOT(ISNUMBER(F136)),NOT(ISNUMBER(G136)))),"Enter start and end",IF(AND(OR(E136="Partial Vacation",E136="Partial Sick Leave"),OR(NOT(ISNUMBER(H136)),NOT(ISNUMBER(I136)))),"Enter leave from and to",IF(AND(ISNUMBER(F136),ISNUMBER(G136),G136&lt;=F136),"End is before start",IF(AND(ISNUMBER(H136),ISNUMBER(I136),I136&lt;=H136),"Leave end is before start",IF(AND(ISNUMBER(F136),ISNUMBER(G136),ISNUMBER(H136),ISNUMBER(I136),F136&lt;I136,H136&lt;G136),"Work and leave hours overlap",IF(AND(E136&lt;&gt;"",WEEKDAY(A136)=7),"Saturday - administrator only","")))))))</f>
        <v/>
      </c>
      <c r="T136" s="36" t="n">
        <f aca="false">MONTH(A136)</f>
        <v>5</v>
      </c>
      <c r="U136" s="37" t="b">
        <f aca="false">OR(C136="Workday",C136="Eve")</f>
        <v>1</v>
      </c>
      <c r="V136" s="34" t="n">
        <f aca="false">IF(C136="Eve",Settings!$B$8,Settings!$B$7)</f>
        <v>0.6875</v>
      </c>
      <c r="W136" s="14" t="n">
        <f aca="false">IF(U136,(V136-Settings!$B$6)*24,0)</f>
        <v>8.5</v>
      </c>
    </row>
    <row r="137" customFormat="false" ht="15" hidden="false" customHeight="false" outlineLevel="0" collapsed="false">
      <c r="A137" s="29" t="n">
        <v>46153</v>
      </c>
      <c r="B137" s="30" t="str">
        <f aca="false">CHOOSE(WEEKDAY(A137),"Sun","Mon","Tue","Wed","Thu","Fri","Sat")</f>
        <v>Mon</v>
      </c>
      <c r="C137" s="30" t="str">
        <f aca="false">IF(IFERROR(INDEX(Holidays!$D$5:$D$60,MATCH(A137,Holidays!$A$5:$A$60,0)),"")="Holiday","Holiday",IF(WEEKDAY(A137)&gt;=6,"Weekend",IF(IFERROR(INDEX(Holidays!$D$5:$D$60,MATCH(A137,Holidays!$A$5:$A$60,0)),"")="Eve","Eve","Workday")))</f>
        <v>Workday</v>
      </c>
      <c r="D137" s="18" t="str">
        <f aca="false">IFERROR(INDEX(Holidays!$C$5:$C$60,MATCH(A137,Holidays!$A$5:$A$60,0)),"")</f>
        <v/>
      </c>
      <c r="E137" s="31"/>
      <c r="F137" s="32"/>
      <c r="G137" s="32"/>
      <c r="H137" s="32"/>
      <c r="I137" s="32"/>
      <c r="J137" s="31"/>
      <c r="K137" s="33" t="str">
        <f aca="false">IF(E137&lt;&gt;"",E137,IF(U137,"Present",IF(C137="Holiday","Holiday","Weekend")))</f>
        <v>Present</v>
      </c>
      <c r="L137" s="34" t="n">
        <f aca="false">IF(OR(K137="Present",K137="Manual Work",K137="Partial Vacation",K137="Partial Sick Leave"),IF(ISNUMBER(F137),F137,IF(AND(K137="Present",U137),Settings!$B$6,"")),"")</f>
        <v>0.333333333333333</v>
      </c>
      <c r="M137" s="34" t="n">
        <f aca="false">IF(OR(K137="Present",K137="Manual Work",K137="Partial Vacation",K137="Partial Sick Leave"),IF(ISNUMBER(G137),G137,IF(AND(K137="Present",U137),V137,"")),"")</f>
        <v>0.6875</v>
      </c>
      <c r="N137" s="14" t="n">
        <f aca="false">IF(AND(ISNUMBER(L137),ISNUMBER(M137)),MAX(0,(M137-L137)*24),0)</f>
        <v>8.5</v>
      </c>
      <c r="O137" s="14" t="n">
        <f aca="false">IF(NOT(U137),0,IF(K137="Vacation",IF(C137="Eve",Settings!$B$9*Settings!$B$11,W137),IF(K137="Partial Vacation",IF(AND(ISNUMBER(H137),ISNUMBER(I137)),MAX(0,(I137-H137)*24),0),0)))</f>
        <v>0</v>
      </c>
      <c r="P137" s="14" t="n">
        <f aca="false">IF(NOT(U137),0,IF(K137="Sick Leave",W137,IF(K137="Partial Sick Leave",IF(AND(ISNUMBER(H137),ISNUMBER(I137)),MAX(0,(I137-H137)*24),0),0)))</f>
        <v>0</v>
      </c>
      <c r="Q137" s="14" t="n">
        <f aca="false">IF(NOT(U137),0,IF(K137="Vacation",IF(C137="Eve",Settings!$B$11,1),IF(K137="Partial Vacation",O137/Settings!$B$9,0)))</f>
        <v>0</v>
      </c>
      <c r="R137" s="14" t="n">
        <f aca="false">IF(NOT(U137),0,IF(K137="Sick Leave",1,IF(K137="Partial Sick Leave",P137/Settings!$B$9,0)))</f>
        <v>0</v>
      </c>
      <c r="S137" s="35" t="str">
        <f aca="false">IF(AND(OR(E137="Vacation",E137="Sick Leave",E137="Partial Vacation",E137="Partial Sick Leave"),NOT(U137)),"Leave not allowed on this day",IF(AND(E137="Manual Work",OR(NOT(ISNUMBER(F137)),NOT(ISNUMBER(G137)))),"Enter start and end",IF(AND(OR(E137="Partial Vacation",E137="Partial Sick Leave"),OR(NOT(ISNUMBER(H137)),NOT(ISNUMBER(I137)))),"Enter leave from and to",IF(AND(ISNUMBER(F137),ISNUMBER(G137),G137&lt;=F137),"End is before start",IF(AND(ISNUMBER(H137),ISNUMBER(I137),I137&lt;=H137),"Leave end is before start",IF(AND(ISNUMBER(F137),ISNUMBER(G137),ISNUMBER(H137),ISNUMBER(I137),F137&lt;I137,H137&lt;G137),"Work and leave hours overlap",IF(AND(E137&lt;&gt;"",WEEKDAY(A137)=7),"Saturday - administrator only","")))))))</f>
        <v/>
      </c>
      <c r="T137" s="36" t="n">
        <f aca="false">MONTH(A137)</f>
        <v>5</v>
      </c>
      <c r="U137" s="37" t="b">
        <f aca="false">OR(C137="Workday",C137="Eve")</f>
        <v>1</v>
      </c>
      <c r="V137" s="34" t="n">
        <f aca="false">IF(C137="Eve",Settings!$B$8,Settings!$B$7)</f>
        <v>0.6875</v>
      </c>
      <c r="W137" s="14" t="n">
        <f aca="false">IF(U137,(V137-Settings!$B$6)*24,0)</f>
        <v>8.5</v>
      </c>
    </row>
    <row r="138" customFormat="false" ht="15" hidden="false" customHeight="false" outlineLevel="0" collapsed="false">
      <c r="A138" s="29" t="n">
        <v>46154</v>
      </c>
      <c r="B138" s="30" t="str">
        <f aca="false">CHOOSE(WEEKDAY(A138),"Sun","Mon","Tue","Wed","Thu","Fri","Sat")</f>
        <v>Tue</v>
      </c>
      <c r="C138" s="30" t="str">
        <f aca="false">IF(IFERROR(INDEX(Holidays!$D$5:$D$60,MATCH(A138,Holidays!$A$5:$A$60,0)),"")="Holiday","Holiday",IF(WEEKDAY(A138)&gt;=6,"Weekend",IF(IFERROR(INDEX(Holidays!$D$5:$D$60,MATCH(A138,Holidays!$A$5:$A$60,0)),"")="Eve","Eve","Workday")))</f>
        <v>Workday</v>
      </c>
      <c r="D138" s="18" t="str">
        <f aca="false">IFERROR(INDEX(Holidays!$C$5:$C$60,MATCH(A138,Holidays!$A$5:$A$60,0)),"")</f>
        <v/>
      </c>
      <c r="E138" s="31"/>
      <c r="F138" s="32"/>
      <c r="G138" s="32"/>
      <c r="H138" s="32"/>
      <c r="I138" s="32"/>
      <c r="J138" s="31"/>
      <c r="K138" s="33" t="str">
        <f aca="false">IF(E138&lt;&gt;"",E138,IF(U138,"Present",IF(C138="Holiday","Holiday","Weekend")))</f>
        <v>Present</v>
      </c>
      <c r="L138" s="34" t="n">
        <f aca="false">IF(OR(K138="Present",K138="Manual Work",K138="Partial Vacation",K138="Partial Sick Leave"),IF(ISNUMBER(F138),F138,IF(AND(K138="Present",U138),Settings!$B$6,"")),"")</f>
        <v>0.333333333333333</v>
      </c>
      <c r="M138" s="34" t="n">
        <f aca="false">IF(OR(K138="Present",K138="Manual Work",K138="Partial Vacation",K138="Partial Sick Leave"),IF(ISNUMBER(G138),G138,IF(AND(K138="Present",U138),V138,"")),"")</f>
        <v>0.6875</v>
      </c>
      <c r="N138" s="14" t="n">
        <f aca="false">IF(AND(ISNUMBER(L138),ISNUMBER(M138)),MAX(0,(M138-L138)*24),0)</f>
        <v>8.5</v>
      </c>
      <c r="O138" s="14" t="n">
        <f aca="false">IF(NOT(U138),0,IF(K138="Vacation",IF(C138="Eve",Settings!$B$9*Settings!$B$11,W138),IF(K138="Partial Vacation",IF(AND(ISNUMBER(H138),ISNUMBER(I138)),MAX(0,(I138-H138)*24),0),0)))</f>
        <v>0</v>
      </c>
      <c r="P138" s="14" t="n">
        <f aca="false">IF(NOT(U138),0,IF(K138="Sick Leave",W138,IF(K138="Partial Sick Leave",IF(AND(ISNUMBER(H138),ISNUMBER(I138)),MAX(0,(I138-H138)*24),0),0)))</f>
        <v>0</v>
      </c>
      <c r="Q138" s="14" t="n">
        <f aca="false">IF(NOT(U138),0,IF(K138="Vacation",IF(C138="Eve",Settings!$B$11,1),IF(K138="Partial Vacation",O138/Settings!$B$9,0)))</f>
        <v>0</v>
      </c>
      <c r="R138" s="14" t="n">
        <f aca="false">IF(NOT(U138),0,IF(K138="Sick Leave",1,IF(K138="Partial Sick Leave",P138/Settings!$B$9,0)))</f>
        <v>0</v>
      </c>
      <c r="S138" s="35" t="str">
        <f aca="false">IF(AND(OR(E138="Vacation",E138="Sick Leave",E138="Partial Vacation",E138="Partial Sick Leave"),NOT(U138)),"Leave not allowed on this day",IF(AND(E138="Manual Work",OR(NOT(ISNUMBER(F138)),NOT(ISNUMBER(G138)))),"Enter start and end",IF(AND(OR(E138="Partial Vacation",E138="Partial Sick Leave"),OR(NOT(ISNUMBER(H138)),NOT(ISNUMBER(I138)))),"Enter leave from and to",IF(AND(ISNUMBER(F138),ISNUMBER(G138),G138&lt;=F138),"End is before start",IF(AND(ISNUMBER(H138),ISNUMBER(I138),I138&lt;=H138),"Leave end is before start",IF(AND(ISNUMBER(F138),ISNUMBER(G138),ISNUMBER(H138),ISNUMBER(I138),F138&lt;I138,H138&lt;G138),"Work and leave hours overlap",IF(AND(E138&lt;&gt;"",WEEKDAY(A138)=7),"Saturday - administrator only","")))))))</f>
        <v/>
      </c>
      <c r="T138" s="36" t="n">
        <f aca="false">MONTH(A138)</f>
        <v>5</v>
      </c>
      <c r="U138" s="37" t="b">
        <f aca="false">OR(C138="Workday",C138="Eve")</f>
        <v>1</v>
      </c>
      <c r="V138" s="34" t="n">
        <f aca="false">IF(C138="Eve",Settings!$B$8,Settings!$B$7)</f>
        <v>0.6875</v>
      </c>
      <c r="W138" s="14" t="n">
        <f aca="false">IF(U138,(V138-Settings!$B$6)*24,0)</f>
        <v>8.5</v>
      </c>
    </row>
    <row r="139" customFormat="false" ht="15" hidden="false" customHeight="false" outlineLevel="0" collapsed="false">
      <c r="A139" s="29" t="n">
        <v>46155</v>
      </c>
      <c r="B139" s="30" t="str">
        <f aca="false">CHOOSE(WEEKDAY(A139),"Sun","Mon","Tue","Wed","Thu","Fri","Sat")</f>
        <v>Wed</v>
      </c>
      <c r="C139" s="30" t="str">
        <f aca="false">IF(IFERROR(INDEX(Holidays!$D$5:$D$60,MATCH(A139,Holidays!$A$5:$A$60,0)),"")="Holiday","Holiday",IF(WEEKDAY(A139)&gt;=6,"Weekend",IF(IFERROR(INDEX(Holidays!$D$5:$D$60,MATCH(A139,Holidays!$A$5:$A$60,0)),"")="Eve","Eve","Workday")))</f>
        <v>Workday</v>
      </c>
      <c r="D139" s="18" t="str">
        <f aca="false">IFERROR(INDEX(Holidays!$C$5:$C$60,MATCH(A139,Holidays!$A$5:$A$60,0)),"")</f>
        <v/>
      </c>
      <c r="E139" s="31"/>
      <c r="F139" s="32"/>
      <c r="G139" s="32"/>
      <c r="H139" s="32"/>
      <c r="I139" s="32"/>
      <c r="J139" s="31"/>
      <c r="K139" s="33" t="str">
        <f aca="false">IF(E139&lt;&gt;"",E139,IF(U139,"Present",IF(C139="Holiday","Holiday","Weekend")))</f>
        <v>Present</v>
      </c>
      <c r="L139" s="34" t="n">
        <f aca="false">IF(OR(K139="Present",K139="Manual Work",K139="Partial Vacation",K139="Partial Sick Leave"),IF(ISNUMBER(F139),F139,IF(AND(K139="Present",U139),Settings!$B$6,"")),"")</f>
        <v>0.333333333333333</v>
      </c>
      <c r="M139" s="34" t="n">
        <f aca="false">IF(OR(K139="Present",K139="Manual Work",K139="Partial Vacation",K139="Partial Sick Leave"),IF(ISNUMBER(G139),G139,IF(AND(K139="Present",U139),V139,"")),"")</f>
        <v>0.6875</v>
      </c>
      <c r="N139" s="14" t="n">
        <f aca="false">IF(AND(ISNUMBER(L139),ISNUMBER(M139)),MAX(0,(M139-L139)*24),0)</f>
        <v>8.5</v>
      </c>
      <c r="O139" s="14" t="n">
        <f aca="false">IF(NOT(U139),0,IF(K139="Vacation",IF(C139="Eve",Settings!$B$9*Settings!$B$11,W139),IF(K139="Partial Vacation",IF(AND(ISNUMBER(H139),ISNUMBER(I139)),MAX(0,(I139-H139)*24),0),0)))</f>
        <v>0</v>
      </c>
      <c r="P139" s="14" t="n">
        <f aca="false">IF(NOT(U139),0,IF(K139="Sick Leave",W139,IF(K139="Partial Sick Leave",IF(AND(ISNUMBER(H139),ISNUMBER(I139)),MAX(0,(I139-H139)*24),0),0)))</f>
        <v>0</v>
      </c>
      <c r="Q139" s="14" t="n">
        <f aca="false">IF(NOT(U139),0,IF(K139="Vacation",IF(C139="Eve",Settings!$B$11,1),IF(K139="Partial Vacation",O139/Settings!$B$9,0)))</f>
        <v>0</v>
      </c>
      <c r="R139" s="14" t="n">
        <f aca="false">IF(NOT(U139),0,IF(K139="Sick Leave",1,IF(K139="Partial Sick Leave",P139/Settings!$B$9,0)))</f>
        <v>0</v>
      </c>
      <c r="S139" s="35" t="str">
        <f aca="false">IF(AND(OR(E139="Vacation",E139="Sick Leave",E139="Partial Vacation",E139="Partial Sick Leave"),NOT(U139)),"Leave not allowed on this day",IF(AND(E139="Manual Work",OR(NOT(ISNUMBER(F139)),NOT(ISNUMBER(G139)))),"Enter start and end",IF(AND(OR(E139="Partial Vacation",E139="Partial Sick Leave"),OR(NOT(ISNUMBER(H139)),NOT(ISNUMBER(I139)))),"Enter leave from and to",IF(AND(ISNUMBER(F139),ISNUMBER(G139),G139&lt;=F139),"End is before start",IF(AND(ISNUMBER(H139),ISNUMBER(I139),I139&lt;=H139),"Leave end is before start",IF(AND(ISNUMBER(F139),ISNUMBER(G139),ISNUMBER(H139),ISNUMBER(I139),F139&lt;I139,H139&lt;G139),"Work and leave hours overlap",IF(AND(E139&lt;&gt;"",WEEKDAY(A139)=7),"Saturday - administrator only","")))))))</f>
        <v/>
      </c>
      <c r="T139" s="36" t="n">
        <f aca="false">MONTH(A139)</f>
        <v>5</v>
      </c>
      <c r="U139" s="37" t="b">
        <f aca="false">OR(C139="Workday",C139="Eve")</f>
        <v>1</v>
      </c>
      <c r="V139" s="34" t="n">
        <f aca="false">IF(C139="Eve",Settings!$B$8,Settings!$B$7)</f>
        <v>0.6875</v>
      </c>
      <c r="W139" s="14" t="n">
        <f aca="false">IF(U139,(V139-Settings!$B$6)*24,0)</f>
        <v>8.5</v>
      </c>
    </row>
    <row r="140" customFormat="false" ht="15" hidden="false" customHeight="false" outlineLevel="0" collapsed="false">
      <c r="A140" s="29" t="n">
        <v>46156</v>
      </c>
      <c r="B140" s="30" t="str">
        <f aca="false">CHOOSE(WEEKDAY(A140),"Sun","Mon","Tue","Wed","Thu","Fri","Sat")</f>
        <v>Thu</v>
      </c>
      <c r="C140" s="30" t="str">
        <f aca="false">IF(IFERROR(INDEX(Holidays!$D$5:$D$60,MATCH(A140,Holidays!$A$5:$A$60,0)),"")="Holiday","Holiday",IF(WEEKDAY(A140)&gt;=6,"Weekend",IF(IFERROR(INDEX(Holidays!$D$5:$D$60,MATCH(A140,Holidays!$A$5:$A$60,0)),"")="Eve","Eve","Workday")))</f>
        <v>Workday</v>
      </c>
      <c r="D140" s="18" t="str">
        <f aca="false">IFERROR(INDEX(Holidays!$C$5:$C$60,MATCH(A140,Holidays!$A$5:$A$60,0)),"")</f>
        <v/>
      </c>
      <c r="E140" s="31"/>
      <c r="F140" s="32"/>
      <c r="G140" s="32"/>
      <c r="H140" s="32"/>
      <c r="I140" s="32"/>
      <c r="J140" s="31"/>
      <c r="K140" s="33" t="str">
        <f aca="false">IF(E140&lt;&gt;"",E140,IF(U140,"Present",IF(C140="Holiday","Holiday","Weekend")))</f>
        <v>Present</v>
      </c>
      <c r="L140" s="34" t="n">
        <f aca="false">IF(OR(K140="Present",K140="Manual Work",K140="Partial Vacation",K140="Partial Sick Leave"),IF(ISNUMBER(F140),F140,IF(AND(K140="Present",U140),Settings!$B$6,"")),"")</f>
        <v>0.333333333333333</v>
      </c>
      <c r="M140" s="34" t="n">
        <f aca="false">IF(OR(K140="Present",K140="Manual Work",K140="Partial Vacation",K140="Partial Sick Leave"),IF(ISNUMBER(G140),G140,IF(AND(K140="Present",U140),V140,"")),"")</f>
        <v>0.6875</v>
      </c>
      <c r="N140" s="14" t="n">
        <f aca="false">IF(AND(ISNUMBER(L140),ISNUMBER(M140)),MAX(0,(M140-L140)*24),0)</f>
        <v>8.5</v>
      </c>
      <c r="O140" s="14" t="n">
        <f aca="false">IF(NOT(U140),0,IF(K140="Vacation",IF(C140="Eve",Settings!$B$9*Settings!$B$11,W140),IF(K140="Partial Vacation",IF(AND(ISNUMBER(H140),ISNUMBER(I140)),MAX(0,(I140-H140)*24),0),0)))</f>
        <v>0</v>
      </c>
      <c r="P140" s="14" t="n">
        <f aca="false">IF(NOT(U140),0,IF(K140="Sick Leave",W140,IF(K140="Partial Sick Leave",IF(AND(ISNUMBER(H140),ISNUMBER(I140)),MAX(0,(I140-H140)*24),0),0)))</f>
        <v>0</v>
      </c>
      <c r="Q140" s="14" t="n">
        <f aca="false">IF(NOT(U140),0,IF(K140="Vacation",IF(C140="Eve",Settings!$B$11,1),IF(K140="Partial Vacation",O140/Settings!$B$9,0)))</f>
        <v>0</v>
      </c>
      <c r="R140" s="14" t="n">
        <f aca="false">IF(NOT(U140),0,IF(K140="Sick Leave",1,IF(K140="Partial Sick Leave",P140/Settings!$B$9,0)))</f>
        <v>0</v>
      </c>
      <c r="S140" s="35" t="str">
        <f aca="false">IF(AND(OR(E140="Vacation",E140="Sick Leave",E140="Partial Vacation",E140="Partial Sick Leave"),NOT(U140)),"Leave not allowed on this day",IF(AND(E140="Manual Work",OR(NOT(ISNUMBER(F140)),NOT(ISNUMBER(G140)))),"Enter start and end",IF(AND(OR(E140="Partial Vacation",E140="Partial Sick Leave"),OR(NOT(ISNUMBER(H140)),NOT(ISNUMBER(I140)))),"Enter leave from and to",IF(AND(ISNUMBER(F140),ISNUMBER(G140),G140&lt;=F140),"End is before start",IF(AND(ISNUMBER(H140),ISNUMBER(I140),I140&lt;=H140),"Leave end is before start",IF(AND(ISNUMBER(F140),ISNUMBER(G140),ISNUMBER(H140),ISNUMBER(I140),F140&lt;I140,H140&lt;G140),"Work and leave hours overlap",IF(AND(E140&lt;&gt;"",WEEKDAY(A140)=7),"Saturday - administrator only","")))))))</f>
        <v/>
      </c>
      <c r="T140" s="36" t="n">
        <f aca="false">MONTH(A140)</f>
        <v>5</v>
      </c>
      <c r="U140" s="37" t="b">
        <f aca="false">OR(C140="Workday",C140="Eve")</f>
        <v>1</v>
      </c>
      <c r="V140" s="34" t="n">
        <f aca="false">IF(C140="Eve",Settings!$B$8,Settings!$B$7)</f>
        <v>0.6875</v>
      </c>
      <c r="W140" s="14" t="n">
        <f aca="false">IF(U140,(V140-Settings!$B$6)*24,0)</f>
        <v>8.5</v>
      </c>
    </row>
    <row r="141" customFormat="false" ht="15" hidden="false" customHeight="false" outlineLevel="0" collapsed="false">
      <c r="A141" s="29" t="n">
        <v>46157</v>
      </c>
      <c r="B141" s="30" t="str">
        <f aca="false">CHOOSE(WEEKDAY(A141),"Sun","Mon","Tue","Wed","Thu","Fri","Sat")</f>
        <v>Fri</v>
      </c>
      <c r="C141" s="30" t="str">
        <f aca="false">IF(IFERROR(INDEX(Holidays!$D$5:$D$60,MATCH(A141,Holidays!$A$5:$A$60,0)),"")="Holiday","Holiday",IF(WEEKDAY(A141)&gt;=6,"Weekend",IF(IFERROR(INDEX(Holidays!$D$5:$D$60,MATCH(A141,Holidays!$A$5:$A$60,0)),"")="Eve","Eve","Workday")))</f>
        <v>Weekend</v>
      </c>
      <c r="D141" s="18" t="str">
        <f aca="false">IFERROR(INDEX(Holidays!$C$5:$C$60,MATCH(A141,Holidays!$A$5:$A$60,0)),"")</f>
        <v/>
      </c>
      <c r="E141" s="31"/>
      <c r="F141" s="32"/>
      <c r="G141" s="32"/>
      <c r="H141" s="32"/>
      <c r="I141" s="32"/>
      <c r="J141" s="31"/>
      <c r="K141" s="33" t="str">
        <f aca="false">IF(E141&lt;&gt;"",E141,IF(U141,"Present",IF(C141="Holiday","Holiday","Weekend")))</f>
        <v>Weekend</v>
      </c>
      <c r="L141" s="34" t="str">
        <f aca="false">IF(OR(K141="Present",K141="Manual Work",K141="Partial Vacation",K141="Partial Sick Leave"),IF(ISNUMBER(F141),F141,IF(AND(K141="Present",U141),Settings!$B$6,"")),"")</f>
        <v/>
      </c>
      <c r="M141" s="34" t="str">
        <f aca="false">IF(OR(K141="Present",K141="Manual Work",K141="Partial Vacation",K141="Partial Sick Leave"),IF(ISNUMBER(G141),G141,IF(AND(K141="Present",U141),V141,"")),"")</f>
        <v/>
      </c>
      <c r="N141" s="14" t="n">
        <f aca="false">IF(AND(ISNUMBER(L141),ISNUMBER(M141)),MAX(0,(M141-L141)*24),0)</f>
        <v>0</v>
      </c>
      <c r="O141" s="14" t="n">
        <f aca="false">IF(NOT(U141),0,IF(K141="Vacation",IF(C141="Eve",Settings!$B$9*Settings!$B$11,W141),IF(K141="Partial Vacation",IF(AND(ISNUMBER(H141),ISNUMBER(I141)),MAX(0,(I141-H141)*24),0),0)))</f>
        <v>0</v>
      </c>
      <c r="P141" s="14" t="n">
        <f aca="false">IF(NOT(U141),0,IF(K141="Sick Leave",W141,IF(K141="Partial Sick Leave",IF(AND(ISNUMBER(H141),ISNUMBER(I141)),MAX(0,(I141-H141)*24),0),0)))</f>
        <v>0</v>
      </c>
      <c r="Q141" s="14" t="n">
        <f aca="false">IF(NOT(U141),0,IF(K141="Vacation",IF(C141="Eve",Settings!$B$11,1),IF(K141="Partial Vacation",O141/Settings!$B$9,0)))</f>
        <v>0</v>
      </c>
      <c r="R141" s="14" t="n">
        <f aca="false">IF(NOT(U141),0,IF(K141="Sick Leave",1,IF(K141="Partial Sick Leave",P141/Settings!$B$9,0)))</f>
        <v>0</v>
      </c>
      <c r="S141" s="35" t="str">
        <f aca="false">IF(AND(OR(E141="Vacation",E141="Sick Leave",E141="Partial Vacation",E141="Partial Sick Leave"),NOT(U141)),"Leave not allowed on this day",IF(AND(E141="Manual Work",OR(NOT(ISNUMBER(F141)),NOT(ISNUMBER(G141)))),"Enter start and end",IF(AND(OR(E141="Partial Vacation",E141="Partial Sick Leave"),OR(NOT(ISNUMBER(H141)),NOT(ISNUMBER(I141)))),"Enter leave from and to",IF(AND(ISNUMBER(F141),ISNUMBER(G141),G141&lt;=F141),"End is before start",IF(AND(ISNUMBER(H141),ISNUMBER(I141),I141&lt;=H141),"Leave end is before start",IF(AND(ISNUMBER(F141),ISNUMBER(G141),ISNUMBER(H141),ISNUMBER(I141),F141&lt;I141,H141&lt;G141),"Work and leave hours overlap",IF(AND(E141&lt;&gt;"",WEEKDAY(A141)=7),"Saturday - administrator only","")))))))</f>
        <v/>
      </c>
      <c r="T141" s="36" t="n">
        <f aca="false">MONTH(A141)</f>
        <v>5</v>
      </c>
      <c r="U141" s="37" t="b">
        <f aca="false">OR(C141="Workday",C141="Eve")</f>
        <v>0</v>
      </c>
      <c r="V141" s="34" t="n">
        <f aca="false">IF(C141="Eve",Settings!$B$8,Settings!$B$7)</f>
        <v>0.6875</v>
      </c>
      <c r="W141" s="14" t="n">
        <f aca="false">IF(U141,(V141-Settings!$B$6)*24,0)</f>
        <v>0</v>
      </c>
    </row>
    <row r="142" customFormat="false" ht="15" hidden="false" customHeight="false" outlineLevel="0" collapsed="false">
      <c r="A142" s="29" t="n">
        <v>46158</v>
      </c>
      <c r="B142" s="30" t="str">
        <f aca="false">CHOOSE(WEEKDAY(A142),"Sun","Mon","Tue","Wed","Thu","Fri","Sat")</f>
        <v>Sat</v>
      </c>
      <c r="C142" s="30" t="str">
        <f aca="false">IF(IFERROR(INDEX(Holidays!$D$5:$D$60,MATCH(A142,Holidays!$A$5:$A$60,0)),"")="Holiday","Holiday",IF(WEEKDAY(A142)&gt;=6,"Weekend",IF(IFERROR(INDEX(Holidays!$D$5:$D$60,MATCH(A142,Holidays!$A$5:$A$60,0)),"")="Eve","Eve","Workday")))</f>
        <v>Weekend</v>
      </c>
      <c r="D142" s="18" t="str">
        <f aca="false">IFERROR(INDEX(Holidays!$C$5:$C$60,MATCH(A142,Holidays!$A$5:$A$60,0)),"")</f>
        <v/>
      </c>
      <c r="E142" s="31"/>
      <c r="F142" s="32"/>
      <c r="G142" s="32"/>
      <c r="H142" s="32"/>
      <c r="I142" s="32"/>
      <c r="J142" s="31"/>
      <c r="K142" s="33" t="str">
        <f aca="false">IF(E142&lt;&gt;"",E142,IF(U142,"Present",IF(C142="Holiday","Holiday","Weekend")))</f>
        <v>Weekend</v>
      </c>
      <c r="L142" s="34" t="str">
        <f aca="false">IF(OR(K142="Present",K142="Manual Work",K142="Partial Vacation",K142="Partial Sick Leave"),IF(ISNUMBER(F142),F142,IF(AND(K142="Present",U142),Settings!$B$6,"")),"")</f>
        <v/>
      </c>
      <c r="M142" s="34" t="str">
        <f aca="false">IF(OR(K142="Present",K142="Manual Work",K142="Partial Vacation",K142="Partial Sick Leave"),IF(ISNUMBER(G142),G142,IF(AND(K142="Present",U142),V142,"")),"")</f>
        <v/>
      </c>
      <c r="N142" s="14" t="n">
        <f aca="false">IF(AND(ISNUMBER(L142),ISNUMBER(M142)),MAX(0,(M142-L142)*24),0)</f>
        <v>0</v>
      </c>
      <c r="O142" s="14" t="n">
        <f aca="false">IF(NOT(U142),0,IF(K142="Vacation",IF(C142="Eve",Settings!$B$9*Settings!$B$11,W142),IF(K142="Partial Vacation",IF(AND(ISNUMBER(H142),ISNUMBER(I142)),MAX(0,(I142-H142)*24),0),0)))</f>
        <v>0</v>
      </c>
      <c r="P142" s="14" t="n">
        <f aca="false">IF(NOT(U142),0,IF(K142="Sick Leave",W142,IF(K142="Partial Sick Leave",IF(AND(ISNUMBER(H142),ISNUMBER(I142)),MAX(0,(I142-H142)*24),0),0)))</f>
        <v>0</v>
      </c>
      <c r="Q142" s="14" t="n">
        <f aca="false">IF(NOT(U142),0,IF(K142="Vacation",IF(C142="Eve",Settings!$B$11,1),IF(K142="Partial Vacation",O142/Settings!$B$9,0)))</f>
        <v>0</v>
      </c>
      <c r="R142" s="14" t="n">
        <f aca="false">IF(NOT(U142),0,IF(K142="Sick Leave",1,IF(K142="Partial Sick Leave",P142/Settings!$B$9,0)))</f>
        <v>0</v>
      </c>
      <c r="S142" s="35" t="str">
        <f aca="false">IF(AND(OR(E142="Vacation",E142="Sick Leave",E142="Partial Vacation",E142="Partial Sick Leave"),NOT(U142)),"Leave not allowed on this day",IF(AND(E142="Manual Work",OR(NOT(ISNUMBER(F142)),NOT(ISNUMBER(G142)))),"Enter start and end",IF(AND(OR(E142="Partial Vacation",E142="Partial Sick Leave"),OR(NOT(ISNUMBER(H142)),NOT(ISNUMBER(I142)))),"Enter leave from and to",IF(AND(ISNUMBER(F142),ISNUMBER(G142),G142&lt;=F142),"End is before start",IF(AND(ISNUMBER(H142),ISNUMBER(I142),I142&lt;=H142),"Leave end is before start",IF(AND(ISNUMBER(F142),ISNUMBER(G142),ISNUMBER(H142),ISNUMBER(I142),F142&lt;I142,H142&lt;G142),"Work and leave hours overlap",IF(AND(E142&lt;&gt;"",WEEKDAY(A142)=7),"Saturday - administrator only","")))))))</f>
        <v/>
      </c>
      <c r="T142" s="36" t="n">
        <f aca="false">MONTH(A142)</f>
        <v>5</v>
      </c>
      <c r="U142" s="37" t="b">
        <f aca="false">OR(C142="Workday",C142="Eve")</f>
        <v>0</v>
      </c>
      <c r="V142" s="34" t="n">
        <f aca="false">IF(C142="Eve",Settings!$B$8,Settings!$B$7)</f>
        <v>0.6875</v>
      </c>
      <c r="W142" s="14" t="n">
        <f aca="false">IF(U142,(V142-Settings!$B$6)*24,0)</f>
        <v>0</v>
      </c>
    </row>
    <row r="143" customFormat="false" ht="15" hidden="false" customHeight="false" outlineLevel="0" collapsed="false">
      <c r="A143" s="29" t="n">
        <v>46159</v>
      </c>
      <c r="B143" s="30" t="str">
        <f aca="false">CHOOSE(WEEKDAY(A143),"Sun","Mon","Tue","Wed","Thu","Fri","Sat")</f>
        <v>Sun</v>
      </c>
      <c r="C143" s="30" t="str">
        <f aca="false">IF(IFERROR(INDEX(Holidays!$D$5:$D$60,MATCH(A143,Holidays!$A$5:$A$60,0)),"")="Holiday","Holiday",IF(WEEKDAY(A143)&gt;=6,"Weekend",IF(IFERROR(INDEX(Holidays!$D$5:$D$60,MATCH(A143,Holidays!$A$5:$A$60,0)),"")="Eve","Eve","Workday")))</f>
        <v>Workday</v>
      </c>
      <c r="D143" s="18" t="str">
        <f aca="false">IFERROR(INDEX(Holidays!$C$5:$C$60,MATCH(A143,Holidays!$A$5:$A$60,0)),"")</f>
        <v/>
      </c>
      <c r="E143" s="31"/>
      <c r="F143" s="32"/>
      <c r="G143" s="32"/>
      <c r="H143" s="32"/>
      <c r="I143" s="32"/>
      <c r="J143" s="31"/>
      <c r="K143" s="33" t="str">
        <f aca="false">IF(E143&lt;&gt;"",E143,IF(U143,"Present",IF(C143="Holiday","Holiday","Weekend")))</f>
        <v>Present</v>
      </c>
      <c r="L143" s="34" t="n">
        <f aca="false">IF(OR(K143="Present",K143="Manual Work",K143="Partial Vacation",K143="Partial Sick Leave"),IF(ISNUMBER(F143),F143,IF(AND(K143="Present",U143),Settings!$B$6,"")),"")</f>
        <v>0.333333333333333</v>
      </c>
      <c r="M143" s="34" t="n">
        <f aca="false">IF(OR(K143="Present",K143="Manual Work",K143="Partial Vacation",K143="Partial Sick Leave"),IF(ISNUMBER(G143),G143,IF(AND(K143="Present",U143),V143,"")),"")</f>
        <v>0.6875</v>
      </c>
      <c r="N143" s="14" t="n">
        <f aca="false">IF(AND(ISNUMBER(L143),ISNUMBER(M143)),MAX(0,(M143-L143)*24),0)</f>
        <v>8.5</v>
      </c>
      <c r="O143" s="14" t="n">
        <f aca="false">IF(NOT(U143),0,IF(K143="Vacation",IF(C143="Eve",Settings!$B$9*Settings!$B$11,W143),IF(K143="Partial Vacation",IF(AND(ISNUMBER(H143),ISNUMBER(I143)),MAX(0,(I143-H143)*24),0),0)))</f>
        <v>0</v>
      </c>
      <c r="P143" s="14" t="n">
        <f aca="false">IF(NOT(U143),0,IF(K143="Sick Leave",W143,IF(K143="Partial Sick Leave",IF(AND(ISNUMBER(H143),ISNUMBER(I143)),MAX(0,(I143-H143)*24),0),0)))</f>
        <v>0</v>
      </c>
      <c r="Q143" s="14" t="n">
        <f aca="false">IF(NOT(U143),0,IF(K143="Vacation",IF(C143="Eve",Settings!$B$11,1),IF(K143="Partial Vacation",O143/Settings!$B$9,0)))</f>
        <v>0</v>
      </c>
      <c r="R143" s="14" t="n">
        <f aca="false">IF(NOT(U143),0,IF(K143="Sick Leave",1,IF(K143="Partial Sick Leave",P143/Settings!$B$9,0)))</f>
        <v>0</v>
      </c>
      <c r="S143" s="35" t="str">
        <f aca="false">IF(AND(OR(E143="Vacation",E143="Sick Leave",E143="Partial Vacation",E143="Partial Sick Leave"),NOT(U143)),"Leave not allowed on this day",IF(AND(E143="Manual Work",OR(NOT(ISNUMBER(F143)),NOT(ISNUMBER(G143)))),"Enter start and end",IF(AND(OR(E143="Partial Vacation",E143="Partial Sick Leave"),OR(NOT(ISNUMBER(H143)),NOT(ISNUMBER(I143)))),"Enter leave from and to",IF(AND(ISNUMBER(F143),ISNUMBER(G143),G143&lt;=F143),"End is before start",IF(AND(ISNUMBER(H143),ISNUMBER(I143),I143&lt;=H143),"Leave end is before start",IF(AND(ISNUMBER(F143),ISNUMBER(G143),ISNUMBER(H143),ISNUMBER(I143),F143&lt;I143,H143&lt;G143),"Work and leave hours overlap",IF(AND(E143&lt;&gt;"",WEEKDAY(A143)=7),"Saturday - administrator only","")))))))</f>
        <v/>
      </c>
      <c r="T143" s="36" t="n">
        <f aca="false">MONTH(A143)</f>
        <v>5</v>
      </c>
      <c r="U143" s="37" t="b">
        <f aca="false">OR(C143="Workday",C143="Eve")</f>
        <v>1</v>
      </c>
      <c r="V143" s="34" t="n">
        <f aca="false">IF(C143="Eve",Settings!$B$8,Settings!$B$7)</f>
        <v>0.6875</v>
      </c>
      <c r="W143" s="14" t="n">
        <f aca="false">IF(U143,(V143-Settings!$B$6)*24,0)</f>
        <v>8.5</v>
      </c>
    </row>
    <row r="144" customFormat="false" ht="15" hidden="false" customHeight="false" outlineLevel="0" collapsed="false">
      <c r="A144" s="29" t="n">
        <v>46160</v>
      </c>
      <c r="B144" s="30" t="str">
        <f aca="false">CHOOSE(WEEKDAY(A144),"Sun","Mon","Tue","Wed","Thu","Fri","Sat")</f>
        <v>Mon</v>
      </c>
      <c r="C144" s="30" t="str">
        <f aca="false">IF(IFERROR(INDEX(Holidays!$D$5:$D$60,MATCH(A144,Holidays!$A$5:$A$60,0)),"")="Holiday","Holiday",IF(WEEKDAY(A144)&gt;=6,"Weekend",IF(IFERROR(INDEX(Holidays!$D$5:$D$60,MATCH(A144,Holidays!$A$5:$A$60,0)),"")="Eve","Eve","Workday")))</f>
        <v>Workday</v>
      </c>
      <c r="D144" s="18" t="str">
        <f aca="false">IFERROR(INDEX(Holidays!$C$5:$C$60,MATCH(A144,Holidays!$A$5:$A$60,0)),"")</f>
        <v/>
      </c>
      <c r="E144" s="31"/>
      <c r="F144" s="32"/>
      <c r="G144" s="32"/>
      <c r="H144" s="32"/>
      <c r="I144" s="32"/>
      <c r="J144" s="31"/>
      <c r="K144" s="33" t="str">
        <f aca="false">IF(E144&lt;&gt;"",E144,IF(U144,"Present",IF(C144="Holiday","Holiday","Weekend")))</f>
        <v>Present</v>
      </c>
      <c r="L144" s="34" t="n">
        <f aca="false">IF(OR(K144="Present",K144="Manual Work",K144="Partial Vacation",K144="Partial Sick Leave"),IF(ISNUMBER(F144),F144,IF(AND(K144="Present",U144),Settings!$B$6,"")),"")</f>
        <v>0.333333333333333</v>
      </c>
      <c r="M144" s="34" t="n">
        <f aca="false">IF(OR(K144="Present",K144="Manual Work",K144="Partial Vacation",K144="Partial Sick Leave"),IF(ISNUMBER(G144),G144,IF(AND(K144="Present",U144),V144,"")),"")</f>
        <v>0.6875</v>
      </c>
      <c r="N144" s="14" t="n">
        <f aca="false">IF(AND(ISNUMBER(L144),ISNUMBER(M144)),MAX(0,(M144-L144)*24),0)</f>
        <v>8.5</v>
      </c>
      <c r="O144" s="14" t="n">
        <f aca="false">IF(NOT(U144),0,IF(K144="Vacation",IF(C144="Eve",Settings!$B$9*Settings!$B$11,W144),IF(K144="Partial Vacation",IF(AND(ISNUMBER(H144),ISNUMBER(I144)),MAX(0,(I144-H144)*24),0),0)))</f>
        <v>0</v>
      </c>
      <c r="P144" s="14" t="n">
        <f aca="false">IF(NOT(U144),0,IF(K144="Sick Leave",W144,IF(K144="Partial Sick Leave",IF(AND(ISNUMBER(H144),ISNUMBER(I144)),MAX(0,(I144-H144)*24),0),0)))</f>
        <v>0</v>
      </c>
      <c r="Q144" s="14" t="n">
        <f aca="false">IF(NOT(U144),0,IF(K144="Vacation",IF(C144="Eve",Settings!$B$11,1),IF(K144="Partial Vacation",O144/Settings!$B$9,0)))</f>
        <v>0</v>
      </c>
      <c r="R144" s="14" t="n">
        <f aca="false">IF(NOT(U144),0,IF(K144="Sick Leave",1,IF(K144="Partial Sick Leave",P144/Settings!$B$9,0)))</f>
        <v>0</v>
      </c>
      <c r="S144" s="35" t="str">
        <f aca="false">IF(AND(OR(E144="Vacation",E144="Sick Leave",E144="Partial Vacation",E144="Partial Sick Leave"),NOT(U144)),"Leave not allowed on this day",IF(AND(E144="Manual Work",OR(NOT(ISNUMBER(F144)),NOT(ISNUMBER(G144)))),"Enter start and end",IF(AND(OR(E144="Partial Vacation",E144="Partial Sick Leave"),OR(NOT(ISNUMBER(H144)),NOT(ISNUMBER(I144)))),"Enter leave from and to",IF(AND(ISNUMBER(F144),ISNUMBER(G144),G144&lt;=F144),"End is before start",IF(AND(ISNUMBER(H144),ISNUMBER(I144),I144&lt;=H144),"Leave end is before start",IF(AND(ISNUMBER(F144),ISNUMBER(G144),ISNUMBER(H144),ISNUMBER(I144),F144&lt;I144,H144&lt;G144),"Work and leave hours overlap",IF(AND(E144&lt;&gt;"",WEEKDAY(A144)=7),"Saturday - administrator only","")))))))</f>
        <v/>
      </c>
      <c r="T144" s="36" t="n">
        <f aca="false">MONTH(A144)</f>
        <v>5</v>
      </c>
      <c r="U144" s="37" t="b">
        <f aca="false">OR(C144="Workday",C144="Eve")</f>
        <v>1</v>
      </c>
      <c r="V144" s="34" t="n">
        <f aca="false">IF(C144="Eve",Settings!$B$8,Settings!$B$7)</f>
        <v>0.6875</v>
      </c>
      <c r="W144" s="14" t="n">
        <f aca="false">IF(U144,(V144-Settings!$B$6)*24,0)</f>
        <v>8.5</v>
      </c>
    </row>
    <row r="145" customFormat="false" ht="15" hidden="false" customHeight="false" outlineLevel="0" collapsed="false">
      <c r="A145" s="29" t="n">
        <v>46161</v>
      </c>
      <c r="B145" s="30" t="str">
        <f aca="false">CHOOSE(WEEKDAY(A145),"Sun","Mon","Tue","Wed","Thu","Fri","Sat")</f>
        <v>Tue</v>
      </c>
      <c r="C145" s="30" t="str">
        <f aca="false">IF(IFERROR(INDEX(Holidays!$D$5:$D$60,MATCH(A145,Holidays!$A$5:$A$60,0)),"")="Holiday","Holiday",IF(WEEKDAY(A145)&gt;=6,"Weekend",IF(IFERROR(INDEX(Holidays!$D$5:$D$60,MATCH(A145,Holidays!$A$5:$A$60,0)),"")="Eve","Eve","Workday")))</f>
        <v>Workday</v>
      </c>
      <c r="D145" s="18" t="str">
        <f aca="false">IFERROR(INDEX(Holidays!$C$5:$C$60,MATCH(A145,Holidays!$A$5:$A$60,0)),"")</f>
        <v/>
      </c>
      <c r="E145" s="31"/>
      <c r="F145" s="32"/>
      <c r="G145" s="32"/>
      <c r="H145" s="32"/>
      <c r="I145" s="32"/>
      <c r="J145" s="31"/>
      <c r="K145" s="33" t="str">
        <f aca="false">IF(E145&lt;&gt;"",E145,IF(U145,"Present",IF(C145="Holiday","Holiday","Weekend")))</f>
        <v>Present</v>
      </c>
      <c r="L145" s="34" t="n">
        <f aca="false">IF(OR(K145="Present",K145="Manual Work",K145="Partial Vacation",K145="Partial Sick Leave"),IF(ISNUMBER(F145),F145,IF(AND(K145="Present",U145),Settings!$B$6,"")),"")</f>
        <v>0.333333333333333</v>
      </c>
      <c r="M145" s="34" t="n">
        <f aca="false">IF(OR(K145="Present",K145="Manual Work",K145="Partial Vacation",K145="Partial Sick Leave"),IF(ISNUMBER(G145),G145,IF(AND(K145="Present",U145),V145,"")),"")</f>
        <v>0.6875</v>
      </c>
      <c r="N145" s="14" t="n">
        <f aca="false">IF(AND(ISNUMBER(L145),ISNUMBER(M145)),MAX(0,(M145-L145)*24),0)</f>
        <v>8.5</v>
      </c>
      <c r="O145" s="14" t="n">
        <f aca="false">IF(NOT(U145),0,IF(K145="Vacation",IF(C145="Eve",Settings!$B$9*Settings!$B$11,W145),IF(K145="Partial Vacation",IF(AND(ISNUMBER(H145),ISNUMBER(I145)),MAX(0,(I145-H145)*24),0),0)))</f>
        <v>0</v>
      </c>
      <c r="P145" s="14" t="n">
        <f aca="false">IF(NOT(U145),0,IF(K145="Sick Leave",W145,IF(K145="Partial Sick Leave",IF(AND(ISNUMBER(H145),ISNUMBER(I145)),MAX(0,(I145-H145)*24),0),0)))</f>
        <v>0</v>
      </c>
      <c r="Q145" s="14" t="n">
        <f aca="false">IF(NOT(U145),0,IF(K145="Vacation",IF(C145="Eve",Settings!$B$11,1),IF(K145="Partial Vacation",O145/Settings!$B$9,0)))</f>
        <v>0</v>
      </c>
      <c r="R145" s="14" t="n">
        <f aca="false">IF(NOT(U145),0,IF(K145="Sick Leave",1,IF(K145="Partial Sick Leave",P145/Settings!$B$9,0)))</f>
        <v>0</v>
      </c>
      <c r="S145" s="35" t="str">
        <f aca="false">IF(AND(OR(E145="Vacation",E145="Sick Leave",E145="Partial Vacation",E145="Partial Sick Leave"),NOT(U145)),"Leave not allowed on this day",IF(AND(E145="Manual Work",OR(NOT(ISNUMBER(F145)),NOT(ISNUMBER(G145)))),"Enter start and end",IF(AND(OR(E145="Partial Vacation",E145="Partial Sick Leave"),OR(NOT(ISNUMBER(H145)),NOT(ISNUMBER(I145)))),"Enter leave from and to",IF(AND(ISNUMBER(F145),ISNUMBER(G145),G145&lt;=F145),"End is before start",IF(AND(ISNUMBER(H145),ISNUMBER(I145),I145&lt;=H145),"Leave end is before start",IF(AND(ISNUMBER(F145),ISNUMBER(G145),ISNUMBER(H145),ISNUMBER(I145),F145&lt;I145,H145&lt;G145),"Work and leave hours overlap",IF(AND(E145&lt;&gt;"",WEEKDAY(A145)=7),"Saturday - administrator only","")))))))</f>
        <v/>
      </c>
      <c r="T145" s="36" t="n">
        <f aca="false">MONTH(A145)</f>
        <v>5</v>
      </c>
      <c r="U145" s="37" t="b">
        <f aca="false">OR(C145="Workday",C145="Eve")</f>
        <v>1</v>
      </c>
      <c r="V145" s="34" t="n">
        <f aca="false">IF(C145="Eve",Settings!$B$8,Settings!$B$7)</f>
        <v>0.6875</v>
      </c>
      <c r="W145" s="14" t="n">
        <f aca="false">IF(U145,(V145-Settings!$B$6)*24,0)</f>
        <v>8.5</v>
      </c>
    </row>
    <row r="146" customFormat="false" ht="15" hidden="false" customHeight="false" outlineLevel="0" collapsed="false">
      <c r="A146" s="29" t="n">
        <v>46162</v>
      </c>
      <c r="B146" s="30" t="str">
        <f aca="false">CHOOSE(WEEKDAY(A146),"Sun","Mon","Tue","Wed","Thu","Fri","Sat")</f>
        <v>Wed</v>
      </c>
      <c r="C146" s="30" t="str">
        <f aca="false">IF(IFERROR(INDEX(Holidays!$D$5:$D$60,MATCH(A146,Holidays!$A$5:$A$60,0)),"")="Holiday","Holiday",IF(WEEKDAY(A146)&gt;=6,"Weekend",IF(IFERROR(INDEX(Holidays!$D$5:$D$60,MATCH(A146,Holidays!$A$5:$A$60,0)),"")="Eve","Eve","Workday")))</f>
        <v>Workday</v>
      </c>
      <c r="D146" s="18" t="str">
        <f aca="false">IFERROR(INDEX(Holidays!$C$5:$C$60,MATCH(A146,Holidays!$A$5:$A$60,0)),"")</f>
        <v/>
      </c>
      <c r="E146" s="31"/>
      <c r="F146" s="32"/>
      <c r="G146" s="32"/>
      <c r="H146" s="32"/>
      <c r="I146" s="32"/>
      <c r="J146" s="31"/>
      <c r="K146" s="33" t="str">
        <f aca="false">IF(E146&lt;&gt;"",E146,IF(U146,"Present",IF(C146="Holiday","Holiday","Weekend")))</f>
        <v>Present</v>
      </c>
      <c r="L146" s="34" t="n">
        <f aca="false">IF(OR(K146="Present",K146="Manual Work",K146="Partial Vacation",K146="Partial Sick Leave"),IF(ISNUMBER(F146),F146,IF(AND(K146="Present",U146),Settings!$B$6,"")),"")</f>
        <v>0.333333333333333</v>
      </c>
      <c r="M146" s="34" t="n">
        <f aca="false">IF(OR(K146="Present",K146="Manual Work",K146="Partial Vacation",K146="Partial Sick Leave"),IF(ISNUMBER(G146),G146,IF(AND(K146="Present",U146),V146,"")),"")</f>
        <v>0.6875</v>
      </c>
      <c r="N146" s="14" t="n">
        <f aca="false">IF(AND(ISNUMBER(L146),ISNUMBER(M146)),MAX(0,(M146-L146)*24),0)</f>
        <v>8.5</v>
      </c>
      <c r="O146" s="14" t="n">
        <f aca="false">IF(NOT(U146),0,IF(K146="Vacation",IF(C146="Eve",Settings!$B$9*Settings!$B$11,W146),IF(K146="Partial Vacation",IF(AND(ISNUMBER(H146),ISNUMBER(I146)),MAX(0,(I146-H146)*24),0),0)))</f>
        <v>0</v>
      </c>
      <c r="P146" s="14" t="n">
        <f aca="false">IF(NOT(U146),0,IF(K146="Sick Leave",W146,IF(K146="Partial Sick Leave",IF(AND(ISNUMBER(H146),ISNUMBER(I146)),MAX(0,(I146-H146)*24),0),0)))</f>
        <v>0</v>
      </c>
      <c r="Q146" s="14" t="n">
        <f aca="false">IF(NOT(U146),0,IF(K146="Vacation",IF(C146="Eve",Settings!$B$11,1),IF(K146="Partial Vacation",O146/Settings!$B$9,0)))</f>
        <v>0</v>
      </c>
      <c r="R146" s="14" t="n">
        <f aca="false">IF(NOT(U146),0,IF(K146="Sick Leave",1,IF(K146="Partial Sick Leave",P146/Settings!$B$9,0)))</f>
        <v>0</v>
      </c>
      <c r="S146" s="35" t="str">
        <f aca="false">IF(AND(OR(E146="Vacation",E146="Sick Leave",E146="Partial Vacation",E146="Partial Sick Leave"),NOT(U146)),"Leave not allowed on this day",IF(AND(E146="Manual Work",OR(NOT(ISNUMBER(F146)),NOT(ISNUMBER(G146)))),"Enter start and end",IF(AND(OR(E146="Partial Vacation",E146="Partial Sick Leave"),OR(NOT(ISNUMBER(H146)),NOT(ISNUMBER(I146)))),"Enter leave from and to",IF(AND(ISNUMBER(F146),ISNUMBER(G146),G146&lt;=F146),"End is before start",IF(AND(ISNUMBER(H146),ISNUMBER(I146),I146&lt;=H146),"Leave end is before start",IF(AND(ISNUMBER(F146),ISNUMBER(G146),ISNUMBER(H146),ISNUMBER(I146),F146&lt;I146,H146&lt;G146),"Work and leave hours overlap",IF(AND(E146&lt;&gt;"",WEEKDAY(A146)=7),"Saturday - administrator only","")))))))</f>
        <v/>
      </c>
      <c r="T146" s="36" t="n">
        <f aca="false">MONTH(A146)</f>
        <v>5</v>
      </c>
      <c r="U146" s="37" t="b">
        <f aca="false">OR(C146="Workday",C146="Eve")</f>
        <v>1</v>
      </c>
      <c r="V146" s="34" t="n">
        <f aca="false">IF(C146="Eve",Settings!$B$8,Settings!$B$7)</f>
        <v>0.6875</v>
      </c>
      <c r="W146" s="14" t="n">
        <f aca="false">IF(U146,(V146-Settings!$B$6)*24,0)</f>
        <v>8.5</v>
      </c>
    </row>
    <row r="147" customFormat="false" ht="15" hidden="false" customHeight="false" outlineLevel="0" collapsed="false">
      <c r="A147" s="29" t="n">
        <v>46163</v>
      </c>
      <c r="B147" s="30" t="str">
        <f aca="false">CHOOSE(WEEKDAY(A147),"Sun","Mon","Tue","Wed","Thu","Fri","Sat")</f>
        <v>Thu</v>
      </c>
      <c r="C147" s="30" t="str">
        <f aca="false">IF(IFERROR(INDEX(Holidays!$D$5:$D$60,MATCH(A147,Holidays!$A$5:$A$60,0)),"")="Holiday","Holiday",IF(WEEKDAY(A147)&gt;=6,"Weekend",IF(IFERROR(INDEX(Holidays!$D$5:$D$60,MATCH(A147,Holidays!$A$5:$A$60,0)),"")="Eve","Eve","Workday")))</f>
        <v>Eve</v>
      </c>
      <c r="D147" s="18" t="str">
        <f aca="false">IFERROR(INDEX(Holidays!$C$5:$C$60,MATCH(A147,Holidays!$A$5:$A$60,0)),"")</f>
        <v>Erev Shavuot</v>
      </c>
      <c r="E147" s="31"/>
      <c r="F147" s="32"/>
      <c r="G147" s="32"/>
      <c r="H147" s="32"/>
      <c r="I147" s="32"/>
      <c r="J147" s="31"/>
      <c r="K147" s="33" t="str">
        <f aca="false">IF(E147&lt;&gt;"",E147,IF(U147,"Present",IF(C147="Holiday","Holiday","Weekend")))</f>
        <v>Present</v>
      </c>
      <c r="L147" s="34" t="n">
        <f aca="false">IF(OR(K147="Present",K147="Manual Work",K147="Partial Vacation",K147="Partial Sick Leave"),IF(ISNUMBER(F147),F147,IF(AND(K147="Present",U147),Settings!$B$6,"")),"")</f>
        <v>0.333333333333333</v>
      </c>
      <c r="M147" s="34" t="n">
        <f aca="false">IF(OR(K147="Present",K147="Manual Work",K147="Partial Vacation",K147="Partial Sick Leave"),IF(ISNUMBER(G147),G147,IF(AND(K147="Present",U147),V147,"")),"")</f>
        <v>0.583333333333333</v>
      </c>
      <c r="N147" s="14" t="n">
        <f aca="false">IF(AND(ISNUMBER(L147),ISNUMBER(M147)),MAX(0,(M147-L147)*24),0)</f>
        <v>6</v>
      </c>
      <c r="O147" s="14" t="n">
        <f aca="false">IF(NOT(U147),0,IF(K147="Vacation",IF(C147="Eve",Settings!$B$9*Settings!$B$11,W147),IF(K147="Partial Vacation",IF(AND(ISNUMBER(H147),ISNUMBER(I147)),MAX(0,(I147-H147)*24),0),0)))</f>
        <v>0</v>
      </c>
      <c r="P147" s="14" t="n">
        <f aca="false">IF(NOT(U147),0,IF(K147="Sick Leave",W147,IF(K147="Partial Sick Leave",IF(AND(ISNUMBER(H147),ISNUMBER(I147)),MAX(0,(I147-H147)*24),0),0)))</f>
        <v>0</v>
      </c>
      <c r="Q147" s="14" t="n">
        <f aca="false">IF(NOT(U147),0,IF(K147="Vacation",IF(C147="Eve",Settings!$B$11,1),IF(K147="Partial Vacation",O147/Settings!$B$9,0)))</f>
        <v>0</v>
      </c>
      <c r="R147" s="14" t="n">
        <f aca="false">IF(NOT(U147),0,IF(K147="Sick Leave",1,IF(K147="Partial Sick Leave",P147/Settings!$B$9,0)))</f>
        <v>0</v>
      </c>
      <c r="S147" s="35" t="str">
        <f aca="false">IF(AND(OR(E147="Vacation",E147="Sick Leave",E147="Partial Vacation",E147="Partial Sick Leave"),NOT(U147)),"Leave not allowed on this day",IF(AND(E147="Manual Work",OR(NOT(ISNUMBER(F147)),NOT(ISNUMBER(G147)))),"Enter start and end",IF(AND(OR(E147="Partial Vacation",E147="Partial Sick Leave"),OR(NOT(ISNUMBER(H147)),NOT(ISNUMBER(I147)))),"Enter leave from and to",IF(AND(ISNUMBER(F147),ISNUMBER(G147),G147&lt;=F147),"End is before start",IF(AND(ISNUMBER(H147),ISNUMBER(I147),I147&lt;=H147),"Leave end is before start",IF(AND(ISNUMBER(F147),ISNUMBER(G147),ISNUMBER(H147),ISNUMBER(I147),F147&lt;I147,H147&lt;G147),"Work and leave hours overlap",IF(AND(E147&lt;&gt;"",WEEKDAY(A147)=7),"Saturday - administrator only","")))))))</f>
        <v/>
      </c>
      <c r="T147" s="36" t="n">
        <f aca="false">MONTH(A147)</f>
        <v>5</v>
      </c>
      <c r="U147" s="37" t="b">
        <f aca="false">OR(C147="Workday",C147="Eve")</f>
        <v>1</v>
      </c>
      <c r="V147" s="34" t="n">
        <f aca="false">IF(C147="Eve",Settings!$B$8,Settings!$B$7)</f>
        <v>0.583333333333333</v>
      </c>
      <c r="W147" s="14" t="n">
        <f aca="false">IF(U147,(V147-Settings!$B$6)*24,0)</f>
        <v>6</v>
      </c>
    </row>
    <row r="148" customFormat="false" ht="15" hidden="false" customHeight="false" outlineLevel="0" collapsed="false">
      <c r="A148" s="29" t="n">
        <v>46164</v>
      </c>
      <c r="B148" s="30" t="str">
        <f aca="false">CHOOSE(WEEKDAY(A148),"Sun","Mon","Tue","Wed","Thu","Fri","Sat")</f>
        <v>Fri</v>
      </c>
      <c r="C148" s="30" t="str">
        <f aca="false">IF(IFERROR(INDEX(Holidays!$D$5:$D$60,MATCH(A148,Holidays!$A$5:$A$60,0)),"")="Holiday","Holiday",IF(WEEKDAY(A148)&gt;=6,"Weekend",IF(IFERROR(INDEX(Holidays!$D$5:$D$60,MATCH(A148,Holidays!$A$5:$A$60,0)),"")="Eve","Eve","Workday")))</f>
        <v>Holiday</v>
      </c>
      <c r="D148" s="18" t="str">
        <f aca="false">IFERROR(INDEX(Holidays!$C$5:$C$60,MATCH(A148,Holidays!$A$5:$A$60,0)),"")</f>
        <v>Shavuot</v>
      </c>
      <c r="E148" s="31"/>
      <c r="F148" s="32"/>
      <c r="G148" s="32"/>
      <c r="H148" s="32"/>
      <c r="I148" s="32"/>
      <c r="J148" s="31"/>
      <c r="K148" s="33" t="str">
        <f aca="false">IF(E148&lt;&gt;"",E148,IF(U148,"Present",IF(C148="Holiday","Holiday","Weekend")))</f>
        <v>Holiday</v>
      </c>
      <c r="L148" s="34" t="str">
        <f aca="false">IF(OR(K148="Present",K148="Manual Work",K148="Partial Vacation",K148="Partial Sick Leave"),IF(ISNUMBER(F148),F148,IF(AND(K148="Present",U148),Settings!$B$6,"")),"")</f>
        <v/>
      </c>
      <c r="M148" s="34" t="str">
        <f aca="false">IF(OR(K148="Present",K148="Manual Work",K148="Partial Vacation",K148="Partial Sick Leave"),IF(ISNUMBER(G148),G148,IF(AND(K148="Present",U148),V148,"")),"")</f>
        <v/>
      </c>
      <c r="N148" s="14" t="n">
        <f aca="false">IF(AND(ISNUMBER(L148),ISNUMBER(M148)),MAX(0,(M148-L148)*24),0)</f>
        <v>0</v>
      </c>
      <c r="O148" s="14" t="n">
        <f aca="false">IF(NOT(U148),0,IF(K148="Vacation",IF(C148="Eve",Settings!$B$9*Settings!$B$11,W148),IF(K148="Partial Vacation",IF(AND(ISNUMBER(H148),ISNUMBER(I148)),MAX(0,(I148-H148)*24),0),0)))</f>
        <v>0</v>
      </c>
      <c r="P148" s="14" t="n">
        <f aca="false">IF(NOT(U148),0,IF(K148="Sick Leave",W148,IF(K148="Partial Sick Leave",IF(AND(ISNUMBER(H148),ISNUMBER(I148)),MAX(0,(I148-H148)*24),0),0)))</f>
        <v>0</v>
      </c>
      <c r="Q148" s="14" t="n">
        <f aca="false">IF(NOT(U148),0,IF(K148="Vacation",IF(C148="Eve",Settings!$B$11,1),IF(K148="Partial Vacation",O148/Settings!$B$9,0)))</f>
        <v>0</v>
      </c>
      <c r="R148" s="14" t="n">
        <f aca="false">IF(NOT(U148),0,IF(K148="Sick Leave",1,IF(K148="Partial Sick Leave",P148/Settings!$B$9,0)))</f>
        <v>0</v>
      </c>
      <c r="S148" s="35" t="str">
        <f aca="false">IF(AND(OR(E148="Vacation",E148="Sick Leave",E148="Partial Vacation",E148="Partial Sick Leave"),NOT(U148)),"Leave not allowed on this day",IF(AND(E148="Manual Work",OR(NOT(ISNUMBER(F148)),NOT(ISNUMBER(G148)))),"Enter start and end",IF(AND(OR(E148="Partial Vacation",E148="Partial Sick Leave"),OR(NOT(ISNUMBER(H148)),NOT(ISNUMBER(I148)))),"Enter leave from and to",IF(AND(ISNUMBER(F148),ISNUMBER(G148),G148&lt;=F148),"End is before start",IF(AND(ISNUMBER(H148),ISNUMBER(I148),I148&lt;=H148),"Leave end is before start",IF(AND(ISNUMBER(F148),ISNUMBER(G148),ISNUMBER(H148),ISNUMBER(I148),F148&lt;I148,H148&lt;G148),"Work and leave hours overlap",IF(AND(E148&lt;&gt;"",WEEKDAY(A148)=7),"Saturday - administrator only","")))))))</f>
        <v/>
      </c>
      <c r="T148" s="36" t="n">
        <f aca="false">MONTH(A148)</f>
        <v>5</v>
      </c>
      <c r="U148" s="37" t="b">
        <f aca="false">OR(C148="Workday",C148="Eve")</f>
        <v>0</v>
      </c>
      <c r="V148" s="34" t="n">
        <f aca="false">IF(C148="Eve",Settings!$B$8,Settings!$B$7)</f>
        <v>0.6875</v>
      </c>
      <c r="W148" s="14" t="n">
        <f aca="false">IF(U148,(V148-Settings!$B$6)*24,0)</f>
        <v>0</v>
      </c>
    </row>
    <row r="149" customFormat="false" ht="15" hidden="false" customHeight="false" outlineLevel="0" collapsed="false">
      <c r="A149" s="29" t="n">
        <v>46165</v>
      </c>
      <c r="B149" s="30" t="str">
        <f aca="false">CHOOSE(WEEKDAY(A149),"Sun","Mon","Tue","Wed","Thu","Fri","Sat")</f>
        <v>Sat</v>
      </c>
      <c r="C149" s="30" t="str">
        <f aca="false">IF(IFERROR(INDEX(Holidays!$D$5:$D$60,MATCH(A149,Holidays!$A$5:$A$60,0)),"")="Holiday","Holiday",IF(WEEKDAY(A149)&gt;=6,"Weekend",IF(IFERROR(INDEX(Holidays!$D$5:$D$60,MATCH(A149,Holidays!$A$5:$A$60,0)),"")="Eve","Eve","Workday")))</f>
        <v>Weekend</v>
      </c>
      <c r="D149" s="18" t="str">
        <f aca="false">IFERROR(INDEX(Holidays!$C$5:$C$60,MATCH(A149,Holidays!$A$5:$A$60,0)),"")</f>
        <v/>
      </c>
      <c r="E149" s="31"/>
      <c r="F149" s="32"/>
      <c r="G149" s="32"/>
      <c r="H149" s="32"/>
      <c r="I149" s="32"/>
      <c r="J149" s="31"/>
      <c r="K149" s="33" t="str">
        <f aca="false">IF(E149&lt;&gt;"",E149,IF(U149,"Present",IF(C149="Holiday","Holiday","Weekend")))</f>
        <v>Weekend</v>
      </c>
      <c r="L149" s="34" t="str">
        <f aca="false">IF(OR(K149="Present",K149="Manual Work",K149="Partial Vacation",K149="Partial Sick Leave"),IF(ISNUMBER(F149),F149,IF(AND(K149="Present",U149),Settings!$B$6,"")),"")</f>
        <v/>
      </c>
      <c r="M149" s="34" t="str">
        <f aca="false">IF(OR(K149="Present",K149="Manual Work",K149="Partial Vacation",K149="Partial Sick Leave"),IF(ISNUMBER(G149),G149,IF(AND(K149="Present",U149),V149,"")),"")</f>
        <v/>
      </c>
      <c r="N149" s="14" t="n">
        <f aca="false">IF(AND(ISNUMBER(L149),ISNUMBER(M149)),MAX(0,(M149-L149)*24),0)</f>
        <v>0</v>
      </c>
      <c r="O149" s="14" t="n">
        <f aca="false">IF(NOT(U149),0,IF(K149="Vacation",IF(C149="Eve",Settings!$B$9*Settings!$B$11,W149),IF(K149="Partial Vacation",IF(AND(ISNUMBER(H149),ISNUMBER(I149)),MAX(0,(I149-H149)*24),0),0)))</f>
        <v>0</v>
      </c>
      <c r="P149" s="14" t="n">
        <f aca="false">IF(NOT(U149),0,IF(K149="Sick Leave",W149,IF(K149="Partial Sick Leave",IF(AND(ISNUMBER(H149),ISNUMBER(I149)),MAX(0,(I149-H149)*24),0),0)))</f>
        <v>0</v>
      </c>
      <c r="Q149" s="14" t="n">
        <f aca="false">IF(NOT(U149),0,IF(K149="Vacation",IF(C149="Eve",Settings!$B$11,1),IF(K149="Partial Vacation",O149/Settings!$B$9,0)))</f>
        <v>0</v>
      </c>
      <c r="R149" s="14" t="n">
        <f aca="false">IF(NOT(U149),0,IF(K149="Sick Leave",1,IF(K149="Partial Sick Leave",P149/Settings!$B$9,0)))</f>
        <v>0</v>
      </c>
      <c r="S149" s="35" t="str">
        <f aca="false">IF(AND(OR(E149="Vacation",E149="Sick Leave",E149="Partial Vacation",E149="Partial Sick Leave"),NOT(U149)),"Leave not allowed on this day",IF(AND(E149="Manual Work",OR(NOT(ISNUMBER(F149)),NOT(ISNUMBER(G149)))),"Enter start and end",IF(AND(OR(E149="Partial Vacation",E149="Partial Sick Leave"),OR(NOT(ISNUMBER(H149)),NOT(ISNUMBER(I149)))),"Enter leave from and to",IF(AND(ISNUMBER(F149),ISNUMBER(G149),G149&lt;=F149),"End is before start",IF(AND(ISNUMBER(H149),ISNUMBER(I149),I149&lt;=H149),"Leave end is before start",IF(AND(ISNUMBER(F149),ISNUMBER(G149),ISNUMBER(H149),ISNUMBER(I149),F149&lt;I149,H149&lt;G149),"Work and leave hours overlap",IF(AND(E149&lt;&gt;"",WEEKDAY(A149)=7),"Saturday - administrator only","")))))))</f>
        <v/>
      </c>
      <c r="T149" s="36" t="n">
        <f aca="false">MONTH(A149)</f>
        <v>5</v>
      </c>
      <c r="U149" s="37" t="b">
        <f aca="false">OR(C149="Workday",C149="Eve")</f>
        <v>0</v>
      </c>
      <c r="V149" s="34" t="n">
        <f aca="false">IF(C149="Eve",Settings!$B$8,Settings!$B$7)</f>
        <v>0.6875</v>
      </c>
      <c r="W149" s="14" t="n">
        <f aca="false">IF(U149,(V149-Settings!$B$6)*24,0)</f>
        <v>0</v>
      </c>
    </row>
    <row r="150" customFormat="false" ht="15" hidden="false" customHeight="false" outlineLevel="0" collapsed="false">
      <c r="A150" s="29" t="n">
        <v>46166</v>
      </c>
      <c r="B150" s="30" t="str">
        <f aca="false">CHOOSE(WEEKDAY(A150),"Sun","Mon","Tue","Wed","Thu","Fri","Sat")</f>
        <v>Sun</v>
      </c>
      <c r="C150" s="30" t="str">
        <f aca="false">IF(IFERROR(INDEX(Holidays!$D$5:$D$60,MATCH(A150,Holidays!$A$5:$A$60,0)),"")="Holiday","Holiday",IF(WEEKDAY(A150)&gt;=6,"Weekend",IF(IFERROR(INDEX(Holidays!$D$5:$D$60,MATCH(A150,Holidays!$A$5:$A$60,0)),"")="Eve","Eve","Workday")))</f>
        <v>Workday</v>
      </c>
      <c r="D150" s="18" t="str">
        <f aca="false">IFERROR(INDEX(Holidays!$C$5:$C$60,MATCH(A150,Holidays!$A$5:$A$60,0)),"")</f>
        <v/>
      </c>
      <c r="E150" s="31"/>
      <c r="F150" s="32"/>
      <c r="G150" s="32"/>
      <c r="H150" s="32"/>
      <c r="I150" s="32"/>
      <c r="J150" s="31"/>
      <c r="K150" s="33" t="str">
        <f aca="false">IF(E150&lt;&gt;"",E150,IF(U150,"Present",IF(C150="Holiday","Holiday","Weekend")))</f>
        <v>Present</v>
      </c>
      <c r="L150" s="34" t="n">
        <f aca="false">IF(OR(K150="Present",K150="Manual Work",K150="Partial Vacation",K150="Partial Sick Leave"),IF(ISNUMBER(F150),F150,IF(AND(K150="Present",U150),Settings!$B$6,"")),"")</f>
        <v>0.333333333333333</v>
      </c>
      <c r="M150" s="34" t="n">
        <f aca="false">IF(OR(K150="Present",K150="Manual Work",K150="Partial Vacation",K150="Partial Sick Leave"),IF(ISNUMBER(G150),G150,IF(AND(K150="Present",U150),V150,"")),"")</f>
        <v>0.6875</v>
      </c>
      <c r="N150" s="14" t="n">
        <f aca="false">IF(AND(ISNUMBER(L150),ISNUMBER(M150)),MAX(0,(M150-L150)*24),0)</f>
        <v>8.5</v>
      </c>
      <c r="O150" s="14" t="n">
        <f aca="false">IF(NOT(U150),0,IF(K150="Vacation",IF(C150="Eve",Settings!$B$9*Settings!$B$11,W150),IF(K150="Partial Vacation",IF(AND(ISNUMBER(H150),ISNUMBER(I150)),MAX(0,(I150-H150)*24),0),0)))</f>
        <v>0</v>
      </c>
      <c r="P150" s="14" t="n">
        <f aca="false">IF(NOT(U150),0,IF(K150="Sick Leave",W150,IF(K150="Partial Sick Leave",IF(AND(ISNUMBER(H150),ISNUMBER(I150)),MAX(0,(I150-H150)*24),0),0)))</f>
        <v>0</v>
      </c>
      <c r="Q150" s="14" t="n">
        <f aca="false">IF(NOT(U150),0,IF(K150="Vacation",IF(C150="Eve",Settings!$B$11,1),IF(K150="Partial Vacation",O150/Settings!$B$9,0)))</f>
        <v>0</v>
      </c>
      <c r="R150" s="14" t="n">
        <f aca="false">IF(NOT(U150),0,IF(K150="Sick Leave",1,IF(K150="Partial Sick Leave",P150/Settings!$B$9,0)))</f>
        <v>0</v>
      </c>
      <c r="S150" s="35" t="str">
        <f aca="false">IF(AND(OR(E150="Vacation",E150="Sick Leave",E150="Partial Vacation",E150="Partial Sick Leave"),NOT(U150)),"Leave not allowed on this day",IF(AND(E150="Manual Work",OR(NOT(ISNUMBER(F150)),NOT(ISNUMBER(G150)))),"Enter start and end",IF(AND(OR(E150="Partial Vacation",E150="Partial Sick Leave"),OR(NOT(ISNUMBER(H150)),NOT(ISNUMBER(I150)))),"Enter leave from and to",IF(AND(ISNUMBER(F150),ISNUMBER(G150),G150&lt;=F150),"End is before start",IF(AND(ISNUMBER(H150),ISNUMBER(I150),I150&lt;=H150),"Leave end is before start",IF(AND(ISNUMBER(F150),ISNUMBER(G150),ISNUMBER(H150),ISNUMBER(I150),F150&lt;I150,H150&lt;G150),"Work and leave hours overlap",IF(AND(E150&lt;&gt;"",WEEKDAY(A150)=7),"Saturday - administrator only","")))))))</f>
        <v/>
      </c>
      <c r="T150" s="36" t="n">
        <f aca="false">MONTH(A150)</f>
        <v>5</v>
      </c>
      <c r="U150" s="37" t="b">
        <f aca="false">OR(C150="Workday",C150="Eve")</f>
        <v>1</v>
      </c>
      <c r="V150" s="34" t="n">
        <f aca="false">IF(C150="Eve",Settings!$B$8,Settings!$B$7)</f>
        <v>0.6875</v>
      </c>
      <c r="W150" s="14" t="n">
        <f aca="false">IF(U150,(V150-Settings!$B$6)*24,0)</f>
        <v>8.5</v>
      </c>
    </row>
    <row r="151" customFormat="false" ht="15" hidden="false" customHeight="false" outlineLevel="0" collapsed="false">
      <c r="A151" s="29" t="n">
        <v>46167</v>
      </c>
      <c r="B151" s="30" t="str">
        <f aca="false">CHOOSE(WEEKDAY(A151),"Sun","Mon","Tue","Wed","Thu","Fri","Sat")</f>
        <v>Mon</v>
      </c>
      <c r="C151" s="30" t="str">
        <f aca="false">IF(IFERROR(INDEX(Holidays!$D$5:$D$60,MATCH(A151,Holidays!$A$5:$A$60,0)),"")="Holiday","Holiday",IF(WEEKDAY(A151)&gt;=6,"Weekend",IF(IFERROR(INDEX(Holidays!$D$5:$D$60,MATCH(A151,Holidays!$A$5:$A$60,0)),"")="Eve","Eve","Workday")))</f>
        <v>Workday</v>
      </c>
      <c r="D151" s="18" t="str">
        <f aca="false">IFERROR(INDEX(Holidays!$C$5:$C$60,MATCH(A151,Holidays!$A$5:$A$60,0)),"")</f>
        <v/>
      </c>
      <c r="E151" s="31"/>
      <c r="F151" s="32"/>
      <c r="G151" s="32"/>
      <c r="H151" s="32"/>
      <c r="I151" s="32"/>
      <c r="J151" s="31"/>
      <c r="K151" s="33" t="str">
        <f aca="false">IF(E151&lt;&gt;"",E151,IF(U151,"Present",IF(C151="Holiday","Holiday","Weekend")))</f>
        <v>Present</v>
      </c>
      <c r="L151" s="34" t="n">
        <f aca="false">IF(OR(K151="Present",K151="Manual Work",K151="Partial Vacation",K151="Partial Sick Leave"),IF(ISNUMBER(F151),F151,IF(AND(K151="Present",U151),Settings!$B$6,"")),"")</f>
        <v>0.333333333333333</v>
      </c>
      <c r="M151" s="34" t="n">
        <f aca="false">IF(OR(K151="Present",K151="Manual Work",K151="Partial Vacation",K151="Partial Sick Leave"),IF(ISNUMBER(G151),G151,IF(AND(K151="Present",U151),V151,"")),"")</f>
        <v>0.6875</v>
      </c>
      <c r="N151" s="14" t="n">
        <f aca="false">IF(AND(ISNUMBER(L151),ISNUMBER(M151)),MAX(0,(M151-L151)*24),0)</f>
        <v>8.5</v>
      </c>
      <c r="O151" s="14" t="n">
        <f aca="false">IF(NOT(U151),0,IF(K151="Vacation",IF(C151="Eve",Settings!$B$9*Settings!$B$11,W151),IF(K151="Partial Vacation",IF(AND(ISNUMBER(H151),ISNUMBER(I151)),MAX(0,(I151-H151)*24),0),0)))</f>
        <v>0</v>
      </c>
      <c r="P151" s="14" t="n">
        <f aca="false">IF(NOT(U151),0,IF(K151="Sick Leave",W151,IF(K151="Partial Sick Leave",IF(AND(ISNUMBER(H151),ISNUMBER(I151)),MAX(0,(I151-H151)*24),0),0)))</f>
        <v>0</v>
      </c>
      <c r="Q151" s="14" t="n">
        <f aca="false">IF(NOT(U151),0,IF(K151="Vacation",IF(C151="Eve",Settings!$B$11,1),IF(K151="Partial Vacation",O151/Settings!$B$9,0)))</f>
        <v>0</v>
      </c>
      <c r="R151" s="14" t="n">
        <f aca="false">IF(NOT(U151),0,IF(K151="Sick Leave",1,IF(K151="Partial Sick Leave",P151/Settings!$B$9,0)))</f>
        <v>0</v>
      </c>
      <c r="S151" s="35" t="str">
        <f aca="false">IF(AND(OR(E151="Vacation",E151="Sick Leave",E151="Partial Vacation",E151="Partial Sick Leave"),NOT(U151)),"Leave not allowed on this day",IF(AND(E151="Manual Work",OR(NOT(ISNUMBER(F151)),NOT(ISNUMBER(G151)))),"Enter start and end",IF(AND(OR(E151="Partial Vacation",E151="Partial Sick Leave"),OR(NOT(ISNUMBER(H151)),NOT(ISNUMBER(I151)))),"Enter leave from and to",IF(AND(ISNUMBER(F151),ISNUMBER(G151),G151&lt;=F151),"End is before start",IF(AND(ISNUMBER(H151),ISNUMBER(I151),I151&lt;=H151),"Leave end is before start",IF(AND(ISNUMBER(F151),ISNUMBER(G151),ISNUMBER(H151),ISNUMBER(I151),F151&lt;I151,H151&lt;G151),"Work and leave hours overlap",IF(AND(E151&lt;&gt;"",WEEKDAY(A151)=7),"Saturday - administrator only","")))))))</f>
        <v/>
      </c>
      <c r="T151" s="36" t="n">
        <f aca="false">MONTH(A151)</f>
        <v>5</v>
      </c>
      <c r="U151" s="37" t="b">
        <f aca="false">OR(C151="Workday",C151="Eve")</f>
        <v>1</v>
      </c>
      <c r="V151" s="34" t="n">
        <f aca="false">IF(C151="Eve",Settings!$B$8,Settings!$B$7)</f>
        <v>0.6875</v>
      </c>
      <c r="W151" s="14" t="n">
        <f aca="false">IF(U151,(V151-Settings!$B$6)*24,0)</f>
        <v>8.5</v>
      </c>
    </row>
    <row r="152" customFormat="false" ht="15" hidden="false" customHeight="false" outlineLevel="0" collapsed="false">
      <c r="A152" s="29" t="n">
        <v>46168</v>
      </c>
      <c r="B152" s="30" t="str">
        <f aca="false">CHOOSE(WEEKDAY(A152),"Sun","Mon","Tue","Wed","Thu","Fri","Sat")</f>
        <v>Tue</v>
      </c>
      <c r="C152" s="30" t="str">
        <f aca="false">IF(IFERROR(INDEX(Holidays!$D$5:$D$60,MATCH(A152,Holidays!$A$5:$A$60,0)),"")="Holiday","Holiday",IF(WEEKDAY(A152)&gt;=6,"Weekend",IF(IFERROR(INDEX(Holidays!$D$5:$D$60,MATCH(A152,Holidays!$A$5:$A$60,0)),"")="Eve","Eve","Workday")))</f>
        <v>Workday</v>
      </c>
      <c r="D152" s="18" t="str">
        <f aca="false">IFERROR(INDEX(Holidays!$C$5:$C$60,MATCH(A152,Holidays!$A$5:$A$60,0)),"")</f>
        <v/>
      </c>
      <c r="E152" s="31"/>
      <c r="F152" s="32"/>
      <c r="G152" s="32"/>
      <c r="H152" s="32"/>
      <c r="I152" s="32"/>
      <c r="J152" s="31"/>
      <c r="K152" s="33" t="str">
        <f aca="false">IF(E152&lt;&gt;"",E152,IF(U152,"Present",IF(C152="Holiday","Holiday","Weekend")))</f>
        <v>Present</v>
      </c>
      <c r="L152" s="34" t="n">
        <f aca="false">IF(OR(K152="Present",K152="Manual Work",K152="Partial Vacation",K152="Partial Sick Leave"),IF(ISNUMBER(F152),F152,IF(AND(K152="Present",U152),Settings!$B$6,"")),"")</f>
        <v>0.333333333333333</v>
      </c>
      <c r="M152" s="34" t="n">
        <f aca="false">IF(OR(K152="Present",K152="Manual Work",K152="Partial Vacation",K152="Partial Sick Leave"),IF(ISNUMBER(G152),G152,IF(AND(K152="Present",U152),V152,"")),"")</f>
        <v>0.6875</v>
      </c>
      <c r="N152" s="14" t="n">
        <f aca="false">IF(AND(ISNUMBER(L152),ISNUMBER(M152)),MAX(0,(M152-L152)*24),0)</f>
        <v>8.5</v>
      </c>
      <c r="O152" s="14" t="n">
        <f aca="false">IF(NOT(U152),0,IF(K152="Vacation",IF(C152="Eve",Settings!$B$9*Settings!$B$11,W152),IF(K152="Partial Vacation",IF(AND(ISNUMBER(H152),ISNUMBER(I152)),MAX(0,(I152-H152)*24),0),0)))</f>
        <v>0</v>
      </c>
      <c r="P152" s="14" t="n">
        <f aca="false">IF(NOT(U152),0,IF(K152="Sick Leave",W152,IF(K152="Partial Sick Leave",IF(AND(ISNUMBER(H152),ISNUMBER(I152)),MAX(0,(I152-H152)*24),0),0)))</f>
        <v>0</v>
      </c>
      <c r="Q152" s="14" t="n">
        <f aca="false">IF(NOT(U152),0,IF(K152="Vacation",IF(C152="Eve",Settings!$B$11,1),IF(K152="Partial Vacation",O152/Settings!$B$9,0)))</f>
        <v>0</v>
      </c>
      <c r="R152" s="14" t="n">
        <f aca="false">IF(NOT(U152),0,IF(K152="Sick Leave",1,IF(K152="Partial Sick Leave",P152/Settings!$B$9,0)))</f>
        <v>0</v>
      </c>
      <c r="S152" s="35" t="str">
        <f aca="false">IF(AND(OR(E152="Vacation",E152="Sick Leave",E152="Partial Vacation",E152="Partial Sick Leave"),NOT(U152)),"Leave not allowed on this day",IF(AND(E152="Manual Work",OR(NOT(ISNUMBER(F152)),NOT(ISNUMBER(G152)))),"Enter start and end",IF(AND(OR(E152="Partial Vacation",E152="Partial Sick Leave"),OR(NOT(ISNUMBER(H152)),NOT(ISNUMBER(I152)))),"Enter leave from and to",IF(AND(ISNUMBER(F152),ISNUMBER(G152),G152&lt;=F152),"End is before start",IF(AND(ISNUMBER(H152),ISNUMBER(I152),I152&lt;=H152),"Leave end is before start",IF(AND(ISNUMBER(F152),ISNUMBER(G152),ISNUMBER(H152),ISNUMBER(I152),F152&lt;I152,H152&lt;G152),"Work and leave hours overlap",IF(AND(E152&lt;&gt;"",WEEKDAY(A152)=7),"Saturday - administrator only","")))))))</f>
        <v/>
      </c>
      <c r="T152" s="36" t="n">
        <f aca="false">MONTH(A152)</f>
        <v>5</v>
      </c>
      <c r="U152" s="37" t="b">
        <f aca="false">OR(C152="Workday",C152="Eve")</f>
        <v>1</v>
      </c>
      <c r="V152" s="34" t="n">
        <f aca="false">IF(C152="Eve",Settings!$B$8,Settings!$B$7)</f>
        <v>0.6875</v>
      </c>
      <c r="W152" s="14" t="n">
        <f aca="false">IF(U152,(V152-Settings!$B$6)*24,0)</f>
        <v>8.5</v>
      </c>
    </row>
    <row r="153" customFormat="false" ht="15" hidden="false" customHeight="false" outlineLevel="0" collapsed="false">
      <c r="A153" s="29" t="n">
        <v>46169</v>
      </c>
      <c r="B153" s="30" t="str">
        <f aca="false">CHOOSE(WEEKDAY(A153),"Sun","Mon","Tue","Wed","Thu","Fri","Sat")</f>
        <v>Wed</v>
      </c>
      <c r="C153" s="30" t="str">
        <f aca="false">IF(IFERROR(INDEX(Holidays!$D$5:$D$60,MATCH(A153,Holidays!$A$5:$A$60,0)),"")="Holiday","Holiday",IF(WEEKDAY(A153)&gt;=6,"Weekend",IF(IFERROR(INDEX(Holidays!$D$5:$D$60,MATCH(A153,Holidays!$A$5:$A$60,0)),"")="Eve","Eve","Workday")))</f>
        <v>Workday</v>
      </c>
      <c r="D153" s="18" t="str">
        <f aca="false">IFERROR(INDEX(Holidays!$C$5:$C$60,MATCH(A153,Holidays!$A$5:$A$60,0)),"")</f>
        <v/>
      </c>
      <c r="E153" s="31"/>
      <c r="F153" s="32"/>
      <c r="G153" s="32"/>
      <c r="H153" s="32"/>
      <c r="I153" s="32"/>
      <c r="J153" s="31"/>
      <c r="K153" s="33" t="str">
        <f aca="false">IF(E153&lt;&gt;"",E153,IF(U153,"Present",IF(C153="Holiday","Holiday","Weekend")))</f>
        <v>Present</v>
      </c>
      <c r="L153" s="34" t="n">
        <f aca="false">IF(OR(K153="Present",K153="Manual Work",K153="Partial Vacation",K153="Partial Sick Leave"),IF(ISNUMBER(F153),F153,IF(AND(K153="Present",U153),Settings!$B$6,"")),"")</f>
        <v>0.333333333333333</v>
      </c>
      <c r="M153" s="34" t="n">
        <f aca="false">IF(OR(K153="Present",K153="Manual Work",K153="Partial Vacation",K153="Partial Sick Leave"),IF(ISNUMBER(G153),G153,IF(AND(K153="Present",U153),V153,"")),"")</f>
        <v>0.6875</v>
      </c>
      <c r="N153" s="14" t="n">
        <f aca="false">IF(AND(ISNUMBER(L153),ISNUMBER(M153)),MAX(0,(M153-L153)*24),0)</f>
        <v>8.5</v>
      </c>
      <c r="O153" s="14" t="n">
        <f aca="false">IF(NOT(U153),0,IF(K153="Vacation",IF(C153="Eve",Settings!$B$9*Settings!$B$11,W153),IF(K153="Partial Vacation",IF(AND(ISNUMBER(H153),ISNUMBER(I153)),MAX(0,(I153-H153)*24),0),0)))</f>
        <v>0</v>
      </c>
      <c r="P153" s="14" t="n">
        <f aca="false">IF(NOT(U153),0,IF(K153="Sick Leave",W153,IF(K153="Partial Sick Leave",IF(AND(ISNUMBER(H153),ISNUMBER(I153)),MAX(0,(I153-H153)*24),0),0)))</f>
        <v>0</v>
      </c>
      <c r="Q153" s="14" t="n">
        <f aca="false">IF(NOT(U153),0,IF(K153="Vacation",IF(C153="Eve",Settings!$B$11,1),IF(K153="Partial Vacation",O153/Settings!$B$9,0)))</f>
        <v>0</v>
      </c>
      <c r="R153" s="14" t="n">
        <f aca="false">IF(NOT(U153),0,IF(K153="Sick Leave",1,IF(K153="Partial Sick Leave",P153/Settings!$B$9,0)))</f>
        <v>0</v>
      </c>
      <c r="S153" s="35" t="str">
        <f aca="false">IF(AND(OR(E153="Vacation",E153="Sick Leave",E153="Partial Vacation",E153="Partial Sick Leave"),NOT(U153)),"Leave not allowed on this day",IF(AND(E153="Manual Work",OR(NOT(ISNUMBER(F153)),NOT(ISNUMBER(G153)))),"Enter start and end",IF(AND(OR(E153="Partial Vacation",E153="Partial Sick Leave"),OR(NOT(ISNUMBER(H153)),NOT(ISNUMBER(I153)))),"Enter leave from and to",IF(AND(ISNUMBER(F153),ISNUMBER(G153),G153&lt;=F153),"End is before start",IF(AND(ISNUMBER(H153),ISNUMBER(I153),I153&lt;=H153),"Leave end is before start",IF(AND(ISNUMBER(F153),ISNUMBER(G153),ISNUMBER(H153),ISNUMBER(I153),F153&lt;I153,H153&lt;G153),"Work and leave hours overlap",IF(AND(E153&lt;&gt;"",WEEKDAY(A153)=7),"Saturday - administrator only","")))))))</f>
        <v/>
      </c>
      <c r="T153" s="36" t="n">
        <f aca="false">MONTH(A153)</f>
        <v>5</v>
      </c>
      <c r="U153" s="37" t="b">
        <f aca="false">OR(C153="Workday",C153="Eve")</f>
        <v>1</v>
      </c>
      <c r="V153" s="34" t="n">
        <f aca="false">IF(C153="Eve",Settings!$B$8,Settings!$B$7)</f>
        <v>0.6875</v>
      </c>
      <c r="W153" s="14" t="n">
        <f aca="false">IF(U153,(V153-Settings!$B$6)*24,0)</f>
        <v>8.5</v>
      </c>
    </row>
    <row r="154" customFormat="false" ht="15" hidden="false" customHeight="false" outlineLevel="0" collapsed="false">
      <c r="A154" s="29" t="n">
        <v>46170</v>
      </c>
      <c r="B154" s="30" t="str">
        <f aca="false">CHOOSE(WEEKDAY(A154),"Sun","Mon","Tue","Wed","Thu","Fri","Sat")</f>
        <v>Thu</v>
      </c>
      <c r="C154" s="30" t="str">
        <f aca="false">IF(IFERROR(INDEX(Holidays!$D$5:$D$60,MATCH(A154,Holidays!$A$5:$A$60,0)),"")="Holiday","Holiday",IF(WEEKDAY(A154)&gt;=6,"Weekend",IF(IFERROR(INDEX(Holidays!$D$5:$D$60,MATCH(A154,Holidays!$A$5:$A$60,0)),"")="Eve","Eve","Workday")))</f>
        <v>Workday</v>
      </c>
      <c r="D154" s="18" t="str">
        <f aca="false">IFERROR(INDEX(Holidays!$C$5:$C$60,MATCH(A154,Holidays!$A$5:$A$60,0)),"")</f>
        <v/>
      </c>
      <c r="E154" s="31"/>
      <c r="F154" s="32"/>
      <c r="G154" s="32"/>
      <c r="H154" s="32"/>
      <c r="I154" s="32"/>
      <c r="J154" s="31"/>
      <c r="K154" s="33" t="str">
        <f aca="false">IF(E154&lt;&gt;"",E154,IF(U154,"Present",IF(C154="Holiday","Holiday","Weekend")))</f>
        <v>Present</v>
      </c>
      <c r="L154" s="34" t="n">
        <f aca="false">IF(OR(K154="Present",K154="Manual Work",K154="Partial Vacation",K154="Partial Sick Leave"),IF(ISNUMBER(F154),F154,IF(AND(K154="Present",U154),Settings!$B$6,"")),"")</f>
        <v>0.333333333333333</v>
      </c>
      <c r="M154" s="34" t="n">
        <f aca="false">IF(OR(K154="Present",K154="Manual Work",K154="Partial Vacation",K154="Partial Sick Leave"),IF(ISNUMBER(G154),G154,IF(AND(K154="Present",U154),V154,"")),"")</f>
        <v>0.6875</v>
      </c>
      <c r="N154" s="14" t="n">
        <f aca="false">IF(AND(ISNUMBER(L154),ISNUMBER(M154)),MAX(0,(M154-L154)*24),0)</f>
        <v>8.5</v>
      </c>
      <c r="O154" s="14" t="n">
        <f aca="false">IF(NOT(U154),0,IF(K154="Vacation",IF(C154="Eve",Settings!$B$9*Settings!$B$11,W154),IF(K154="Partial Vacation",IF(AND(ISNUMBER(H154),ISNUMBER(I154)),MAX(0,(I154-H154)*24),0),0)))</f>
        <v>0</v>
      </c>
      <c r="P154" s="14" t="n">
        <f aca="false">IF(NOT(U154),0,IF(K154="Sick Leave",W154,IF(K154="Partial Sick Leave",IF(AND(ISNUMBER(H154),ISNUMBER(I154)),MAX(0,(I154-H154)*24),0),0)))</f>
        <v>0</v>
      </c>
      <c r="Q154" s="14" t="n">
        <f aca="false">IF(NOT(U154),0,IF(K154="Vacation",IF(C154="Eve",Settings!$B$11,1),IF(K154="Partial Vacation",O154/Settings!$B$9,0)))</f>
        <v>0</v>
      </c>
      <c r="R154" s="14" t="n">
        <f aca="false">IF(NOT(U154),0,IF(K154="Sick Leave",1,IF(K154="Partial Sick Leave",P154/Settings!$B$9,0)))</f>
        <v>0</v>
      </c>
      <c r="S154" s="35" t="str">
        <f aca="false">IF(AND(OR(E154="Vacation",E154="Sick Leave",E154="Partial Vacation",E154="Partial Sick Leave"),NOT(U154)),"Leave not allowed on this day",IF(AND(E154="Manual Work",OR(NOT(ISNUMBER(F154)),NOT(ISNUMBER(G154)))),"Enter start and end",IF(AND(OR(E154="Partial Vacation",E154="Partial Sick Leave"),OR(NOT(ISNUMBER(H154)),NOT(ISNUMBER(I154)))),"Enter leave from and to",IF(AND(ISNUMBER(F154),ISNUMBER(G154),G154&lt;=F154),"End is before start",IF(AND(ISNUMBER(H154),ISNUMBER(I154),I154&lt;=H154),"Leave end is before start",IF(AND(ISNUMBER(F154),ISNUMBER(G154),ISNUMBER(H154),ISNUMBER(I154),F154&lt;I154,H154&lt;G154),"Work and leave hours overlap",IF(AND(E154&lt;&gt;"",WEEKDAY(A154)=7),"Saturday - administrator only","")))))))</f>
        <v/>
      </c>
      <c r="T154" s="36" t="n">
        <f aca="false">MONTH(A154)</f>
        <v>5</v>
      </c>
      <c r="U154" s="37" t="b">
        <f aca="false">OR(C154="Workday",C154="Eve")</f>
        <v>1</v>
      </c>
      <c r="V154" s="34" t="n">
        <f aca="false">IF(C154="Eve",Settings!$B$8,Settings!$B$7)</f>
        <v>0.6875</v>
      </c>
      <c r="W154" s="14" t="n">
        <f aca="false">IF(U154,(V154-Settings!$B$6)*24,0)</f>
        <v>8.5</v>
      </c>
    </row>
    <row r="155" customFormat="false" ht="15" hidden="false" customHeight="false" outlineLevel="0" collapsed="false">
      <c r="A155" s="29" t="n">
        <v>46171</v>
      </c>
      <c r="B155" s="30" t="str">
        <f aca="false">CHOOSE(WEEKDAY(A155),"Sun","Mon","Tue","Wed","Thu","Fri","Sat")</f>
        <v>Fri</v>
      </c>
      <c r="C155" s="30" t="str">
        <f aca="false">IF(IFERROR(INDEX(Holidays!$D$5:$D$60,MATCH(A155,Holidays!$A$5:$A$60,0)),"")="Holiday","Holiday",IF(WEEKDAY(A155)&gt;=6,"Weekend",IF(IFERROR(INDEX(Holidays!$D$5:$D$60,MATCH(A155,Holidays!$A$5:$A$60,0)),"")="Eve","Eve","Workday")))</f>
        <v>Weekend</v>
      </c>
      <c r="D155" s="18" t="str">
        <f aca="false">IFERROR(INDEX(Holidays!$C$5:$C$60,MATCH(A155,Holidays!$A$5:$A$60,0)),"")</f>
        <v/>
      </c>
      <c r="E155" s="31"/>
      <c r="F155" s="32"/>
      <c r="G155" s="32"/>
      <c r="H155" s="32"/>
      <c r="I155" s="32"/>
      <c r="J155" s="31"/>
      <c r="K155" s="33" t="str">
        <f aca="false">IF(E155&lt;&gt;"",E155,IF(U155,"Present",IF(C155="Holiday","Holiday","Weekend")))</f>
        <v>Weekend</v>
      </c>
      <c r="L155" s="34" t="str">
        <f aca="false">IF(OR(K155="Present",K155="Manual Work",K155="Partial Vacation",K155="Partial Sick Leave"),IF(ISNUMBER(F155),F155,IF(AND(K155="Present",U155),Settings!$B$6,"")),"")</f>
        <v/>
      </c>
      <c r="M155" s="34" t="str">
        <f aca="false">IF(OR(K155="Present",K155="Manual Work",K155="Partial Vacation",K155="Partial Sick Leave"),IF(ISNUMBER(G155),G155,IF(AND(K155="Present",U155),V155,"")),"")</f>
        <v/>
      </c>
      <c r="N155" s="14" t="n">
        <f aca="false">IF(AND(ISNUMBER(L155),ISNUMBER(M155)),MAX(0,(M155-L155)*24),0)</f>
        <v>0</v>
      </c>
      <c r="O155" s="14" t="n">
        <f aca="false">IF(NOT(U155),0,IF(K155="Vacation",IF(C155="Eve",Settings!$B$9*Settings!$B$11,W155),IF(K155="Partial Vacation",IF(AND(ISNUMBER(H155),ISNUMBER(I155)),MAX(0,(I155-H155)*24),0),0)))</f>
        <v>0</v>
      </c>
      <c r="P155" s="14" t="n">
        <f aca="false">IF(NOT(U155),0,IF(K155="Sick Leave",W155,IF(K155="Partial Sick Leave",IF(AND(ISNUMBER(H155),ISNUMBER(I155)),MAX(0,(I155-H155)*24),0),0)))</f>
        <v>0</v>
      </c>
      <c r="Q155" s="14" t="n">
        <f aca="false">IF(NOT(U155),0,IF(K155="Vacation",IF(C155="Eve",Settings!$B$11,1),IF(K155="Partial Vacation",O155/Settings!$B$9,0)))</f>
        <v>0</v>
      </c>
      <c r="R155" s="14" t="n">
        <f aca="false">IF(NOT(U155),0,IF(K155="Sick Leave",1,IF(K155="Partial Sick Leave",P155/Settings!$B$9,0)))</f>
        <v>0</v>
      </c>
      <c r="S155" s="35" t="str">
        <f aca="false">IF(AND(OR(E155="Vacation",E155="Sick Leave",E155="Partial Vacation",E155="Partial Sick Leave"),NOT(U155)),"Leave not allowed on this day",IF(AND(E155="Manual Work",OR(NOT(ISNUMBER(F155)),NOT(ISNUMBER(G155)))),"Enter start and end",IF(AND(OR(E155="Partial Vacation",E155="Partial Sick Leave"),OR(NOT(ISNUMBER(H155)),NOT(ISNUMBER(I155)))),"Enter leave from and to",IF(AND(ISNUMBER(F155),ISNUMBER(G155),G155&lt;=F155),"End is before start",IF(AND(ISNUMBER(H155),ISNUMBER(I155),I155&lt;=H155),"Leave end is before start",IF(AND(ISNUMBER(F155),ISNUMBER(G155),ISNUMBER(H155),ISNUMBER(I155),F155&lt;I155,H155&lt;G155),"Work and leave hours overlap",IF(AND(E155&lt;&gt;"",WEEKDAY(A155)=7),"Saturday - administrator only","")))))))</f>
        <v/>
      </c>
      <c r="T155" s="36" t="n">
        <f aca="false">MONTH(A155)</f>
        <v>5</v>
      </c>
      <c r="U155" s="37" t="b">
        <f aca="false">OR(C155="Workday",C155="Eve")</f>
        <v>0</v>
      </c>
      <c r="V155" s="34" t="n">
        <f aca="false">IF(C155="Eve",Settings!$B$8,Settings!$B$7)</f>
        <v>0.6875</v>
      </c>
      <c r="W155" s="14" t="n">
        <f aca="false">IF(U155,(V155-Settings!$B$6)*24,0)</f>
        <v>0</v>
      </c>
    </row>
    <row r="156" customFormat="false" ht="15" hidden="false" customHeight="false" outlineLevel="0" collapsed="false">
      <c r="A156" s="29" t="n">
        <v>46172</v>
      </c>
      <c r="B156" s="30" t="str">
        <f aca="false">CHOOSE(WEEKDAY(A156),"Sun","Mon","Tue","Wed","Thu","Fri","Sat")</f>
        <v>Sat</v>
      </c>
      <c r="C156" s="30" t="str">
        <f aca="false">IF(IFERROR(INDEX(Holidays!$D$5:$D$60,MATCH(A156,Holidays!$A$5:$A$60,0)),"")="Holiday","Holiday",IF(WEEKDAY(A156)&gt;=6,"Weekend",IF(IFERROR(INDEX(Holidays!$D$5:$D$60,MATCH(A156,Holidays!$A$5:$A$60,0)),"")="Eve","Eve","Workday")))</f>
        <v>Weekend</v>
      </c>
      <c r="D156" s="18" t="str">
        <f aca="false">IFERROR(INDEX(Holidays!$C$5:$C$60,MATCH(A156,Holidays!$A$5:$A$60,0)),"")</f>
        <v/>
      </c>
      <c r="E156" s="31"/>
      <c r="F156" s="32"/>
      <c r="G156" s="32"/>
      <c r="H156" s="32"/>
      <c r="I156" s="32"/>
      <c r="J156" s="31"/>
      <c r="K156" s="33" t="str">
        <f aca="false">IF(E156&lt;&gt;"",E156,IF(U156,"Present",IF(C156="Holiday","Holiday","Weekend")))</f>
        <v>Weekend</v>
      </c>
      <c r="L156" s="34" t="str">
        <f aca="false">IF(OR(K156="Present",K156="Manual Work",K156="Partial Vacation",K156="Partial Sick Leave"),IF(ISNUMBER(F156),F156,IF(AND(K156="Present",U156),Settings!$B$6,"")),"")</f>
        <v/>
      </c>
      <c r="M156" s="34" t="str">
        <f aca="false">IF(OR(K156="Present",K156="Manual Work",K156="Partial Vacation",K156="Partial Sick Leave"),IF(ISNUMBER(G156),G156,IF(AND(K156="Present",U156),V156,"")),"")</f>
        <v/>
      </c>
      <c r="N156" s="14" t="n">
        <f aca="false">IF(AND(ISNUMBER(L156),ISNUMBER(M156)),MAX(0,(M156-L156)*24),0)</f>
        <v>0</v>
      </c>
      <c r="O156" s="14" t="n">
        <f aca="false">IF(NOT(U156),0,IF(K156="Vacation",IF(C156="Eve",Settings!$B$9*Settings!$B$11,W156),IF(K156="Partial Vacation",IF(AND(ISNUMBER(H156),ISNUMBER(I156)),MAX(0,(I156-H156)*24),0),0)))</f>
        <v>0</v>
      </c>
      <c r="P156" s="14" t="n">
        <f aca="false">IF(NOT(U156),0,IF(K156="Sick Leave",W156,IF(K156="Partial Sick Leave",IF(AND(ISNUMBER(H156),ISNUMBER(I156)),MAX(0,(I156-H156)*24),0),0)))</f>
        <v>0</v>
      </c>
      <c r="Q156" s="14" t="n">
        <f aca="false">IF(NOT(U156),0,IF(K156="Vacation",IF(C156="Eve",Settings!$B$11,1),IF(K156="Partial Vacation",O156/Settings!$B$9,0)))</f>
        <v>0</v>
      </c>
      <c r="R156" s="14" t="n">
        <f aca="false">IF(NOT(U156),0,IF(K156="Sick Leave",1,IF(K156="Partial Sick Leave",P156/Settings!$B$9,0)))</f>
        <v>0</v>
      </c>
      <c r="S156" s="35" t="str">
        <f aca="false">IF(AND(OR(E156="Vacation",E156="Sick Leave",E156="Partial Vacation",E156="Partial Sick Leave"),NOT(U156)),"Leave not allowed on this day",IF(AND(E156="Manual Work",OR(NOT(ISNUMBER(F156)),NOT(ISNUMBER(G156)))),"Enter start and end",IF(AND(OR(E156="Partial Vacation",E156="Partial Sick Leave"),OR(NOT(ISNUMBER(H156)),NOT(ISNUMBER(I156)))),"Enter leave from and to",IF(AND(ISNUMBER(F156),ISNUMBER(G156),G156&lt;=F156),"End is before start",IF(AND(ISNUMBER(H156),ISNUMBER(I156),I156&lt;=H156),"Leave end is before start",IF(AND(ISNUMBER(F156),ISNUMBER(G156),ISNUMBER(H156),ISNUMBER(I156),F156&lt;I156,H156&lt;G156),"Work and leave hours overlap",IF(AND(E156&lt;&gt;"",WEEKDAY(A156)=7),"Saturday - administrator only","")))))))</f>
        <v/>
      </c>
      <c r="T156" s="36" t="n">
        <f aca="false">MONTH(A156)</f>
        <v>5</v>
      </c>
      <c r="U156" s="37" t="b">
        <f aca="false">OR(C156="Workday",C156="Eve")</f>
        <v>0</v>
      </c>
      <c r="V156" s="34" t="n">
        <f aca="false">IF(C156="Eve",Settings!$B$8,Settings!$B$7)</f>
        <v>0.6875</v>
      </c>
      <c r="W156" s="14" t="n">
        <f aca="false">IF(U156,(V156-Settings!$B$6)*24,0)</f>
        <v>0</v>
      </c>
    </row>
    <row r="157" customFormat="false" ht="15" hidden="false" customHeight="false" outlineLevel="0" collapsed="false">
      <c r="A157" s="29" t="n">
        <v>46173</v>
      </c>
      <c r="B157" s="30" t="str">
        <f aca="false">CHOOSE(WEEKDAY(A157),"Sun","Mon","Tue","Wed","Thu","Fri","Sat")</f>
        <v>Sun</v>
      </c>
      <c r="C157" s="30" t="str">
        <f aca="false">IF(IFERROR(INDEX(Holidays!$D$5:$D$60,MATCH(A157,Holidays!$A$5:$A$60,0)),"")="Holiday","Holiday",IF(WEEKDAY(A157)&gt;=6,"Weekend",IF(IFERROR(INDEX(Holidays!$D$5:$D$60,MATCH(A157,Holidays!$A$5:$A$60,0)),"")="Eve","Eve","Workday")))</f>
        <v>Workday</v>
      </c>
      <c r="D157" s="18" t="str">
        <f aca="false">IFERROR(INDEX(Holidays!$C$5:$C$60,MATCH(A157,Holidays!$A$5:$A$60,0)),"")</f>
        <v/>
      </c>
      <c r="E157" s="31"/>
      <c r="F157" s="32"/>
      <c r="G157" s="32"/>
      <c r="H157" s="32"/>
      <c r="I157" s="32"/>
      <c r="J157" s="31"/>
      <c r="K157" s="33" t="str">
        <f aca="false">IF(E157&lt;&gt;"",E157,IF(U157,"Present",IF(C157="Holiday","Holiday","Weekend")))</f>
        <v>Present</v>
      </c>
      <c r="L157" s="34" t="n">
        <f aca="false">IF(OR(K157="Present",K157="Manual Work",K157="Partial Vacation",K157="Partial Sick Leave"),IF(ISNUMBER(F157),F157,IF(AND(K157="Present",U157),Settings!$B$6,"")),"")</f>
        <v>0.333333333333333</v>
      </c>
      <c r="M157" s="34" t="n">
        <f aca="false">IF(OR(K157="Present",K157="Manual Work",K157="Partial Vacation",K157="Partial Sick Leave"),IF(ISNUMBER(G157),G157,IF(AND(K157="Present",U157),V157,"")),"")</f>
        <v>0.6875</v>
      </c>
      <c r="N157" s="14" t="n">
        <f aca="false">IF(AND(ISNUMBER(L157),ISNUMBER(M157)),MAX(0,(M157-L157)*24),0)</f>
        <v>8.5</v>
      </c>
      <c r="O157" s="14" t="n">
        <f aca="false">IF(NOT(U157),0,IF(K157="Vacation",IF(C157="Eve",Settings!$B$9*Settings!$B$11,W157),IF(K157="Partial Vacation",IF(AND(ISNUMBER(H157),ISNUMBER(I157)),MAX(0,(I157-H157)*24),0),0)))</f>
        <v>0</v>
      </c>
      <c r="P157" s="14" t="n">
        <f aca="false">IF(NOT(U157),0,IF(K157="Sick Leave",W157,IF(K157="Partial Sick Leave",IF(AND(ISNUMBER(H157),ISNUMBER(I157)),MAX(0,(I157-H157)*24),0),0)))</f>
        <v>0</v>
      </c>
      <c r="Q157" s="14" t="n">
        <f aca="false">IF(NOT(U157),0,IF(K157="Vacation",IF(C157="Eve",Settings!$B$11,1),IF(K157="Partial Vacation",O157/Settings!$B$9,0)))</f>
        <v>0</v>
      </c>
      <c r="R157" s="14" t="n">
        <f aca="false">IF(NOT(U157),0,IF(K157="Sick Leave",1,IF(K157="Partial Sick Leave",P157/Settings!$B$9,0)))</f>
        <v>0</v>
      </c>
      <c r="S157" s="35" t="str">
        <f aca="false">IF(AND(OR(E157="Vacation",E157="Sick Leave",E157="Partial Vacation",E157="Partial Sick Leave"),NOT(U157)),"Leave not allowed on this day",IF(AND(E157="Manual Work",OR(NOT(ISNUMBER(F157)),NOT(ISNUMBER(G157)))),"Enter start and end",IF(AND(OR(E157="Partial Vacation",E157="Partial Sick Leave"),OR(NOT(ISNUMBER(H157)),NOT(ISNUMBER(I157)))),"Enter leave from and to",IF(AND(ISNUMBER(F157),ISNUMBER(G157),G157&lt;=F157),"End is before start",IF(AND(ISNUMBER(H157),ISNUMBER(I157),I157&lt;=H157),"Leave end is before start",IF(AND(ISNUMBER(F157),ISNUMBER(G157),ISNUMBER(H157),ISNUMBER(I157),F157&lt;I157,H157&lt;G157),"Work and leave hours overlap",IF(AND(E157&lt;&gt;"",WEEKDAY(A157)=7),"Saturday - administrator only","")))))))</f>
        <v/>
      </c>
      <c r="T157" s="36" t="n">
        <f aca="false">MONTH(A157)</f>
        <v>5</v>
      </c>
      <c r="U157" s="37" t="b">
        <f aca="false">OR(C157="Workday",C157="Eve")</f>
        <v>1</v>
      </c>
      <c r="V157" s="34" t="n">
        <f aca="false">IF(C157="Eve",Settings!$B$8,Settings!$B$7)</f>
        <v>0.6875</v>
      </c>
      <c r="W157" s="14" t="n">
        <f aca="false">IF(U157,(V157-Settings!$B$6)*24,0)</f>
        <v>8.5</v>
      </c>
    </row>
    <row r="158" customFormat="false" ht="15" hidden="false" customHeight="false" outlineLevel="0" collapsed="false">
      <c r="A158" s="29" t="n">
        <v>46174</v>
      </c>
      <c r="B158" s="30" t="str">
        <f aca="false">CHOOSE(WEEKDAY(A158),"Sun","Mon","Tue","Wed","Thu","Fri","Sat")</f>
        <v>Mon</v>
      </c>
      <c r="C158" s="30" t="str">
        <f aca="false">IF(IFERROR(INDEX(Holidays!$D$5:$D$60,MATCH(A158,Holidays!$A$5:$A$60,0)),"")="Holiday","Holiday",IF(WEEKDAY(A158)&gt;=6,"Weekend",IF(IFERROR(INDEX(Holidays!$D$5:$D$60,MATCH(A158,Holidays!$A$5:$A$60,0)),"")="Eve","Eve","Workday")))</f>
        <v>Workday</v>
      </c>
      <c r="D158" s="18" t="str">
        <f aca="false">IFERROR(INDEX(Holidays!$C$5:$C$60,MATCH(A158,Holidays!$A$5:$A$60,0)),"")</f>
        <v/>
      </c>
      <c r="E158" s="31"/>
      <c r="F158" s="32"/>
      <c r="G158" s="32"/>
      <c r="H158" s="32"/>
      <c r="I158" s="32"/>
      <c r="J158" s="31"/>
      <c r="K158" s="33" t="str">
        <f aca="false">IF(E158&lt;&gt;"",E158,IF(U158,"Present",IF(C158="Holiday","Holiday","Weekend")))</f>
        <v>Present</v>
      </c>
      <c r="L158" s="34" t="n">
        <f aca="false">IF(OR(K158="Present",K158="Manual Work",K158="Partial Vacation",K158="Partial Sick Leave"),IF(ISNUMBER(F158),F158,IF(AND(K158="Present",U158),Settings!$B$6,"")),"")</f>
        <v>0.333333333333333</v>
      </c>
      <c r="M158" s="34" t="n">
        <f aca="false">IF(OR(K158="Present",K158="Manual Work",K158="Partial Vacation",K158="Partial Sick Leave"),IF(ISNUMBER(G158),G158,IF(AND(K158="Present",U158),V158,"")),"")</f>
        <v>0.6875</v>
      </c>
      <c r="N158" s="14" t="n">
        <f aca="false">IF(AND(ISNUMBER(L158),ISNUMBER(M158)),MAX(0,(M158-L158)*24),0)</f>
        <v>8.5</v>
      </c>
      <c r="O158" s="14" t="n">
        <f aca="false">IF(NOT(U158),0,IF(K158="Vacation",IF(C158="Eve",Settings!$B$9*Settings!$B$11,W158),IF(K158="Partial Vacation",IF(AND(ISNUMBER(H158),ISNUMBER(I158)),MAX(0,(I158-H158)*24),0),0)))</f>
        <v>0</v>
      </c>
      <c r="P158" s="14" t="n">
        <f aca="false">IF(NOT(U158),0,IF(K158="Sick Leave",W158,IF(K158="Partial Sick Leave",IF(AND(ISNUMBER(H158),ISNUMBER(I158)),MAX(0,(I158-H158)*24),0),0)))</f>
        <v>0</v>
      </c>
      <c r="Q158" s="14" t="n">
        <f aca="false">IF(NOT(U158),0,IF(K158="Vacation",IF(C158="Eve",Settings!$B$11,1),IF(K158="Partial Vacation",O158/Settings!$B$9,0)))</f>
        <v>0</v>
      </c>
      <c r="R158" s="14" t="n">
        <f aca="false">IF(NOT(U158),0,IF(K158="Sick Leave",1,IF(K158="Partial Sick Leave",P158/Settings!$B$9,0)))</f>
        <v>0</v>
      </c>
      <c r="S158" s="35" t="str">
        <f aca="false">IF(AND(OR(E158="Vacation",E158="Sick Leave",E158="Partial Vacation",E158="Partial Sick Leave"),NOT(U158)),"Leave not allowed on this day",IF(AND(E158="Manual Work",OR(NOT(ISNUMBER(F158)),NOT(ISNUMBER(G158)))),"Enter start and end",IF(AND(OR(E158="Partial Vacation",E158="Partial Sick Leave"),OR(NOT(ISNUMBER(H158)),NOT(ISNUMBER(I158)))),"Enter leave from and to",IF(AND(ISNUMBER(F158),ISNUMBER(G158),G158&lt;=F158),"End is before start",IF(AND(ISNUMBER(H158),ISNUMBER(I158),I158&lt;=H158),"Leave end is before start",IF(AND(ISNUMBER(F158),ISNUMBER(G158),ISNUMBER(H158),ISNUMBER(I158),F158&lt;I158,H158&lt;G158),"Work and leave hours overlap",IF(AND(E158&lt;&gt;"",WEEKDAY(A158)=7),"Saturday - administrator only","")))))))</f>
        <v/>
      </c>
      <c r="T158" s="36" t="n">
        <f aca="false">MONTH(A158)</f>
        <v>6</v>
      </c>
      <c r="U158" s="37" t="b">
        <f aca="false">OR(C158="Workday",C158="Eve")</f>
        <v>1</v>
      </c>
      <c r="V158" s="34" t="n">
        <f aca="false">IF(C158="Eve",Settings!$B$8,Settings!$B$7)</f>
        <v>0.6875</v>
      </c>
      <c r="W158" s="14" t="n">
        <f aca="false">IF(U158,(V158-Settings!$B$6)*24,0)</f>
        <v>8.5</v>
      </c>
    </row>
    <row r="159" customFormat="false" ht="15" hidden="false" customHeight="false" outlineLevel="0" collapsed="false">
      <c r="A159" s="29" t="n">
        <v>46175</v>
      </c>
      <c r="B159" s="30" t="str">
        <f aca="false">CHOOSE(WEEKDAY(A159),"Sun","Mon","Tue","Wed","Thu","Fri","Sat")</f>
        <v>Tue</v>
      </c>
      <c r="C159" s="30" t="str">
        <f aca="false">IF(IFERROR(INDEX(Holidays!$D$5:$D$60,MATCH(A159,Holidays!$A$5:$A$60,0)),"")="Holiday","Holiday",IF(WEEKDAY(A159)&gt;=6,"Weekend",IF(IFERROR(INDEX(Holidays!$D$5:$D$60,MATCH(A159,Holidays!$A$5:$A$60,0)),"")="Eve","Eve","Workday")))</f>
        <v>Workday</v>
      </c>
      <c r="D159" s="18" t="str">
        <f aca="false">IFERROR(INDEX(Holidays!$C$5:$C$60,MATCH(A159,Holidays!$A$5:$A$60,0)),"")</f>
        <v/>
      </c>
      <c r="E159" s="31"/>
      <c r="F159" s="32"/>
      <c r="G159" s="32"/>
      <c r="H159" s="32"/>
      <c r="I159" s="32"/>
      <c r="J159" s="31"/>
      <c r="K159" s="33" t="str">
        <f aca="false">IF(E159&lt;&gt;"",E159,IF(U159,"Present",IF(C159="Holiday","Holiday","Weekend")))</f>
        <v>Present</v>
      </c>
      <c r="L159" s="34" t="n">
        <f aca="false">IF(OR(K159="Present",K159="Manual Work",K159="Partial Vacation",K159="Partial Sick Leave"),IF(ISNUMBER(F159),F159,IF(AND(K159="Present",U159),Settings!$B$6,"")),"")</f>
        <v>0.333333333333333</v>
      </c>
      <c r="M159" s="34" t="n">
        <f aca="false">IF(OR(K159="Present",K159="Manual Work",K159="Partial Vacation",K159="Partial Sick Leave"),IF(ISNUMBER(G159),G159,IF(AND(K159="Present",U159),V159,"")),"")</f>
        <v>0.6875</v>
      </c>
      <c r="N159" s="14" t="n">
        <f aca="false">IF(AND(ISNUMBER(L159),ISNUMBER(M159)),MAX(0,(M159-L159)*24),0)</f>
        <v>8.5</v>
      </c>
      <c r="O159" s="14" t="n">
        <f aca="false">IF(NOT(U159),0,IF(K159="Vacation",IF(C159="Eve",Settings!$B$9*Settings!$B$11,W159),IF(K159="Partial Vacation",IF(AND(ISNUMBER(H159),ISNUMBER(I159)),MAX(0,(I159-H159)*24),0),0)))</f>
        <v>0</v>
      </c>
      <c r="P159" s="14" t="n">
        <f aca="false">IF(NOT(U159),0,IF(K159="Sick Leave",W159,IF(K159="Partial Sick Leave",IF(AND(ISNUMBER(H159),ISNUMBER(I159)),MAX(0,(I159-H159)*24),0),0)))</f>
        <v>0</v>
      </c>
      <c r="Q159" s="14" t="n">
        <f aca="false">IF(NOT(U159),0,IF(K159="Vacation",IF(C159="Eve",Settings!$B$11,1),IF(K159="Partial Vacation",O159/Settings!$B$9,0)))</f>
        <v>0</v>
      </c>
      <c r="R159" s="14" t="n">
        <f aca="false">IF(NOT(U159),0,IF(K159="Sick Leave",1,IF(K159="Partial Sick Leave",P159/Settings!$B$9,0)))</f>
        <v>0</v>
      </c>
      <c r="S159" s="35" t="str">
        <f aca="false">IF(AND(OR(E159="Vacation",E159="Sick Leave",E159="Partial Vacation",E159="Partial Sick Leave"),NOT(U159)),"Leave not allowed on this day",IF(AND(E159="Manual Work",OR(NOT(ISNUMBER(F159)),NOT(ISNUMBER(G159)))),"Enter start and end",IF(AND(OR(E159="Partial Vacation",E159="Partial Sick Leave"),OR(NOT(ISNUMBER(H159)),NOT(ISNUMBER(I159)))),"Enter leave from and to",IF(AND(ISNUMBER(F159),ISNUMBER(G159),G159&lt;=F159),"End is before start",IF(AND(ISNUMBER(H159),ISNUMBER(I159),I159&lt;=H159),"Leave end is before start",IF(AND(ISNUMBER(F159),ISNUMBER(G159),ISNUMBER(H159),ISNUMBER(I159),F159&lt;I159,H159&lt;G159),"Work and leave hours overlap",IF(AND(E159&lt;&gt;"",WEEKDAY(A159)=7),"Saturday - administrator only","")))))))</f>
        <v/>
      </c>
      <c r="T159" s="36" t="n">
        <f aca="false">MONTH(A159)</f>
        <v>6</v>
      </c>
      <c r="U159" s="37" t="b">
        <f aca="false">OR(C159="Workday",C159="Eve")</f>
        <v>1</v>
      </c>
      <c r="V159" s="34" t="n">
        <f aca="false">IF(C159="Eve",Settings!$B$8,Settings!$B$7)</f>
        <v>0.6875</v>
      </c>
      <c r="W159" s="14" t="n">
        <f aca="false">IF(U159,(V159-Settings!$B$6)*24,0)</f>
        <v>8.5</v>
      </c>
    </row>
    <row r="160" customFormat="false" ht="15" hidden="false" customHeight="false" outlineLevel="0" collapsed="false">
      <c r="A160" s="29" t="n">
        <v>46176</v>
      </c>
      <c r="B160" s="30" t="str">
        <f aca="false">CHOOSE(WEEKDAY(A160),"Sun","Mon","Tue","Wed","Thu","Fri","Sat")</f>
        <v>Wed</v>
      </c>
      <c r="C160" s="30" t="str">
        <f aca="false">IF(IFERROR(INDEX(Holidays!$D$5:$D$60,MATCH(A160,Holidays!$A$5:$A$60,0)),"")="Holiday","Holiday",IF(WEEKDAY(A160)&gt;=6,"Weekend",IF(IFERROR(INDEX(Holidays!$D$5:$D$60,MATCH(A160,Holidays!$A$5:$A$60,0)),"")="Eve","Eve","Workday")))</f>
        <v>Workday</v>
      </c>
      <c r="D160" s="18" t="str">
        <f aca="false">IFERROR(INDEX(Holidays!$C$5:$C$60,MATCH(A160,Holidays!$A$5:$A$60,0)),"")</f>
        <v/>
      </c>
      <c r="E160" s="31"/>
      <c r="F160" s="32"/>
      <c r="G160" s="32"/>
      <c r="H160" s="32"/>
      <c r="I160" s="32"/>
      <c r="J160" s="31"/>
      <c r="K160" s="33" t="str">
        <f aca="false">IF(E160&lt;&gt;"",E160,IF(U160,"Present",IF(C160="Holiday","Holiday","Weekend")))</f>
        <v>Present</v>
      </c>
      <c r="L160" s="34" t="n">
        <f aca="false">IF(OR(K160="Present",K160="Manual Work",K160="Partial Vacation",K160="Partial Sick Leave"),IF(ISNUMBER(F160),F160,IF(AND(K160="Present",U160),Settings!$B$6,"")),"")</f>
        <v>0.333333333333333</v>
      </c>
      <c r="M160" s="34" t="n">
        <f aca="false">IF(OR(K160="Present",K160="Manual Work",K160="Partial Vacation",K160="Partial Sick Leave"),IF(ISNUMBER(G160),G160,IF(AND(K160="Present",U160),V160,"")),"")</f>
        <v>0.6875</v>
      </c>
      <c r="N160" s="14" t="n">
        <f aca="false">IF(AND(ISNUMBER(L160),ISNUMBER(M160)),MAX(0,(M160-L160)*24),0)</f>
        <v>8.5</v>
      </c>
      <c r="O160" s="14" t="n">
        <f aca="false">IF(NOT(U160),0,IF(K160="Vacation",IF(C160="Eve",Settings!$B$9*Settings!$B$11,W160),IF(K160="Partial Vacation",IF(AND(ISNUMBER(H160),ISNUMBER(I160)),MAX(0,(I160-H160)*24),0),0)))</f>
        <v>0</v>
      </c>
      <c r="P160" s="14" t="n">
        <f aca="false">IF(NOT(U160),0,IF(K160="Sick Leave",W160,IF(K160="Partial Sick Leave",IF(AND(ISNUMBER(H160),ISNUMBER(I160)),MAX(0,(I160-H160)*24),0),0)))</f>
        <v>0</v>
      </c>
      <c r="Q160" s="14" t="n">
        <f aca="false">IF(NOT(U160),0,IF(K160="Vacation",IF(C160="Eve",Settings!$B$11,1),IF(K160="Partial Vacation",O160/Settings!$B$9,0)))</f>
        <v>0</v>
      </c>
      <c r="R160" s="14" t="n">
        <f aca="false">IF(NOT(U160),0,IF(K160="Sick Leave",1,IF(K160="Partial Sick Leave",P160/Settings!$B$9,0)))</f>
        <v>0</v>
      </c>
      <c r="S160" s="35" t="str">
        <f aca="false">IF(AND(OR(E160="Vacation",E160="Sick Leave",E160="Partial Vacation",E160="Partial Sick Leave"),NOT(U160)),"Leave not allowed on this day",IF(AND(E160="Manual Work",OR(NOT(ISNUMBER(F160)),NOT(ISNUMBER(G160)))),"Enter start and end",IF(AND(OR(E160="Partial Vacation",E160="Partial Sick Leave"),OR(NOT(ISNUMBER(H160)),NOT(ISNUMBER(I160)))),"Enter leave from and to",IF(AND(ISNUMBER(F160),ISNUMBER(G160),G160&lt;=F160),"End is before start",IF(AND(ISNUMBER(H160),ISNUMBER(I160),I160&lt;=H160),"Leave end is before start",IF(AND(ISNUMBER(F160),ISNUMBER(G160),ISNUMBER(H160),ISNUMBER(I160),F160&lt;I160,H160&lt;G160),"Work and leave hours overlap",IF(AND(E160&lt;&gt;"",WEEKDAY(A160)=7),"Saturday - administrator only","")))))))</f>
        <v/>
      </c>
      <c r="T160" s="36" t="n">
        <f aca="false">MONTH(A160)</f>
        <v>6</v>
      </c>
      <c r="U160" s="37" t="b">
        <f aca="false">OR(C160="Workday",C160="Eve")</f>
        <v>1</v>
      </c>
      <c r="V160" s="34" t="n">
        <f aca="false">IF(C160="Eve",Settings!$B$8,Settings!$B$7)</f>
        <v>0.6875</v>
      </c>
      <c r="W160" s="14" t="n">
        <f aca="false">IF(U160,(V160-Settings!$B$6)*24,0)</f>
        <v>8.5</v>
      </c>
    </row>
    <row r="161" customFormat="false" ht="15" hidden="false" customHeight="false" outlineLevel="0" collapsed="false">
      <c r="A161" s="29" t="n">
        <v>46177</v>
      </c>
      <c r="B161" s="30" t="str">
        <f aca="false">CHOOSE(WEEKDAY(A161),"Sun","Mon","Tue","Wed","Thu","Fri","Sat")</f>
        <v>Thu</v>
      </c>
      <c r="C161" s="30" t="str">
        <f aca="false">IF(IFERROR(INDEX(Holidays!$D$5:$D$60,MATCH(A161,Holidays!$A$5:$A$60,0)),"")="Holiday","Holiday",IF(WEEKDAY(A161)&gt;=6,"Weekend",IF(IFERROR(INDEX(Holidays!$D$5:$D$60,MATCH(A161,Holidays!$A$5:$A$60,0)),"")="Eve","Eve","Workday")))</f>
        <v>Workday</v>
      </c>
      <c r="D161" s="18" t="str">
        <f aca="false">IFERROR(INDEX(Holidays!$C$5:$C$60,MATCH(A161,Holidays!$A$5:$A$60,0)),"")</f>
        <v/>
      </c>
      <c r="E161" s="31"/>
      <c r="F161" s="32"/>
      <c r="G161" s="32"/>
      <c r="H161" s="32"/>
      <c r="I161" s="32"/>
      <c r="J161" s="31"/>
      <c r="K161" s="33" t="str">
        <f aca="false">IF(E161&lt;&gt;"",E161,IF(U161,"Present",IF(C161="Holiday","Holiday","Weekend")))</f>
        <v>Present</v>
      </c>
      <c r="L161" s="34" t="n">
        <f aca="false">IF(OR(K161="Present",K161="Manual Work",K161="Partial Vacation",K161="Partial Sick Leave"),IF(ISNUMBER(F161),F161,IF(AND(K161="Present",U161),Settings!$B$6,"")),"")</f>
        <v>0.333333333333333</v>
      </c>
      <c r="M161" s="34" t="n">
        <f aca="false">IF(OR(K161="Present",K161="Manual Work",K161="Partial Vacation",K161="Partial Sick Leave"),IF(ISNUMBER(G161),G161,IF(AND(K161="Present",U161),V161,"")),"")</f>
        <v>0.6875</v>
      </c>
      <c r="N161" s="14" t="n">
        <f aca="false">IF(AND(ISNUMBER(L161),ISNUMBER(M161)),MAX(0,(M161-L161)*24),0)</f>
        <v>8.5</v>
      </c>
      <c r="O161" s="14" t="n">
        <f aca="false">IF(NOT(U161),0,IF(K161="Vacation",IF(C161="Eve",Settings!$B$9*Settings!$B$11,W161),IF(K161="Partial Vacation",IF(AND(ISNUMBER(H161),ISNUMBER(I161)),MAX(0,(I161-H161)*24),0),0)))</f>
        <v>0</v>
      </c>
      <c r="P161" s="14" t="n">
        <f aca="false">IF(NOT(U161),0,IF(K161="Sick Leave",W161,IF(K161="Partial Sick Leave",IF(AND(ISNUMBER(H161),ISNUMBER(I161)),MAX(0,(I161-H161)*24),0),0)))</f>
        <v>0</v>
      </c>
      <c r="Q161" s="14" t="n">
        <f aca="false">IF(NOT(U161),0,IF(K161="Vacation",IF(C161="Eve",Settings!$B$11,1),IF(K161="Partial Vacation",O161/Settings!$B$9,0)))</f>
        <v>0</v>
      </c>
      <c r="R161" s="14" t="n">
        <f aca="false">IF(NOT(U161),0,IF(K161="Sick Leave",1,IF(K161="Partial Sick Leave",P161/Settings!$B$9,0)))</f>
        <v>0</v>
      </c>
      <c r="S161" s="35" t="str">
        <f aca="false">IF(AND(OR(E161="Vacation",E161="Sick Leave",E161="Partial Vacation",E161="Partial Sick Leave"),NOT(U161)),"Leave not allowed on this day",IF(AND(E161="Manual Work",OR(NOT(ISNUMBER(F161)),NOT(ISNUMBER(G161)))),"Enter start and end",IF(AND(OR(E161="Partial Vacation",E161="Partial Sick Leave"),OR(NOT(ISNUMBER(H161)),NOT(ISNUMBER(I161)))),"Enter leave from and to",IF(AND(ISNUMBER(F161),ISNUMBER(G161),G161&lt;=F161),"End is before start",IF(AND(ISNUMBER(H161),ISNUMBER(I161),I161&lt;=H161),"Leave end is before start",IF(AND(ISNUMBER(F161),ISNUMBER(G161),ISNUMBER(H161),ISNUMBER(I161),F161&lt;I161,H161&lt;G161),"Work and leave hours overlap",IF(AND(E161&lt;&gt;"",WEEKDAY(A161)=7),"Saturday - administrator only","")))))))</f>
        <v/>
      </c>
      <c r="T161" s="36" t="n">
        <f aca="false">MONTH(A161)</f>
        <v>6</v>
      </c>
      <c r="U161" s="37" t="b">
        <f aca="false">OR(C161="Workday",C161="Eve")</f>
        <v>1</v>
      </c>
      <c r="V161" s="34" t="n">
        <f aca="false">IF(C161="Eve",Settings!$B$8,Settings!$B$7)</f>
        <v>0.6875</v>
      </c>
      <c r="W161" s="14" t="n">
        <f aca="false">IF(U161,(V161-Settings!$B$6)*24,0)</f>
        <v>8.5</v>
      </c>
    </row>
    <row r="162" customFormat="false" ht="15" hidden="false" customHeight="false" outlineLevel="0" collapsed="false">
      <c r="A162" s="29" t="n">
        <v>46178</v>
      </c>
      <c r="B162" s="30" t="str">
        <f aca="false">CHOOSE(WEEKDAY(A162),"Sun","Mon","Tue","Wed","Thu","Fri","Sat")</f>
        <v>Fri</v>
      </c>
      <c r="C162" s="30" t="str">
        <f aca="false">IF(IFERROR(INDEX(Holidays!$D$5:$D$60,MATCH(A162,Holidays!$A$5:$A$60,0)),"")="Holiday","Holiday",IF(WEEKDAY(A162)&gt;=6,"Weekend",IF(IFERROR(INDEX(Holidays!$D$5:$D$60,MATCH(A162,Holidays!$A$5:$A$60,0)),"")="Eve","Eve","Workday")))</f>
        <v>Weekend</v>
      </c>
      <c r="D162" s="18" t="str">
        <f aca="false">IFERROR(INDEX(Holidays!$C$5:$C$60,MATCH(A162,Holidays!$A$5:$A$60,0)),"")</f>
        <v/>
      </c>
      <c r="E162" s="31"/>
      <c r="F162" s="32"/>
      <c r="G162" s="32"/>
      <c r="H162" s="32"/>
      <c r="I162" s="32"/>
      <c r="J162" s="31"/>
      <c r="K162" s="33" t="str">
        <f aca="false">IF(E162&lt;&gt;"",E162,IF(U162,"Present",IF(C162="Holiday","Holiday","Weekend")))</f>
        <v>Weekend</v>
      </c>
      <c r="L162" s="34" t="str">
        <f aca="false">IF(OR(K162="Present",K162="Manual Work",K162="Partial Vacation",K162="Partial Sick Leave"),IF(ISNUMBER(F162),F162,IF(AND(K162="Present",U162),Settings!$B$6,"")),"")</f>
        <v/>
      </c>
      <c r="M162" s="34" t="str">
        <f aca="false">IF(OR(K162="Present",K162="Manual Work",K162="Partial Vacation",K162="Partial Sick Leave"),IF(ISNUMBER(G162),G162,IF(AND(K162="Present",U162),V162,"")),"")</f>
        <v/>
      </c>
      <c r="N162" s="14" t="n">
        <f aca="false">IF(AND(ISNUMBER(L162),ISNUMBER(M162)),MAX(0,(M162-L162)*24),0)</f>
        <v>0</v>
      </c>
      <c r="O162" s="14" t="n">
        <f aca="false">IF(NOT(U162),0,IF(K162="Vacation",IF(C162="Eve",Settings!$B$9*Settings!$B$11,W162),IF(K162="Partial Vacation",IF(AND(ISNUMBER(H162),ISNUMBER(I162)),MAX(0,(I162-H162)*24),0),0)))</f>
        <v>0</v>
      </c>
      <c r="P162" s="14" t="n">
        <f aca="false">IF(NOT(U162),0,IF(K162="Sick Leave",W162,IF(K162="Partial Sick Leave",IF(AND(ISNUMBER(H162),ISNUMBER(I162)),MAX(0,(I162-H162)*24),0),0)))</f>
        <v>0</v>
      </c>
      <c r="Q162" s="14" t="n">
        <f aca="false">IF(NOT(U162),0,IF(K162="Vacation",IF(C162="Eve",Settings!$B$11,1),IF(K162="Partial Vacation",O162/Settings!$B$9,0)))</f>
        <v>0</v>
      </c>
      <c r="R162" s="14" t="n">
        <f aca="false">IF(NOT(U162),0,IF(K162="Sick Leave",1,IF(K162="Partial Sick Leave",P162/Settings!$B$9,0)))</f>
        <v>0</v>
      </c>
      <c r="S162" s="35" t="str">
        <f aca="false">IF(AND(OR(E162="Vacation",E162="Sick Leave",E162="Partial Vacation",E162="Partial Sick Leave"),NOT(U162)),"Leave not allowed on this day",IF(AND(E162="Manual Work",OR(NOT(ISNUMBER(F162)),NOT(ISNUMBER(G162)))),"Enter start and end",IF(AND(OR(E162="Partial Vacation",E162="Partial Sick Leave"),OR(NOT(ISNUMBER(H162)),NOT(ISNUMBER(I162)))),"Enter leave from and to",IF(AND(ISNUMBER(F162),ISNUMBER(G162),G162&lt;=F162),"End is before start",IF(AND(ISNUMBER(H162),ISNUMBER(I162),I162&lt;=H162),"Leave end is before start",IF(AND(ISNUMBER(F162),ISNUMBER(G162),ISNUMBER(H162),ISNUMBER(I162),F162&lt;I162,H162&lt;G162),"Work and leave hours overlap",IF(AND(E162&lt;&gt;"",WEEKDAY(A162)=7),"Saturday - administrator only","")))))))</f>
        <v/>
      </c>
      <c r="T162" s="36" t="n">
        <f aca="false">MONTH(A162)</f>
        <v>6</v>
      </c>
      <c r="U162" s="37" t="b">
        <f aca="false">OR(C162="Workday",C162="Eve")</f>
        <v>0</v>
      </c>
      <c r="V162" s="34" t="n">
        <f aca="false">IF(C162="Eve",Settings!$B$8,Settings!$B$7)</f>
        <v>0.6875</v>
      </c>
      <c r="W162" s="14" t="n">
        <f aca="false">IF(U162,(V162-Settings!$B$6)*24,0)</f>
        <v>0</v>
      </c>
    </row>
    <row r="163" customFormat="false" ht="15" hidden="false" customHeight="false" outlineLevel="0" collapsed="false">
      <c r="A163" s="29" t="n">
        <v>46179</v>
      </c>
      <c r="B163" s="30" t="str">
        <f aca="false">CHOOSE(WEEKDAY(A163),"Sun","Mon","Tue","Wed","Thu","Fri","Sat")</f>
        <v>Sat</v>
      </c>
      <c r="C163" s="30" t="str">
        <f aca="false">IF(IFERROR(INDEX(Holidays!$D$5:$D$60,MATCH(A163,Holidays!$A$5:$A$60,0)),"")="Holiday","Holiday",IF(WEEKDAY(A163)&gt;=6,"Weekend",IF(IFERROR(INDEX(Holidays!$D$5:$D$60,MATCH(A163,Holidays!$A$5:$A$60,0)),"")="Eve","Eve","Workday")))</f>
        <v>Weekend</v>
      </c>
      <c r="D163" s="18" t="str">
        <f aca="false">IFERROR(INDEX(Holidays!$C$5:$C$60,MATCH(A163,Holidays!$A$5:$A$60,0)),"")</f>
        <v/>
      </c>
      <c r="E163" s="31"/>
      <c r="F163" s="32"/>
      <c r="G163" s="32"/>
      <c r="H163" s="32"/>
      <c r="I163" s="32"/>
      <c r="J163" s="31"/>
      <c r="K163" s="33" t="str">
        <f aca="false">IF(E163&lt;&gt;"",E163,IF(U163,"Present",IF(C163="Holiday","Holiday","Weekend")))</f>
        <v>Weekend</v>
      </c>
      <c r="L163" s="34" t="str">
        <f aca="false">IF(OR(K163="Present",K163="Manual Work",K163="Partial Vacation",K163="Partial Sick Leave"),IF(ISNUMBER(F163),F163,IF(AND(K163="Present",U163),Settings!$B$6,"")),"")</f>
        <v/>
      </c>
      <c r="M163" s="34" t="str">
        <f aca="false">IF(OR(K163="Present",K163="Manual Work",K163="Partial Vacation",K163="Partial Sick Leave"),IF(ISNUMBER(G163),G163,IF(AND(K163="Present",U163),V163,"")),"")</f>
        <v/>
      </c>
      <c r="N163" s="14" t="n">
        <f aca="false">IF(AND(ISNUMBER(L163),ISNUMBER(M163)),MAX(0,(M163-L163)*24),0)</f>
        <v>0</v>
      </c>
      <c r="O163" s="14" t="n">
        <f aca="false">IF(NOT(U163),0,IF(K163="Vacation",IF(C163="Eve",Settings!$B$9*Settings!$B$11,W163),IF(K163="Partial Vacation",IF(AND(ISNUMBER(H163),ISNUMBER(I163)),MAX(0,(I163-H163)*24),0),0)))</f>
        <v>0</v>
      </c>
      <c r="P163" s="14" t="n">
        <f aca="false">IF(NOT(U163),0,IF(K163="Sick Leave",W163,IF(K163="Partial Sick Leave",IF(AND(ISNUMBER(H163),ISNUMBER(I163)),MAX(0,(I163-H163)*24),0),0)))</f>
        <v>0</v>
      </c>
      <c r="Q163" s="14" t="n">
        <f aca="false">IF(NOT(U163),0,IF(K163="Vacation",IF(C163="Eve",Settings!$B$11,1),IF(K163="Partial Vacation",O163/Settings!$B$9,0)))</f>
        <v>0</v>
      </c>
      <c r="R163" s="14" t="n">
        <f aca="false">IF(NOT(U163),0,IF(K163="Sick Leave",1,IF(K163="Partial Sick Leave",P163/Settings!$B$9,0)))</f>
        <v>0</v>
      </c>
      <c r="S163" s="35" t="str">
        <f aca="false">IF(AND(OR(E163="Vacation",E163="Sick Leave",E163="Partial Vacation",E163="Partial Sick Leave"),NOT(U163)),"Leave not allowed on this day",IF(AND(E163="Manual Work",OR(NOT(ISNUMBER(F163)),NOT(ISNUMBER(G163)))),"Enter start and end",IF(AND(OR(E163="Partial Vacation",E163="Partial Sick Leave"),OR(NOT(ISNUMBER(H163)),NOT(ISNUMBER(I163)))),"Enter leave from and to",IF(AND(ISNUMBER(F163),ISNUMBER(G163),G163&lt;=F163),"End is before start",IF(AND(ISNUMBER(H163),ISNUMBER(I163),I163&lt;=H163),"Leave end is before start",IF(AND(ISNUMBER(F163),ISNUMBER(G163),ISNUMBER(H163),ISNUMBER(I163),F163&lt;I163,H163&lt;G163),"Work and leave hours overlap",IF(AND(E163&lt;&gt;"",WEEKDAY(A163)=7),"Saturday - administrator only","")))))))</f>
        <v/>
      </c>
      <c r="T163" s="36" t="n">
        <f aca="false">MONTH(A163)</f>
        <v>6</v>
      </c>
      <c r="U163" s="37" t="b">
        <f aca="false">OR(C163="Workday",C163="Eve")</f>
        <v>0</v>
      </c>
      <c r="V163" s="34" t="n">
        <f aca="false">IF(C163="Eve",Settings!$B$8,Settings!$B$7)</f>
        <v>0.6875</v>
      </c>
      <c r="W163" s="14" t="n">
        <f aca="false">IF(U163,(V163-Settings!$B$6)*24,0)</f>
        <v>0</v>
      </c>
    </row>
    <row r="164" customFormat="false" ht="15" hidden="false" customHeight="false" outlineLevel="0" collapsed="false">
      <c r="A164" s="29" t="n">
        <v>46180</v>
      </c>
      <c r="B164" s="30" t="str">
        <f aca="false">CHOOSE(WEEKDAY(A164),"Sun","Mon","Tue","Wed","Thu","Fri","Sat")</f>
        <v>Sun</v>
      </c>
      <c r="C164" s="30" t="str">
        <f aca="false">IF(IFERROR(INDEX(Holidays!$D$5:$D$60,MATCH(A164,Holidays!$A$5:$A$60,0)),"")="Holiday","Holiday",IF(WEEKDAY(A164)&gt;=6,"Weekend",IF(IFERROR(INDEX(Holidays!$D$5:$D$60,MATCH(A164,Holidays!$A$5:$A$60,0)),"")="Eve","Eve","Workday")))</f>
        <v>Workday</v>
      </c>
      <c r="D164" s="18" t="str">
        <f aca="false">IFERROR(INDEX(Holidays!$C$5:$C$60,MATCH(A164,Holidays!$A$5:$A$60,0)),"")</f>
        <v/>
      </c>
      <c r="E164" s="31"/>
      <c r="F164" s="32"/>
      <c r="G164" s="32"/>
      <c r="H164" s="32"/>
      <c r="I164" s="32"/>
      <c r="J164" s="31"/>
      <c r="K164" s="33" t="str">
        <f aca="false">IF(E164&lt;&gt;"",E164,IF(U164,"Present",IF(C164="Holiday","Holiday","Weekend")))</f>
        <v>Present</v>
      </c>
      <c r="L164" s="34" t="n">
        <f aca="false">IF(OR(K164="Present",K164="Manual Work",K164="Partial Vacation",K164="Partial Sick Leave"),IF(ISNUMBER(F164),F164,IF(AND(K164="Present",U164),Settings!$B$6,"")),"")</f>
        <v>0.333333333333333</v>
      </c>
      <c r="M164" s="34" t="n">
        <f aca="false">IF(OR(K164="Present",K164="Manual Work",K164="Partial Vacation",K164="Partial Sick Leave"),IF(ISNUMBER(G164),G164,IF(AND(K164="Present",U164),V164,"")),"")</f>
        <v>0.6875</v>
      </c>
      <c r="N164" s="14" t="n">
        <f aca="false">IF(AND(ISNUMBER(L164),ISNUMBER(M164)),MAX(0,(M164-L164)*24),0)</f>
        <v>8.5</v>
      </c>
      <c r="O164" s="14" t="n">
        <f aca="false">IF(NOT(U164),0,IF(K164="Vacation",IF(C164="Eve",Settings!$B$9*Settings!$B$11,W164),IF(K164="Partial Vacation",IF(AND(ISNUMBER(H164),ISNUMBER(I164)),MAX(0,(I164-H164)*24),0),0)))</f>
        <v>0</v>
      </c>
      <c r="P164" s="14" t="n">
        <f aca="false">IF(NOT(U164),0,IF(K164="Sick Leave",W164,IF(K164="Partial Sick Leave",IF(AND(ISNUMBER(H164),ISNUMBER(I164)),MAX(0,(I164-H164)*24),0),0)))</f>
        <v>0</v>
      </c>
      <c r="Q164" s="14" t="n">
        <f aca="false">IF(NOT(U164),0,IF(K164="Vacation",IF(C164="Eve",Settings!$B$11,1),IF(K164="Partial Vacation",O164/Settings!$B$9,0)))</f>
        <v>0</v>
      </c>
      <c r="R164" s="14" t="n">
        <f aca="false">IF(NOT(U164),0,IF(K164="Sick Leave",1,IF(K164="Partial Sick Leave",P164/Settings!$B$9,0)))</f>
        <v>0</v>
      </c>
      <c r="S164" s="35" t="str">
        <f aca="false">IF(AND(OR(E164="Vacation",E164="Sick Leave",E164="Partial Vacation",E164="Partial Sick Leave"),NOT(U164)),"Leave not allowed on this day",IF(AND(E164="Manual Work",OR(NOT(ISNUMBER(F164)),NOT(ISNUMBER(G164)))),"Enter start and end",IF(AND(OR(E164="Partial Vacation",E164="Partial Sick Leave"),OR(NOT(ISNUMBER(H164)),NOT(ISNUMBER(I164)))),"Enter leave from and to",IF(AND(ISNUMBER(F164),ISNUMBER(G164),G164&lt;=F164),"End is before start",IF(AND(ISNUMBER(H164),ISNUMBER(I164),I164&lt;=H164),"Leave end is before start",IF(AND(ISNUMBER(F164),ISNUMBER(G164),ISNUMBER(H164),ISNUMBER(I164),F164&lt;I164,H164&lt;G164),"Work and leave hours overlap",IF(AND(E164&lt;&gt;"",WEEKDAY(A164)=7),"Saturday - administrator only","")))))))</f>
        <v/>
      </c>
      <c r="T164" s="36" t="n">
        <f aca="false">MONTH(A164)</f>
        <v>6</v>
      </c>
      <c r="U164" s="37" t="b">
        <f aca="false">OR(C164="Workday",C164="Eve")</f>
        <v>1</v>
      </c>
      <c r="V164" s="34" t="n">
        <f aca="false">IF(C164="Eve",Settings!$B$8,Settings!$B$7)</f>
        <v>0.6875</v>
      </c>
      <c r="W164" s="14" t="n">
        <f aca="false">IF(U164,(V164-Settings!$B$6)*24,0)</f>
        <v>8.5</v>
      </c>
    </row>
    <row r="165" customFormat="false" ht="15" hidden="false" customHeight="false" outlineLevel="0" collapsed="false">
      <c r="A165" s="29" t="n">
        <v>46181</v>
      </c>
      <c r="B165" s="30" t="str">
        <f aca="false">CHOOSE(WEEKDAY(A165),"Sun","Mon","Tue","Wed","Thu","Fri","Sat")</f>
        <v>Mon</v>
      </c>
      <c r="C165" s="30" t="str">
        <f aca="false">IF(IFERROR(INDEX(Holidays!$D$5:$D$60,MATCH(A165,Holidays!$A$5:$A$60,0)),"")="Holiday","Holiday",IF(WEEKDAY(A165)&gt;=6,"Weekend",IF(IFERROR(INDEX(Holidays!$D$5:$D$60,MATCH(A165,Holidays!$A$5:$A$60,0)),"")="Eve","Eve","Workday")))</f>
        <v>Workday</v>
      </c>
      <c r="D165" s="18" t="str">
        <f aca="false">IFERROR(INDEX(Holidays!$C$5:$C$60,MATCH(A165,Holidays!$A$5:$A$60,0)),"")</f>
        <v/>
      </c>
      <c r="E165" s="31"/>
      <c r="F165" s="32"/>
      <c r="G165" s="32"/>
      <c r="H165" s="32"/>
      <c r="I165" s="32"/>
      <c r="J165" s="31"/>
      <c r="K165" s="33" t="str">
        <f aca="false">IF(E165&lt;&gt;"",E165,IF(U165,"Present",IF(C165="Holiday","Holiday","Weekend")))</f>
        <v>Present</v>
      </c>
      <c r="L165" s="34" t="n">
        <f aca="false">IF(OR(K165="Present",K165="Manual Work",K165="Partial Vacation",K165="Partial Sick Leave"),IF(ISNUMBER(F165),F165,IF(AND(K165="Present",U165),Settings!$B$6,"")),"")</f>
        <v>0.333333333333333</v>
      </c>
      <c r="M165" s="34" t="n">
        <f aca="false">IF(OR(K165="Present",K165="Manual Work",K165="Partial Vacation",K165="Partial Sick Leave"),IF(ISNUMBER(G165),G165,IF(AND(K165="Present",U165),V165,"")),"")</f>
        <v>0.6875</v>
      </c>
      <c r="N165" s="14" t="n">
        <f aca="false">IF(AND(ISNUMBER(L165),ISNUMBER(M165)),MAX(0,(M165-L165)*24),0)</f>
        <v>8.5</v>
      </c>
      <c r="O165" s="14" t="n">
        <f aca="false">IF(NOT(U165),0,IF(K165="Vacation",IF(C165="Eve",Settings!$B$9*Settings!$B$11,W165),IF(K165="Partial Vacation",IF(AND(ISNUMBER(H165),ISNUMBER(I165)),MAX(0,(I165-H165)*24),0),0)))</f>
        <v>0</v>
      </c>
      <c r="P165" s="14" t="n">
        <f aca="false">IF(NOT(U165),0,IF(K165="Sick Leave",W165,IF(K165="Partial Sick Leave",IF(AND(ISNUMBER(H165),ISNUMBER(I165)),MAX(0,(I165-H165)*24),0),0)))</f>
        <v>0</v>
      </c>
      <c r="Q165" s="14" t="n">
        <f aca="false">IF(NOT(U165),0,IF(K165="Vacation",IF(C165="Eve",Settings!$B$11,1),IF(K165="Partial Vacation",O165/Settings!$B$9,0)))</f>
        <v>0</v>
      </c>
      <c r="R165" s="14" t="n">
        <f aca="false">IF(NOT(U165),0,IF(K165="Sick Leave",1,IF(K165="Partial Sick Leave",P165/Settings!$B$9,0)))</f>
        <v>0</v>
      </c>
      <c r="S165" s="35" t="str">
        <f aca="false">IF(AND(OR(E165="Vacation",E165="Sick Leave",E165="Partial Vacation",E165="Partial Sick Leave"),NOT(U165)),"Leave not allowed on this day",IF(AND(E165="Manual Work",OR(NOT(ISNUMBER(F165)),NOT(ISNUMBER(G165)))),"Enter start and end",IF(AND(OR(E165="Partial Vacation",E165="Partial Sick Leave"),OR(NOT(ISNUMBER(H165)),NOT(ISNUMBER(I165)))),"Enter leave from and to",IF(AND(ISNUMBER(F165),ISNUMBER(G165),G165&lt;=F165),"End is before start",IF(AND(ISNUMBER(H165),ISNUMBER(I165),I165&lt;=H165),"Leave end is before start",IF(AND(ISNUMBER(F165),ISNUMBER(G165),ISNUMBER(H165),ISNUMBER(I165),F165&lt;I165,H165&lt;G165),"Work and leave hours overlap",IF(AND(E165&lt;&gt;"",WEEKDAY(A165)=7),"Saturday - administrator only","")))))))</f>
        <v/>
      </c>
      <c r="T165" s="36" t="n">
        <f aca="false">MONTH(A165)</f>
        <v>6</v>
      </c>
      <c r="U165" s="37" t="b">
        <f aca="false">OR(C165="Workday",C165="Eve")</f>
        <v>1</v>
      </c>
      <c r="V165" s="34" t="n">
        <f aca="false">IF(C165="Eve",Settings!$B$8,Settings!$B$7)</f>
        <v>0.6875</v>
      </c>
      <c r="W165" s="14" t="n">
        <f aca="false">IF(U165,(V165-Settings!$B$6)*24,0)</f>
        <v>8.5</v>
      </c>
    </row>
    <row r="166" customFormat="false" ht="15" hidden="false" customHeight="false" outlineLevel="0" collapsed="false">
      <c r="A166" s="29" t="n">
        <v>46182</v>
      </c>
      <c r="B166" s="30" t="str">
        <f aca="false">CHOOSE(WEEKDAY(A166),"Sun","Mon","Tue","Wed","Thu","Fri","Sat")</f>
        <v>Tue</v>
      </c>
      <c r="C166" s="30" t="str">
        <f aca="false">IF(IFERROR(INDEX(Holidays!$D$5:$D$60,MATCH(A166,Holidays!$A$5:$A$60,0)),"")="Holiday","Holiday",IF(WEEKDAY(A166)&gt;=6,"Weekend",IF(IFERROR(INDEX(Holidays!$D$5:$D$60,MATCH(A166,Holidays!$A$5:$A$60,0)),"")="Eve","Eve","Workday")))</f>
        <v>Workday</v>
      </c>
      <c r="D166" s="18" t="str">
        <f aca="false">IFERROR(INDEX(Holidays!$C$5:$C$60,MATCH(A166,Holidays!$A$5:$A$60,0)),"")</f>
        <v/>
      </c>
      <c r="E166" s="31"/>
      <c r="F166" s="32"/>
      <c r="G166" s="32"/>
      <c r="H166" s="32"/>
      <c r="I166" s="32"/>
      <c r="J166" s="31"/>
      <c r="K166" s="33" t="str">
        <f aca="false">IF(E166&lt;&gt;"",E166,IF(U166,"Present",IF(C166="Holiday","Holiday","Weekend")))</f>
        <v>Present</v>
      </c>
      <c r="L166" s="34" t="n">
        <f aca="false">IF(OR(K166="Present",K166="Manual Work",K166="Partial Vacation",K166="Partial Sick Leave"),IF(ISNUMBER(F166),F166,IF(AND(K166="Present",U166),Settings!$B$6,"")),"")</f>
        <v>0.333333333333333</v>
      </c>
      <c r="M166" s="34" t="n">
        <f aca="false">IF(OR(K166="Present",K166="Manual Work",K166="Partial Vacation",K166="Partial Sick Leave"),IF(ISNUMBER(G166),G166,IF(AND(K166="Present",U166),V166,"")),"")</f>
        <v>0.6875</v>
      </c>
      <c r="N166" s="14" t="n">
        <f aca="false">IF(AND(ISNUMBER(L166),ISNUMBER(M166)),MAX(0,(M166-L166)*24),0)</f>
        <v>8.5</v>
      </c>
      <c r="O166" s="14" t="n">
        <f aca="false">IF(NOT(U166),0,IF(K166="Vacation",IF(C166="Eve",Settings!$B$9*Settings!$B$11,W166),IF(K166="Partial Vacation",IF(AND(ISNUMBER(H166),ISNUMBER(I166)),MAX(0,(I166-H166)*24),0),0)))</f>
        <v>0</v>
      </c>
      <c r="P166" s="14" t="n">
        <f aca="false">IF(NOT(U166),0,IF(K166="Sick Leave",W166,IF(K166="Partial Sick Leave",IF(AND(ISNUMBER(H166),ISNUMBER(I166)),MAX(0,(I166-H166)*24),0),0)))</f>
        <v>0</v>
      </c>
      <c r="Q166" s="14" t="n">
        <f aca="false">IF(NOT(U166),0,IF(K166="Vacation",IF(C166="Eve",Settings!$B$11,1),IF(K166="Partial Vacation",O166/Settings!$B$9,0)))</f>
        <v>0</v>
      </c>
      <c r="R166" s="14" t="n">
        <f aca="false">IF(NOT(U166),0,IF(K166="Sick Leave",1,IF(K166="Partial Sick Leave",P166/Settings!$B$9,0)))</f>
        <v>0</v>
      </c>
      <c r="S166" s="35" t="str">
        <f aca="false">IF(AND(OR(E166="Vacation",E166="Sick Leave",E166="Partial Vacation",E166="Partial Sick Leave"),NOT(U166)),"Leave not allowed on this day",IF(AND(E166="Manual Work",OR(NOT(ISNUMBER(F166)),NOT(ISNUMBER(G166)))),"Enter start and end",IF(AND(OR(E166="Partial Vacation",E166="Partial Sick Leave"),OR(NOT(ISNUMBER(H166)),NOT(ISNUMBER(I166)))),"Enter leave from and to",IF(AND(ISNUMBER(F166),ISNUMBER(G166),G166&lt;=F166),"End is before start",IF(AND(ISNUMBER(H166),ISNUMBER(I166),I166&lt;=H166),"Leave end is before start",IF(AND(ISNUMBER(F166),ISNUMBER(G166),ISNUMBER(H166),ISNUMBER(I166),F166&lt;I166,H166&lt;G166),"Work and leave hours overlap",IF(AND(E166&lt;&gt;"",WEEKDAY(A166)=7),"Saturday - administrator only","")))))))</f>
        <v/>
      </c>
      <c r="T166" s="36" t="n">
        <f aca="false">MONTH(A166)</f>
        <v>6</v>
      </c>
      <c r="U166" s="37" t="b">
        <f aca="false">OR(C166="Workday",C166="Eve")</f>
        <v>1</v>
      </c>
      <c r="V166" s="34" t="n">
        <f aca="false">IF(C166="Eve",Settings!$B$8,Settings!$B$7)</f>
        <v>0.6875</v>
      </c>
      <c r="W166" s="14" t="n">
        <f aca="false">IF(U166,(V166-Settings!$B$6)*24,0)</f>
        <v>8.5</v>
      </c>
    </row>
    <row r="167" customFormat="false" ht="15" hidden="false" customHeight="false" outlineLevel="0" collapsed="false">
      <c r="A167" s="29" t="n">
        <v>46183</v>
      </c>
      <c r="B167" s="30" t="str">
        <f aca="false">CHOOSE(WEEKDAY(A167),"Sun","Mon","Tue","Wed","Thu","Fri","Sat")</f>
        <v>Wed</v>
      </c>
      <c r="C167" s="30" t="str">
        <f aca="false">IF(IFERROR(INDEX(Holidays!$D$5:$D$60,MATCH(A167,Holidays!$A$5:$A$60,0)),"")="Holiday","Holiday",IF(WEEKDAY(A167)&gt;=6,"Weekend",IF(IFERROR(INDEX(Holidays!$D$5:$D$60,MATCH(A167,Holidays!$A$5:$A$60,0)),"")="Eve","Eve","Workday")))</f>
        <v>Workday</v>
      </c>
      <c r="D167" s="18" t="str">
        <f aca="false">IFERROR(INDEX(Holidays!$C$5:$C$60,MATCH(A167,Holidays!$A$5:$A$60,0)),"")</f>
        <v/>
      </c>
      <c r="E167" s="31"/>
      <c r="F167" s="32"/>
      <c r="G167" s="32"/>
      <c r="H167" s="32"/>
      <c r="I167" s="32"/>
      <c r="J167" s="31"/>
      <c r="K167" s="33" t="str">
        <f aca="false">IF(E167&lt;&gt;"",E167,IF(U167,"Present",IF(C167="Holiday","Holiday","Weekend")))</f>
        <v>Present</v>
      </c>
      <c r="L167" s="34" t="n">
        <f aca="false">IF(OR(K167="Present",K167="Manual Work",K167="Partial Vacation",K167="Partial Sick Leave"),IF(ISNUMBER(F167),F167,IF(AND(K167="Present",U167),Settings!$B$6,"")),"")</f>
        <v>0.333333333333333</v>
      </c>
      <c r="M167" s="34" t="n">
        <f aca="false">IF(OR(K167="Present",K167="Manual Work",K167="Partial Vacation",K167="Partial Sick Leave"),IF(ISNUMBER(G167),G167,IF(AND(K167="Present",U167),V167,"")),"")</f>
        <v>0.6875</v>
      </c>
      <c r="N167" s="14" t="n">
        <f aca="false">IF(AND(ISNUMBER(L167),ISNUMBER(M167)),MAX(0,(M167-L167)*24),0)</f>
        <v>8.5</v>
      </c>
      <c r="O167" s="14" t="n">
        <f aca="false">IF(NOT(U167),0,IF(K167="Vacation",IF(C167="Eve",Settings!$B$9*Settings!$B$11,W167),IF(K167="Partial Vacation",IF(AND(ISNUMBER(H167),ISNUMBER(I167)),MAX(0,(I167-H167)*24),0),0)))</f>
        <v>0</v>
      </c>
      <c r="P167" s="14" t="n">
        <f aca="false">IF(NOT(U167),0,IF(K167="Sick Leave",W167,IF(K167="Partial Sick Leave",IF(AND(ISNUMBER(H167),ISNUMBER(I167)),MAX(0,(I167-H167)*24),0),0)))</f>
        <v>0</v>
      </c>
      <c r="Q167" s="14" t="n">
        <f aca="false">IF(NOT(U167),0,IF(K167="Vacation",IF(C167="Eve",Settings!$B$11,1),IF(K167="Partial Vacation",O167/Settings!$B$9,0)))</f>
        <v>0</v>
      </c>
      <c r="R167" s="14" t="n">
        <f aca="false">IF(NOT(U167),0,IF(K167="Sick Leave",1,IF(K167="Partial Sick Leave",P167/Settings!$B$9,0)))</f>
        <v>0</v>
      </c>
      <c r="S167" s="35" t="str">
        <f aca="false">IF(AND(OR(E167="Vacation",E167="Sick Leave",E167="Partial Vacation",E167="Partial Sick Leave"),NOT(U167)),"Leave not allowed on this day",IF(AND(E167="Manual Work",OR(NOT(ISNUMBER(F167)),NOT(ISNUMBER(G167)))),"Enter start and end",IF(AND(OR(E167="Partial Vacation",E167="Partial Sick Leave"),OR(NOT(ISNUMBER(H167)),NOT(ISNUMBER(I167)))),"Enter leave from and to",IF(AND(ISNUMBER(F167),ISNUMBER(G167),G167&lt;=F167),"End is before start",IF(AND(ISNUMBER(H167),ISNUMBER(I167),I167&lt;=H167),"Leave end is before start",IF(AND(ISNUMBER(F167),ISNUMBER(G167),ISNUMBER(H167),ISNUMBER(I167),F167&lt;I167,H167&lt;G167),"Work and leave hours overlap",IF(AND(E167&lt;&gt;"",WEEKDAY(A167)=7),"Saturday - administrator only","")))))))</f>
        <v/>
      </c>
      <c r="T167" s="36" t="n">
        <f aca="false">MONTH(A167)</f>
        <v>6</v>
      </c>
      <c r="U167" s="37" t="b">
        <f aca="false">OR(C167="Workday",C167="Eve")</f>
        <v>1</v>
      </c>
      <c r="V167" s="34" t="n">
        <f aca="false">IF(C167="Eve",Settings!$B$8,Settings!$B$7)</f>
        <v>0.6875</v>
      </c>
      <c r="W167" s="14" t="n">
        <f aca="false">IF(U167,(V167-Settings!$B$6)*24,0)</f>
        <v>8.5</v>
      </c>
    </row>
    <row r="168" customFormat="false" ht="15" hidden="false" customHeight="false" outlineLevel="0" collapsed="false">
      <c r="A168" s="29" t="n">
        <v>46184</v>
      </c>
      <c r="B168" s="30" t="str">
        <f aca="false">CHOOSE(WEEKDAY(A168),"Sun","Mon","Tue","Wed","Thu","Fri","Sat")</f>
        <v>Thu</v>
      </c>
      <c r="C168" s="30" t="str">
        <f aca="false">IF(IFERROR(INDEX(Holidays!$D$5:$D$60,MATCH(A168,Holidays!$A$5:$A$60,0)),"")="Holiday","Holiday",IF(WEEKDAY(A168)&gt;=6,"Weekend",IF(IFERROR(INDEX(Holidays!$D$5:$D$60,MATCH(A168,Holidays!$A$5:$A$60,0)),"")="Eve","Eve","Workday")))</f>
        <v>Workday</v>
      </c>
      <c r="D168" s="18" t="str">
        <f aca="false">IFERROR(INDEX(Holidays!$C$5:$C$60,MATCH(A168,Holidays!$A$5:$A$60,0)),"")</f>
        <v/>
      </c>
      <c r="E168" s="31"/>
      <c r="F168" s="32"/>
      <c r="G168" s="32"/>
      <c r="H168" s="32"/>
      <c r="I168" s="32"/>
      <c r="J168" s="31"/>
      <c r="K168" s="33" t="str">
        <f aca="false">IF(E168&lt;&gt;"",E168,IF(U168,"Present",IF(C168="Holiday","Holiday","Weekend")))</f>
        <v>Present</v>
      </c>
      <c r="L168" s="34" t="n">
        <f aca="false">IF(OR(K168="Present",K168="Manual Work",K168="Partial Vacation",K168="Partial Sick Leave"),IF(ISNUMBER(F168),F168,IF(AND(K168="Present",U168),Settings!$B$6,"")),"")</f>
        <v>0.333333333333333</v>
      </c>
      <c r="M168" s="34" t="n">
        <f aca="false">IF(OR(K168="Present",K168="Manual Work",K168="Partial Vacation",K168="Partial Sick Leave"),IF(ISNUMBER(G168),G168,IF(AND(K168="Present",U168),V168,"")),"")</f>
        <v>0.6875</v>
      </c>
      <c r="N168" s="14" t="n">
        <f aca="false">IF(AND(ISNUMBER(L168),ISNUMBER(M168)),MAX(0,(M168-L168)*24),0)</f>
        <v>8.5</v>
      </c>
      <c r="O168" s="14" t="n">
        <f aca="false">IF(NOT(U168),0,IF(K168="Vacation",IF(C168="Eve",Settings!$B$9*Settings!$B$11,W168),IF(K168="Partial Vacation",IF(AND(ISNUMBER(H168),ISNUMBER(I168)),MAX(0,(I168-H168)*24),0),0)))</f>
        <v>0</v>
      </c>
      <c r="P168" s="14" t="n">
        <f aca="false">IF(NOT(U168),0,IF(K168="Sick Leave",W168,IF(K168="Partial Sick Leave",IF(AND(ISNUMBER(H168),ISNUMBER(I168)),MAX(0,(I168-H168)*24),0),0)))</f>
        <v>0</v>
      </c>
      <c r="Q168" s="14" t="n">
        <f aca="false">IF(NOT(U168),0,IF(K168="Vacation",IF(C168="Eve",Settings!$B$11,1),IF(K168="Partial Vacation",O168/Settings!$B$9,0)))</f>
        <v>0</v>
      </c>
      <c r="R168" s="14" t="n">
        <f aca="false">IF(NOT(U168),0,IF(K168="Sick Leave",1,IF(K168="Partial Sick Leave",P168/Settings!$B$9,0)))</f>
        <v>0</v>
      </c>
      <c r="S168" s="35" t="str">
        <f aca="false">IF(AND(OR(E168="Vacation",E168="Sick Leave",E168="Partial Vacation",E168="Partial Sick Leave"),NOT(U168)),"Leave not allowed on this day",IF(AND(E168="Manual Work",OR(NOT(ISNUMBER(F168)),NOT(ISNUMBER(G168)))),"Enter start and end",IF(AND(OR(E168="Partial Vacation",E168="Partial Sick Leave"),OR(NOT(ISNUMBER(H168)),NOT(ISNUMBER(I168)))),"Enter leave from and to",IF(AND(ISNUMBER(F168),ISNUMBER(G168),G168&lt;=F168),"End is before start",IF(AND(ISNUMBER(H168),ISNUMBER(I168),I168&lt;=H168),"Leave end is before start",IF(AND(ISNUMBER(F168),ISNUMBER(G168),ISNUMBER(H168),ISNUMBER(I168),F168&lt;I168,H168&lt;G168),"Work and leave hours overlap",IF(AND(E168&lt;&gt;"",WEEKDAY(A168)=7),"Saturday - administrator only","")))))))</f>
        <v/>
      </c>
      <c r="T168" s="36" t="n">
        <f aca="false">MONTH(A168)</f>
        <v>6</v>
      </c>
      <c r="U168" s="37" t="b">
        <f aca="false">OR(C168="Workday",C168="Eve")</f>
        <v>1</v>
      </c>
      <c r="V168" s="34" t="n">
        <f aca="false">IF(C168="Eve",Settings!$B$8,Settings!$B$7)</f>
        <v>0.6875</v>
      </c>
      <c r="W168" s="14" t="n">
        <f aca="false">IF(U168,(V168-Settings!$B$6)*24,0)</f>
        <v>8.5</v>
      </c>
    </row>
    <row r="169" customFormat="false" ht="15" hidden="false" customHeight="false" outlineLevel="0" collapsed="false">
      <c r="A169" s="29" t="n">
        <v>46185</v>
      </c>
      <c r="B169" s="30" t="str">
        <f aca="false">CHOOSE(WEEKDAY(A169),"Sun","Mon","Tue","Wed","Thu","Fri","Sat")</f>
        <v>Fri</v>
      </c>
      <c r="C169" s="30" t="str">
        <f aca="false">IF(IFERROR(INDEX(Holidays!$D$5:$D$60,MATCH(A169,Holidays!$A$5:$A$60,0)),"")="Holiday","Holiday",IF(WEEKDAY(A169)&gt;=6,"Weekend",IF(IFERROR(INDEX(Holidays!$D$5:$D$60,MATCH(A169,Holidays!$A$5:$A$60,0)),"")="Eve","Eve","Workday")))</f>
        <v>Weekend</v>
      </c>
      <c r="D169" s="18" t="str">
        <f aca="false">IFERROR(INDEX(Holidays!$C$5:$C$60,MATCH(A169,Holidays!$A$5:$A$60,0)),"")</f>
        <v/>
      </c>
      <c r="E169" s="31"/>
      <c r="F169" s="32"/>
      <c r="G169" s="32"/>
      <c r="H169" s="32"/>
      <c r="I169" s="32"/>
      <c r="J169" s="31"/>
      <c r="K169" s="33" t="str">
        <f aca="false">IF(E169&lt;&gt;"",E169,IF(U169,"Present",IF(C169="Holiday","Holiday","Weekend")))</f>
        <v>Weekend</v>
      </c>
      <c r="L169" s="34" t="str">
        <f aca="false">IF(OR(K169="Present",K169="Manual Work",K169="Partial Vacation",K169="Partial Sick Leave"),IF(ISNUMBER(F169),F169,IF(AND(K169="Present",U169),Settings!$B$6,"")),"")</f>
        <v/>
      </c>
      <c r="M169" s="34" t="str">
        <f aca="false">IF(OR(K169="Present",K169="Manual Work",K169="Partial Vacation",K169="Partial Sick Leave"),IF(ISNUMBER(G169),G169,IF(AND(K169="Present",U169),V169,"")),"")</f>
        <v/>
      </c>
      <c r="N169" s="14" t="n">
        <f aca="false">IF(AND(ISNUMBER(L169),ISNUMBER(M169)),MAX(0,(M169-L169)*24),0)</f>
        <v>0</v>
      </c>
      <c r="O169" s="14" t="n">
        <f aca="false">IF(NOT(U169),0,IF(K169="Vacation",IF(C169="Eve",Settings!$B$9*Settings!$B$11,W169),IF(K169="Partial Vacation",IF(AND(ISNUMBER(H169),ISNUMBER(I169)),MAX(0,(I169-H169)*24),0),0)))</f>
        <v>0</v>
      </c>
      <c r="P169" s="14" t="n">
        <f aca="false">IF(NOT(U169),0,IF(K169="Sick Leave",W169,IF(K169="Partial Sick Leave",IF(AND(ISNUMBER(H169),ISNUMBER(I169)),MAX(0,(I169-H169)*24),0),0)))</f>
        <v>0</v>
      </c>
      <c r="Q169" s="14" t="n">
        <f aca="false">IF(NOT(U169),0,IF(K169="Vacation",IF(C169="Eve",Settings!$B$11,1),IF(K169="Partial Vacation",O169/Settings!$B$9,0)))</f>
        <v>0</v>
      </c>
      <c r="R169" s="14" t="n">
        <f aca="false">IF(NOT(U169),0,IF(K169="Sick Leave",1,IF(K169="Partial Sick Leave",P169/Settings!$B$9,0)))</f>
        <v>0</v>
      </c>
      <c r="S169" s="35" t="str">
        <f aca="false">IF(AND(OR(E169="Vacation",E169="Sick Leave",E169="Partial Vacation",E169="Partial Sick Leave"),NOT(U169)),"Leave not allowed on this day",IF(AND(E169="Manual Work",OR(NOT(ISNUMBER(F169)),NOT(ISNUMBER(G169)))),"Enter start and end",IF(AND(OR(E169="Partial Vacation",E169="Partial Sick Leave"),OR(NOT(ISNUMBER(H169)),NOT(ISNUMBER(I169)))),"Enter leave from and to",IF(AND(ISNUMBER(F169),ISNUMBER(G169),G169&lt;=F169),"End is before start",IF(AND(ISNUMBER(H169),ISNUMBER(I169),I169&lt;=H169),"Leave end is before start",IF(AND(ISNUMBER(F169),ISNUMBER(G169),ISNUMBER(H169),ISNUMBER(I169),F169&lt;I169,H169&lt;G169),"Work and leave hours overlap",IF(AND(E169&lt;&gt;"",WEEKDAY(A169)=7),"Saturday - administrator only","")))))))</f>
        <v/>
      </c>
      <c r="T169" s="36" t="n">
        <f aca="false">MONTH(A169)</f>
        <v>6</v>
      </c>
      <c r="U169" s="37" t="b">
        <f aca="false">OR(C169="Workday",C169="Eve")</f>
        <v>0</v>
      </c>
      <c r="V169" s="34" t="n">
        <f aca="false">IF(C169="Eve",Settings!$B$8,Settings!$B$7)</f>
        <v>0.6875</v>
      </c>
      <c r="W169" s="14" t="n">
        <f aca="false">IF(U169,(V169-Settings!$B$6)*24,0)</f>
        <v>0</v>
      </c>
    </row>
    <row r="170" customFormat="false" ht="15" hidden="false" customHeight="false" outlineLevel="0" collapsed="false">
      <c r="A170" s="29" t="n">
        <v>46186</v>
      </c>
      <c r="B170" s="30" t="str">
        <f aca="false">CHOOSE(WEEKDAY(A170),"Sun","Mon","Tue","Wed","Thu","Fri","Sat")</f>
        <v>Sat</v>
      </c>
      <c r="C170" s="30" t="str">
        <f aca="false">IF(IFERROR(INDEX(Holidays!$D$5:$D$60,MATCH(A170,Holidays!$A$5:$A$60,0)),"")="Holiday","Holiday",IF(WEEKDAY(A170)&gt;=6,"Weekend",IF(IFERROR(INDEX(Holidays!$D$5:$D$60,MATCH(A170,Holidays!$A$5:$A$60,0)),"")="Eve","Eve","Workday")))</f>
        <v>Weekend</v>
      </c>
      <c r="D170" s="18" t="str">
        <f aca="false">IFERROR(INDEX(Holidays!$C$5:$C$60,MATCH(A170,Holidays!$A$5:$A$60,0)),"")</f>
        <v/>
      </c>
      <c r="E170" s="31"/>
      <c r="F170" s="32"/>
      <c r="G170" s="32"/>
      <c r="H170" s="32"/>
      <c r="I170" s="32"/>
      <c r="J170" s="31"/>
      <c r="K170" s="33" t="str">
        <f aca="false">IF(E170&lt;&gt;"",E170,IF(U170,"Present",IF(C170="Holiday","Holiday","Weekend")))</f>
        <v>Weekend</v>
      </c>
      <c r="L170" s="34" t="str">
        <f aca="false">IF(OR(K170="Present",K170="Manual Work",K170="Partial Vacation",K170="Partial Sick Leave"),IF(ISNUMBER(F170),F170,IF(AND(K170="Present",U170),Settings!$B$6,"")),"")</f>
        <v/>
      </c>
      <c r="M170" s="34" t="str">
        <f aca="false">IF(OR(K170="Present",K170="Manual Work",K170="Partial Vacation",K170="Partial Sick Leave"),IF(ISNUMBER(G170),G170,IF(AND(K170="Present",U170),V170,"")),"")</f>
        <v/>
      </c>
      <c r="N170" s="14" t="n">
        <f aca="false">IF(AND(ISNUMBER(L170),ISNUMBER(M170)),MAX(0,(M170-L170)*24),0)</f>
        <v>0</v>
      </c>
      <c r="O170" s="14" t="n">
        <f aca="false">IF(NOT(U170),0,IF(K170="Vacation",IF(C170="Eve",Settings!$B$9*Settings!$B$11,W170),IF(K170="Partial Vacation",IF(AND(ISNUMBER(H170),ISNUMBER(I170)),MAX(0,(I170-H170)*24),0),0)))</f>
        <v>0</v>
      </c>
      <c r="P170" s="14" t="n">
        <f aca="false">IF(NOT(U170),0,IF(K170="Sick Leave",W170,IF(K170="Partial Sick Leave",IF(AND(ISNUMBER(H170),ISNUMBER(I170)),MAX(0,(I170-H170)*24),0),0)))</f>
        <v>0</v>
      </c>
      <c r="Q170" s="14" t="n">
        <f aca="false">IF(NOT(U170),0,IF(K170="Vacation",IF(C170="Eve",Settings!$B$11,1),IF(K170="Partial Vacation",O170/Settings!$B$9,0)))</f>
        <v>0</v>
      </c>
      <c r="R170" s="14" t="n">
        <f aca="false">IF(NOT(U170),0,IF(K170="Sick Leave",1,IF(K170="Partial Sick Leave",P170/Settings!$B$9,0)))</f>
        <v>0</v>
      </c>
      <c r="S170" s="35" t="str">
        <f aca="false">IF(AND(OR(E170="Vacation",E170="Sick Leave",E170="Partial Vacation",E170="Partial Sick Leave"),NOT(U170)),"Leave not allowed on this day",IF(AND(E170="Manual Work",OR(NOT(ISNUMBER(F170)),NOT(ISNUMBER(G170)))),"Enter start and end",IF(AND(OR(E170="Partial Vacation",E170="Partial Sick Leave"),OR(NOT(ISNUMBER(H170)),NOT(ISNUMBER(I170)))),"Enter leave from and to",IF(AND(ISNUMBER(F170),ISNUMBER(G170),G170&lt;=F170),"End is before start",IF(AND(ISNUMBER(H170),ISNUMBER(I170),I170&lt;=H170),"Leave end is before start",IF(AND(ISNUMBER(F170),ISNUMBER(G170),ISNUMBER(H170),ISNUMBER(I170),F170&lt;I170,H170&lt;G170),"Work and leave hours overlap",IF(AND(E170&lt;&gt;"",WEEKDAY(A170)=7),"Saturday - administrator only","")))))))</f>
        <v/>
      </c>
      <c r="T170" s="36" t="n">
        <f aca="false">MONTH(A170)</f>
        <v>6</v>
      </c>
      <c r="U170" s="37" t="b">
        <f aca="false">OR(C170="Workday",C170="Eve")</f>
        <v>0</v>
      </c>
      <c r="V170" s="34" t="n">
        <f aca="false">IF(C170="Eve",Settings!$B$8,Settings!$B$7)</f>
        <v>0.6875</v>
      </c>
      <c r="W170" s="14" t="n">
        <f aca="false">IF(U170,(V170-Settings!$B$6)*24,0)</f>
        <v>0</v>
      </c>
    </row>
    <row r="171" customFormat="false" ht="15" hidden="false" customHeight="false" outlineLevel="0" collapsed="false">
      <c r="A171" s="29" t="n">
        <v>46187</v>
      </c>
      <c r="B171" s="30" t="str">
        <f aca="false">CHOOSE(WEEKDAY(A171),"Sun","Mon","Tue","Wed","Thu","Fri","Sat")</f>
        <v>Sun</v>
      </c>
      <c r="C171" s="30" t="str">
        <f aca="false">IF(IFERROR(INDEX(Holidays!$D$5:$D$60,MATCH(A171,Holidays!$A$5:$A$60,0)),"")="Holiday","Holiday",IF(WEEKDAY(A171)&gt;=6,"Weekend",IF(IFERROR(INDEX(Holidays!$D$5:$D$60,MATCH(A171,Holidays!$A$5:$A$60,0)),"")="Eve","Eve","Workday")))</f>
        <v>Workday</v>
      </c>
      <c r="D171" s="18" t="str">
        <f aca="false">IFERROR(INDEX(Holidays!$C$5:$C$60,MATCH(A171,Holidays!$A$5:$A$60,0)),"")</f>
        <v/>
      </c>
      <c r="E171" s="31"/>
      <c r="F171" s="32"/>
      <c r="G171" s="32"/>
      <c r="H171" s="32"/>
      <c r="I171" s="32"/>
      <c r="J171" s="31"/>
      <c r="K171" s="33" t="str">
        <f aca="false">IF(E171&lt;&gt;"",E171,IF(U171,"Present",IF(C171="Holiday","Holiday","Weekend")))</f>
        <v>Present</v>
      </c>
      <c r="L171" s="34" t="n">
        <f aca="false">IF(OR(K171="Present",K171="Manual Work",K171="Partial Vacation",K171="Partial Sick Leave"),IF(ISNUMBER(F171),F171,IF(AND(K171="Present",U171),Settings!$B$6,"")),"")</f>
        <v>0.333333333333333</v>
      </c>
      <c r="M171" s="34" t="n">
        <f aca="false">IF(OR(K171="Present",K171="Manual Work",K171="Partial Vacation",K171="Partial Sick Leave"),IF(ISNUMBER(G171),G171,IF(AND(K171="Present",U171),V171,"")),"")</f>
        <v>0.6875</v>
      </c>
      <c r="N171" s="14" t="n">
        <f aca="false">IF(AND(ISNUMBER(L171),ISNUMBER(M171)),MAX(0,(M171-L171)*24),0)</f>
        <v>8.5</v>
      </c>
      <c r="O171" s="14" t="n">
        <f aca="false">IF(NOT(U171),0,IF(K171="Vacation",IF(C171="Eve",Settings!$B$9*Settings!$B$11,W171),IF(K171="Partial Vacation",IF(AND(ISNUMBER(H171),ISNUMBER(I171)),MAX(0,(I171-H171)*24),0),0)))</f>
        <v>0</v>
      </c>
      <c r="P171" s="14" t="n">
        <f aca="false">IF(NOT(U171),0,IF(K171="Sick Leave",W171,IF(K171="Partial Sick Leave",IF(AND(ISNUMBER(H171),ISNUMBER(I171)),MAX(0,(I171-H171)*24),0),0)))</f>
        <v>0</v>
      </c>
      <c r="Q171" s="14" t="n">
        <f aca="false">IF(NOT(U171),0,IF(K171="Vacation",IF(C171="Eve",Settings!$B$11,1),IF(K171="Partial Vacation",O171/Settings!$B$9,0)))</f>
        <v>0</v>
      </c>
      <c r="R171" s="14" t="n">
        <f aca="false">IF(NOT(U171),0,IF(K171="Sick Leave",1,IF(K171="Partial Sick Leave",P171/Settings!$B$9,0)))</f>
        <v>0</v>
      </c>
      <c r="S171" s="35" t="str">
        <f aca="false">IF(AND(OR(E171="Vacation",E171="Sick Leave",E171="Partial Vacation",E171="Partial Sick Leave"),NOT(U171)),"Leave not allowed on this day",IF(AND(E171="Manual Work",OR(NOT(ISNUMBER(F171)),NOT(ISNUMBER(G171)))),"Enter start and end",IF(AND(OR(E171="Partial Vacation",E171="Partial Sick Leave"),OR(NOT(ISNUMBER(H171)),NOT(ISNUMBER(I171)))),"Enter leave from and to",IF(AND(ISNUMBER(F171),ISNUMBER(G171),G171&lt;=F171),"End is before start",IF(AND(ISNUMBER(H171),ISNUMBER(I171),I171&lt;=H171),"Leave end is before start",IF(AND(ISNUMBER(F171),ISNUMBER(G171),ISNUMBER(H171),ISNUMBER(I171),F171&lt;I171,H171&lt;G171),"Work and leave hours overlap",IF(AND(E171&lt;&gt;"",WEEKDAY(A171)=7),"Saturday - administrator only","")))))))</f>
        <v/>
      </c>
      <c r="T171" s="36" t="n">
        <f aca="false">MONTH(A171)</f>
        <v>6</v>
      </c>
      <c r="U171" s="37" t="b">
        <f aca="false">OR(C171="Workday",C171="Eve")</f>
        <v>1</v>
      </c>
      <c r="V171" s="34" t="n">
        <f aca="false">IF(C171="Eve",Settings!$B$8,Settings!$B$7)</f>
        <v>0.6875</v>
      </c>
      <c r="W171" s="14" t="n">
        <f aca="false">IF(U171,(V171-Settings!$B$6)*24,0)</f>
        <v>8.5</v>
      </c>
    </row>
    <row r="172" customFormat="false" ht="15" hidden="false" customHeight="false" outlineLevel="0" collapsed="false">
      <c r="A172" s="29" t="n">
        <v>46188</v>
      </c>
      <c r="B172" s="30" t="str">
        <f aca="false">CHOOSE(WEEKDAY(A172),"Sun","Mon","Tue","Wed","Thu","Fri","Sat")</f>
        <v>Mon</v>
      </c>
      <c r="C172" s="30" t="str">
        <f aca="false">IF(IFERROR(INDEX(Holidays!$D$5:$D$60,MATCH(A172,Holidays!$A$5:$A$60,0)),"")="Holiday","Holiday",IF(WEEKDAY(A172)&gt;=6,"Weekend",IF(IFERROR(INDEX(Holidays!$D$5:$D$60,MATCH(A172,Holidays!$A$5:$A$60,0)),"")="Eve","Eve","Workday")))</f>
        <v>Workday</v>
      </c>
      <c r="D172" s="18" t="str">
        <f aca="false">IFERROR(INDEX(Holidays!$C$5:$C$60,MATCH(A172,Holidays!$A$5:$A$60,0)),"")</f>
        <v/>
      </c>
      <c r="E172" s="31"/>
      <c r="F172" s="32"/>
      <c r="G172" s="32"/>
      <c r="H172" s="32"/>
      <c r="I172" s="32"/>
      <c r="J172" s="31"/>
      <c r="K172" s="33" t="str">
        <f aca="false">IF(E172&lt;&gt;"",E172,IF(U172,"Present",IF(C172="Holiday","Holiday","Weekend")))</f>
        <v>Present</v>
      </c>
      <c r="L172" s="34" t="n">
        <f aca="false">IF(OR(K172="Present",K172="Manual Work",K172="Partial Vacation",K172="Partial Sick Leave"),IF(ISNUMBER(F172),F172,IF(AND(K172="Present",U172),Settings!$B$6,"")),"")</f>
        <v>0.333333333333333</v>
      </c>
      <c r="M172" s="34" t="n">
        <f aca="false">IF(OR(K172="Present",K172="Manual Work",K172="Partial Vacation",K172="Partial Sick Leave"),IF(ISNUMBER(G172),G172,IF(AND(K172="Present",U172),V172,"")),"")</f>
        <v>0.6875</v>
      </c>
      <c r="N172" s="14" t="n">
        <f aca="false">IF(AND(ISNUMBER(L172),ISNUMBER(M172)),MAX(0,(M172-L172)*24),0)</f>
        <v>8.5</v>
      </c>
      <c r="O172" s="14" t="n">
        <f aca="false">IF(NOT(U172),0,IF(K172="Vacation",IF(C172="Eve",Settings!$B$9*Settings!$B$11,W172),IF(K172="Partial Vacation",IF(AND(ISNUMBER(H172),ISNUMBER(I172)),MAX(0,(I172-H172)*24),0),0)))</f>
        <v>0</v>
      </c>
      <c r="P172" s="14" t="n">
        <f aca="false">IF(NOT(U172),0,IF(K172="Sick Leave",W172,IF(K172="Partial Sick Leave",IF(AND(ISNUMBER(H172),ISNUMBER(I172)),MAX(0,(I172-H172)*24),0),0)))</f>
        <v>0</v>
      </c>
      <c r="Q172" s="14" t="n">
        <f aca="false">IF(NOT(U172),0,IF(K172="Vacation",IF(C172="Eve",Settings!$B$11,1),IF(K172="Partial Vacation",O172/Settings!$B$9,0)))</f>
        <v>0</v>
      </c>
      <c r="R172" s="14" t="n">
        <f aca="false">IF(NOT(U172),0,IF(K172="Sick Leave",1,IF(K172="Partial Sick Leave",P172/Settings!$B$9,0)))</f>
        <v>0</v>
      </c>
      <c r="S172" s="35" t="str">
        <f aca="false">IF(AND(OR(E172="Vacation",E172="Sick Leave",E172="Partial Vacation",E172="Partial Sick Leave"),NOT(U172)),"Leave not allowed on this day",IF(AND(E172="Manual Work",OR(NOT(ISNUMBER(F172)),NOT(ISNUMBER(G172)))),"Enter start and end",IF(AND(OR(E172="Partial Vacation",E172="Partial Sick Leave"),OR(NOT(ISNUMBER(H172)),NOT(ISNUMBER(I172)))),"Enter leave from and to",IF(AND(ISNUMBER(F172),ISNUMBER(G172),G172&lt;=F172),"End is before start",IF(AND(ISNUMBER(H172),ISNUMBER(I172),I172&lt;=H172),"Leave end is before start",IF(AND(ISNUMBER(F172),ISNUMBER(G172),ISNUMBER(H172),ISNUMBER(I172),F172&lt;I172,H172&lt;G172),"Work and leave hours overlap",IF(AND(E172&lt;&gt;"",WEEKDAY(A172)=7),"Saturday - administrator only","")))))))</f>
        <v/>
      </c>
      <c r="T172" s="36" t="n">
        <f aca="false">MONTH(A172)</f>
        <v>6</v>
      </c>
      <c r="U172" s="37" t="b">
        <f aca="false">OR(C172="Workday",C172="Eve")</f>
        <v>1</v>
      </c>
      <c r="V172" s="34" t="n">
        <f aca="false">IF(C172="Eve",Settings!$B$8,Settings!$B$7)</f>
        <v>0.6875</v>
      </c>
      <c r="W172" s="14" t="n">
        <f aca="false">IF(U172,(V172-Settings!$B$6)*24,0)</f>
        <v>8.5</v>
      </c>
    </row>
    <row r="173" customFormat="false" ht="15" hidden="false" customHeight="false" outlineLevel="0" collapsed="false">
      <c r="A173" s="29" t="n">
        <v>46189</v>
      </c>
      <c r="B173" s="30" t="str">
        <f aca="false">CHOOSE(WEEKDAY(A173),"Sun","Mon","Tue","Wed","Thu","Fri","Sat")</f>
        <v>Tue</v>
      </c>
      <c r="C173" s="30" t="str">
        <f aca="false">IF(IFERROR(INDEX(Holidays!$D$5:$D$60,MATCH(A173,Holidays!$A$5:$A$60,0)),"")="Holiday","Holiday",IF(WEEKDAY(A173)&gt;=6,"Weekend",IF(IFERROR(INDEX(Holidays!$D$5:$D$60,MATCH(A173,Holidays!$A$5:$A$60,0)),"")="Eve","Eve","Workday")))</f>
        <v>Workday</v>
      </c>
      <c r="D173" s="18" t="str">
        <f aca="false">IFERROR(INDEX(Holidays!$C$5:$C$60,MATCH(A173,Holidays!$A$5:$A$60,0)),"")</f>
        <v/>
      </c>
      <c r="E173" s="31"/>
      <c r="F173" s="32"/>
      <c r="G173" s="32"/>
      <c r="H173" s="32"/>
      <c r="I173" s="32"/>
      <c r="J173" s="31"/>
      <c r="K173" s="33" t="str">
        <f aca="false">IF(E173&lt;&gt;"",E173,IF(U173,"Present",IF(C173="Holiday","Holiday","Weekend")))</f>
        <v>Present</v>
      </c>
      <c r="L173" s="34" t="n">
        <f aca="false">IF(OR(K173="Present",K173="Manual Work",K173="Partial Vacation",K173="Partial Sick Leave"),IF(ISNUMBER(F173),F173,IF(AND(K173="Present",U173),Settings!$B$6,"")),"")</f>
        <v>0.333333333333333</v>
      </c>
      <c r="M173" s="34" t="n">
        <f aca="false">IF(OR(K173="Present",K173="Manual Work",K173="Partial Vacation",K173="Partial Sick Leave"),IF(ISNUMBER(G173),G173,IF(AND(K173="Present",U173),V173,"")),"")</f>
        <v>0.6875</v>
      </c>
      <c r="N173" s="14" t="n">
        <f aca="false">IF(AND(ISNUMBER(L173),ISNUMBER(M173)),MAX(0,(M173-L173)*24),0)</f>
        <v>8.5</v>
      </c>
      <c r="O173" s="14" t="n">
        <f aca="false">IF(NOT(U173),0,IF(K173="Vacation",IF(C173="Eve",Settings!$B$9*Settings!$B$11,W173),IF(K173="Partial Vacation",IF(AND(ISNUMBER(H173),ISNUMBER(I173)),MAX(0,(I173-H173)*24),0),0)))</f>
        <v>0</v>
      </c>
      <c r="P173" s="14" t="n">
        <f aca="false">IF(NOT(U173),0,IF(K173="Sick Leave",W173,IF(K173="Partial Sick Leave",IF(AND(ISNUMBER(H173),ISNUMBER(I173)),MAX(0,(I173-H173)*24),0),0)))</f>
        <v>0</v>
      </c>
      <c r="Q173" s="14" t="n">
        <f aca="false">IF(NOT(U173),0,IF(K173="Vacation",IF(C173="Eve",Settings!$B$11,1),IF(K173="Partial Vacation",O173/Settings!$B$9,0)))</f>
        <v>0</v>
      </c>
      <c r="R173" s="14" t="n">
        <f aca="false">IF(NOT(U173),0,IF(K173="Sick Leave",1,IF(K173="Partial Sick Leave",P173/Settings!$B$9,0)))</f>
        <v>0</v>
      </c>
      <c r="S173" s="35" t="str">
        <f aca="false">IF(AND(OR(E173="Vacation",E173="Sick Leave",E173="Partial Vacation",E173="Partial Sick Leave"),NOT(U173)),"Leave not allowed on this day",IF(AND(E173="Manual Work",OR(NOT(ISNUMBER(F173)),NOT(ISNUMBER(G173)))),"Enter start and end",IF(AND(OR(E173="Partial Vacation",E173="Partial Sick Leave"),OR(NOT(ISNUMBER(H173)),NOT(ISNUMBER(I173)))),"Enter leave from and to",IF(AND(ISNUMBER(F173),ISNUMBER(G173),G173&lt;=F173),"End is before start",IF(AND(ISNUMBER(H173),ISNUMBER(I173),I173&lt;=H173),"Leave end is before start",IF(AND(ISNUMBER(F173),ISNUMBER(G173),ISNUMBER(H173),ISNUMBER(I173),F173&lt;I173,H173&lt;G173),"Work and leave hours overlap",IF(AND(E173&lt;&gt;"",WEEKDAY(A173)=7),"Saturday - administrator only","")))))))</f>
        <v/>
      </c>
      <c r="T173" s="36" t="n">
        <f aca="false">MONTH(A173)</f>
        <v>6</v>
      </c>
      <c r="U173" s="37" t="b">
        <f aca="false">OR(C173="Workday",C173="Eve")</f>
        <v>1</v>
      </c>
      <c r="V173" s="34" t="n">
        <f aca="false">IF(C173="Eve",Settings!$B$8,Settings!$B$7)</f>
        <v>0.6875</v>
      </c>
      <c r="W173" s="14" t="n">
        <f aca="false">IF(U173,(V173-Settings!$B$6)*24,0)</f>
        <v>8.5</v>
      </c>
    </row>
    <row r="174" customFormat="false" ht="15" hidden="false" customHeight="false" outlineLevel="0" collapsed="false">
      <c r="A174" s="29" t="n">
        <v>46190</v>
      </c>
      <c r="B174" s="30" t="str">
        <f aca="false">CHOOSE(WEEKDAY(A174),"Sun","Mon","Tue","Wed","Thu","Fri","Sat")</f>
        <v>Wed</v>
      </c>
      <c r="C174" s="30" t="str">
        <f aca="false">IF(IFERROR(INDEX(Holidays!$D$5:$D$60,MATCH(A174,Holidays!$A$5:$A$60,0)),"")="Holiday","Holiday",IF(WEEKDAY(A174)&gt;=6,"Weekend",IF(IFERROR(INDEX(Holidays!$D$5:$D$60,MATCH(A174,Holidays!$A$5:$A$60,0)),"")="Eve","Eve","Workday")))</f>
        <v>Workday</v>
      </c>
      <c r="D174" s="18" t="str">
        <f aca="false">IFERROR(INDEX(Holidays!$C$5:$C$60,MATCH(A174,Holidays!$A$5:$A$60,0)),"")</f>
        <v/>
      </c>
      <c r="E174" s="31"/>
      <c r="F174" s="32"/>
      <c r="G174" s="32"/>
      <c r="H174" s="32"/>
      <c r="I174" s="32"/>
      <c r="J174" s="31"/>
      <c r="K174" s="33" t="str">
        <f aca="false">IF(E174&lt;&gt;"",E174,IF(U174,"Present",IF(C174="Holiday","Holiday","Weekend")))</f>
        <v>Present</v>
      </c>
      <c r="L174" s="34" t="n">
        <f aca="false">IF(OR(K174="Present",K174="Manual Work",K174="Partial Vacation",K174="Partial Sick Leave"),IF(ISNUMBER(F174),F174,IF(AND(K174="Present",U174),Settings!$B$6,"")),"")</f>
        <v>0.333333333333333</v>
      </c>
      <c r="M174" s="34" t="n">
        <f aca="false">IF(OR(K174="Present",K174="Manual Work",K174="Partial Vacation",K174="Partial Sick Leave"),IF(ISNUMBER(G174),G174,IF(AND(K174="Present",U174),V174,"")),"")</f>
        <v>0.6875</v>
      </c>
      <c r="N174" s="14" t="n">
        <f aca="false">IF(AND(ISNUMBER(L174),ISNUMBER(M174)),MAX(0,(M174-L174)*24),0)</f>
        <v>8.5</v>
      </c>
      <c r="O174" s="14" t="n">
        <f aca="false">IF(NOT(U174),0,IF(K174="Vacation",IF(C174="Eve",Settings!$B$9*Settings!$B$11,W174),IF(K174="Partial Vacation",IF(AND(ISNUMBER(H174),ISNUMBER(I174)),MAX(0,(I174-H174)*24),0),0)))</f>
        <v>0</v>
      </c>
      <c r="P174" s="14" t="n">
        <f aca="false">IF(NOT(U174),0,IF(K174="Sick Leave",W174,IF(K174="Partial Sick Leave",IF(AND(ISNUMBER(H174),ISNUMBER(I174)),MAX(0,(I174-H174)*24),0),0)))</f>
        <v>0</v>
      </c>
      <c r="Q174" s="14" t="n">
        <f aca="false">IF(NOT(U174),0,IF(K174="Vacation",IF(C174="Eve",Settings!$B$11,1),IF(K174="Partial Vacation",O174/Settings!$B$9,0)))</f>
        <v>0</v>
      </c>
      <c r="R174" s="14" t="n">
        <f aca="false">IF(NOT(U174),0,IF(K174="Sick Leave",1,IF(K174="Partial Sick Leave",P174/Settings!$B$9,0)))</f>
        <v>0</v>
      </c>
      <c r="S174" s="35" t="str">
        <f aca="false">IF(AND(OR(E174="Vacation",E174="Sick Leave",E174="Partial Vacation",E174="Partial Sick Leave"),NOT(U174)),"Leave not allowed on this day",IF(AND(E174="Manual Work",OR(NOT(ISNUMBER(F174)),NOT(ISNUMBER(G174)))),"Enter start and end",IF(AND(OR(E174="Partial Vacation",E174="Partial Sick Leave"),OR(NOT(ISNUMBER(H174)),NOT(ISNUMBER(I174)))),"Enter leave from and to",IF(AND(ISNUMBER(F174),ISNUMBER(G174),G174&lt;=F174),"End is before start",IF(AND(ISNUMBER(H174),ISNUMBER(I174),I174&lt;=H174),"Leave end is before start",IF(AND(ISNUMBER(F174),ISNUMBER(G174),ISNUMBER(H174),ISNUMBER(I174),F174&lt;I174,H174&lt;G174),"Work and leave hours overlap",IF(AND(E174&lt;&gt;"",WEEKDAY(A174)=7),"Saturday - administrator only","")))))))</f>
        <v/>
      </c>
      <c r="T174" s="36" t="n">
        <f aca="false">MONTH(A174)</f>
        <v>6</v>
      </c>
      <c r="U174" s="37" t="b">
        <f aca="false">OR(C174="Workday",C174="Eve")</f>
        <v>1</v>
      </c>
      <c r="V174" s="34" t="n">
        <f aca="false">IF(C174="Eve",Settings!$B$8,Settings!$B$7)</f>
        <v>0.6875</v>
      </c>
      <c r="W174" s="14" t="n">
        <f aca="false">IF(U174,(V174-Settings!$B$6)*24,0)</f>
        <v>8.5</v>
      </c>
    </row>
    <row r="175" customFormat="false" ht="15" hidden="false" customHeight="false" outlineLevel="0" collapsed="false">
      <c r="A175" s="29" t="n">
        <v>46191</v>
      </c>
      <c r="B175" s="30" t="str">
        <f aca="false">CHOOSE(WEEKDAY(A175),"Sun","Mon","Tue","Wed","Thu","Fri","Sat")</f>
        <v>Thu</v>
      </c>
      <c r="C175" s="30" t="str">
        <f aca="false">IF(IFERROR(INDEX(Holidays!$D$5:$D$60,MATCH(A175,Holidays!$A$5:$A$60,0)),"")="Holiday","Holiday",IF(WEEKDAY(A175)&gt;=6,"Weekend",IF(IFERROR(INDEX(Holidays!$D$5:$D$60,MATCH(A175,Holidays!$A$5:$A$60,0)),"")="Eve","Eve","Workday")))</f>
        <v>Workday</v>
      </c>
      <c r="D175" s="18" t="str">
        <f aca="false">IFERROR(INDEX(Holidays!$C$5:$C$60,MATCH(A175,Holidays!$A$5:$A$60,0)),"")</f>
        <v/>
      </c>
      <c r="E175" s="31"/>
      <c r="F175" s="32"/>
      <c r="G175" s="32"/>
      <c r="H175" s="32"/>
      <c r="I175" s="32"/>
      <c r="J175" s="31"/>
      <c r="K175" s="33" t="str">
        <f aca="false">IF(E175&lt;&gt;"",E175,IF(U175,"Present",IF(C175="Holiday","Holiday","Weekend")))</f>
        <v>Present</v>
      </c>
      <c r="L175" s="34" t="n">
        <f aca="false">IF(OR(K175="Present",K175="Manual Work",K175="Partial Vacation",K175="Partial Sick Leave"),IF(ISNUMBER(F175),F175,IF(AND(K175="Present",U175),Settings!$B$6,"")),"")</f>
        <v>0.333333333333333</v>
      </c>
      <c r="M175" s="34" t="n">
        <f aca="false">IF(OR(K175="Present",K175="Manual Work",K175="Partial Vacation",K175="Partial Sick Leave"),IF(ISNUMBER(G175),G175,IF(AND(K175="Present",U175),V175,"")),"")</f>
        <v>0.6875</v>
      </c>
      <c r="N175" s="14" t="n">
        <f aca="false">IF(AND(ISNUMBER(L175),ISNUMBER(M175)),MAX(0,(M175-L175)*24),0)</f>
        <v>8.5</v>
      </c>
      <c r="O175" s="14" t="n">
        <f aca="false">IF(NOT(U175),0,IF(K175="Vacation",IF(C175="Eve",Settings!$B$9*Settings!$B$11,W175),IF(K175="Partial Vacation",IF(AND(ISNUMBER(H175),ISNUMBER(I175)),MAX(0,(I175-H175)*24),0),0)))</f>
        <v>0</v>
      </c>
      <c r="P175" s="14" t="n">
        <f aca="false">IF(NOT(U175),0,IF(K175="Sick Leave",W175,IF(K175="Partial Sick Leave",IF(AND(ISNUMBER(H175),ISNUMBER(I175)),MAX(0,(I175-H175)*24),0),0)))</f>
        <v>0</v>
      </c>
      <c r="Q175" s="14" t="n">
        <f aca="false">IF(NOT(U175),0,IF(K175="Vacation",IF(C175="Eve",Settings!$B$11,1),IF(K175="Partial Vacation",O175/Settings!$B$9,0)))</f>
        <v>0</v>
      </c>
      <c r="R175" s="14" t="n">
        <f aca="false">IF(NOT(U175),0,IF(K175="Sick Leave",1,IF(K175="Partial Sick Leave",P175/Settings!$B$9,0)))</f>
        <v>0</v>
      </c>
      <c r="S175" s="35" t="str">
        <f aca="false">IF(AND(OR(E175="Vacation",E175="Sick Leave",E175="Partial Vacation",E175="Partial Sick Leave"),NOT(U175)),"Leave not allowed on this day",IF(AND(E175="Manual Work",OR(NOT(ISNUMBER(F175)),NOT(ISNUMBER(G175)))),"Enter start and end",IF(AND(OR(E175="Partial Vacation",E175="Partial Sick Leave"),OR(NOT(ISNUMBER(H175)),NOT(ISNUMBER(I175)))),"Enter leave from and to",IF(AND(ISNUMBER(F175),ISNUMBER(G175),G175&lt;=F175),"End is before start",IF(AND(ISNUMBER(H175),ISNUMBER(I175),I175&lt;=H175),"Leave end is before start",IF(AND(ISNUMBER(F175),ISNUMBER(G175),ISNUMBER(H175),ISNUMBER(I175),F175&lt;I175,H175&lt;G175),"Work and leave hours overlap",IF(AND(E175&lt;&gt;"",WEEKDAY(A175)=7),"Saturday - administrator only","")))))))</f>
        <v/>
      </c>
      <c r="T175" s="36" t="n">
        <f aca="false">MONTH(A175)</f>
        <v>6</v>
      </c>
      <c r="U175" s="37" t="b">
        <f aca="false">OR(C175="Workday",C175="Eve")</f>
        <v>1</v>
      </c>
      <c r="V175" s="34" t="n">
        <f aca="false">IF(C175="Eve",Settings!$B$8,Settings!$B$7)</f>
        <v>0.6875</v>
      </c>
      <c r="W175" s="14" t="n">
        <f aca="false">IF(U175,(V175-Settings!$B$6)*24,0)</f>
        <v>8.5</v>
      </c>
    </row>
    <row r="176" customFormat="false" ht="15" hidden="false" customHeight="false" outlineLevel="0" collapsed="false">
      <c r="A176" s="29" t="n">
        <v>46192</v>
      </c>
      <c r="B176" s="30" t="str">
        <f aca="false">CHOOSE(WEEKDAY(A176),"Sun","Mon","Tue","Wed","Thu","Fri","Sat")</f>
        <v>Fri</v>
      </c>
      <c r="C176" s="30" t="str">
        <f aca="false">IF(IFERROR(INDEX(Holidays!$D$5:$D$60,MATCH(A176,Holidays!$A$5:$A$60,0)),"")="Holiday","Holiday",IF(WEEKDAY(A176)&gt;=6,"Weekend",IF(IFERROR(INDEX(Holidays!$D$5:$D$60,MATCH(A176,Holidays!$A$5:$A$60,0)),"")="Eve","Eve","Workday")))</f>
        <v>Weekend</v>
      </c>
      <c r="D176" s="18" t="str">
        <f aca="false">IFERROR(INDEX(Holidays!$C$5:$C$60,MATCH(A176,Holidays!$A$5:$A$60,0)),"")</f>
        <v/>
      </c>
      <c r="E176" s="31"/>
      <c r="F176" s="32"/>
      <c r="G176" s="32"/>
      <c r="H176" s="32"/>
      <c r="I176" s="32"/>
      <c r="J176" s="31"/>
      <c r="K176" s="33" t="str">
        <f aca="false">IF(E176&lt;&gt;"",E176,IF(U176,"Present",IF(C176="Holiday","Holiday","Weekend")))</f>
        <v>Weekend</v>
      </c>
      <c r="L176" s="34" t="str">
        <f aca="false">IF(OR(K176="Present",K176="Manual Work",K176="Partial Vacation",K176="Partial Sick Leave"),IF(ISNUMBER(F176),F176,IF(AND(K176="Present",U176),Settings!$B$6,"")),"")</f>
        <v/>
      </c>
      <c r="M176" s="34" t="str">
        <f aca="false">IF(OR(K176="Present",K176="Manual Work",K176="Partial Vacation",K176="Partial Sick Leave"),IF(ISNUMBER(G176),G176,IF(AND(K176="Present",U176),V176,"")),"")</f>
        <v/>
      </c>
      <c r="N176" s="14" t="n">
        <f aca="false">IF(AND(ISNUMBER(L176),ISNUMBER(M176)),MAX(0,(M176-L176)*24),0)</f>
        <v>0</v>
      </c>
      <c r="O176" s="14" t="n">
        <f aca="false">IF(NOT(U176),0,IF(K176="Vacation",IF(C176="Eve",Settings!$B$9*Settings!$B$11,W176),IF(K176="Partial Vacation",IF(AND(ISNUMBER(H176),ISNUMBER(I176)),MAX(0,(I176-H176)*24),0),0)))</f>
        <v>0</v>
      </c>
      <c r="P176" s="14" t="n">
        <f aca="false">IF(NOT(U176),0,IF(K176="Sick Leave",W176,IF(K176="Partial Sick Leave",IF(AND(ISNUMBER(H176),ISNUMBER(I176)),MAX(0,(I176-H176)*24),0),0)))</f>
        <v>0</v>
      </c>
      <c r="Q176" s="14" t="n">
        <f aca="false">IF(NOT(U176),0,IF(K176="Vacation",IF(C176="Eve",Settings!$B$11,1),IF(K176="Partial Vacation",O176/Settings!$B$9,0)))</f>
        <v>0</v>
      </c>
      <c r="R176" s="14" t="n">
        <f aca="false">IF(NOT(U176),0,IF(K176="Sick Leave",1,IF(K176="Partial Sick Leave",P176/Settings!$B$9,0)))</f>
        <v>0</v>
      </c>
      <c r="S176" s="35" t="str">
        <f aca="false">IF(AND(OR(E176="Vacation",E176="Sick Leave",E176="Partial Vacation",E176="Partial Sick Leave"),NOT(U176)),"Leave not allowed on this day",IF(AND(E176="Manual Work",OR(NOT(ISNUMBER(F176)),NOT(ISNUMBER(G176)))),"Enter start and end",IF(AND(OR(E176="Partial Vacation",E176="Partial Sick Leave"),OR(NOT(ISNUMBER(H176)),NOT(ISNUMBER(I176)))),"Enter leave from and to",IF(AND(ISNUMBER(F176),ISNUMBER(G176),G176&lt;=F176),"End is before start",IF(AND(ISNUMBER(H176),ISNUMBER(I176),I176&lt;=H176),"Leave end is before start",IF(AND(ISNUMBER(F176),ISNUMBER(G176),ISNUMBER(H176),ISNUMBER(I176),F176&lt;I176,H176&lt;G176),"Work and leave hours overlap",IF(AND(E176&lt;&gt;"",WEEKDAY(A176)=7),"Saturday - administrator only","")))))))</f>
        <v/>
      </c>
      <c r="T176" s="36" t="n">
        <f aca="false">MONTH(A176)</f>
        <v>6</v>
      </c>
      <c r="U176" s="37" t="b">
        <f aca="false">OR(C176="Workday",C176="Eve")</f>
        <v>0</v>
      </c>
      <c r="V176" s="34" t="n">
        <f aca="false">IF(C176="Eve",Settings!$B$8,Settings!$B$7)</f>
        <v>0.6875</v>
      </c>
      <c r="W176" s="14" t="n">
        <f aca="false">IF(U176,(V176-Settings!$B$6)*24,0)</f>
        <v>0</v>
      </c>
    </row>
    <row r="177" customFormat="false" ht="15" hidden="false" customHeight="false" outlineLevel="0" collapsed="false">
      <c r="A177" s="29" t="n">
        <v>46193</v>
      </c>
      <c r="B177" s="30" t="str">
        <f aca="false">CHOOSE(WEEKDAY(A177),"Sun","Mon","Tue","Wed","Thu","Fri","Sat")</f>
        <v>Sat</v>
      </c>
      <c r="C177" s="30" t="str">
        <f aca="false">IF(IFERROR(INDEX(Holidays!$D$5:$D$60,MATCH(A177,Holidays!$A$5:$A$60,0)),"")="Holiday","Holiday",IF(WEEKDAY(A177)&gt;=6,"Weekend",IF(IFERROR(INDEX(Holidays!$D$5:$D$60,MATCH(A177,Holidays!$A$5:$A$60,0)),"")="Eve","Eve","Workday")))</f>
        <v>Weekend</v>
      </c>
      <c r="D177" s="18" t="str">
        <f aca="false">IFERROR(INDEX(Holidays!$C$5:$C$60,MATCH(A177,Holidays!$A$5:$A$60,0)),"")</f>
        <v/>
      </c>
      <c r="E177" s="31"/>
      <c r="F177" s="32"/>
      <c r="G177" s="32"/>
      <c r="H177" s="32"/>
      <c r="I177" s="32"/>
      <c r="J177" s="31"/>
      <c r="K177" s="33" t="str">
        <f aca="false">IF(E177&lt;&gt;"",E177,IF(U177,"Present",IF(C177="Holiday","Holiday","Weekend")))</f>
        <v>Weekend</v>
      </c>
      <c r="L177" s="34" t="str">
        <f aca="false">IF(OR(K177="Present",K177="Manual Work",K177="Partial Vacation",K177="Partial Sick Leave"),IF(ISNUMBER(F177),F177,IF(AND(K177="Present",U177),Settings!$B$6,"")),"")</f>
        <v/>
      </c>
      <c r="M177" s="34" t="str">
        <f aca="false">IF(OR(K177="Present",K177="Manual Work",K177="Partial Vacation",K177="Partial Sick Leave"),IF(ISNUMBER(G177),G177,IF(AND(K177="Present",U177),V177,"")),"")</f>
        <v/>
      </c>
      <c r="N177" s="14" t="n">
        <f aca="false">IF(AND(ISNUMBER(L177),ISNUMBER(M177)),MAX(0,(M177-L177)*24),0)</f>
        <v>0</v>
      </c>
      <c r="O177" s="14" t="n">
        <f aca="false">IF(NOT(U177),0,IF(K177="Vacation",IF(C177="Eve",Settings!$B$9*Settings!$B$11,W177),IF(K177="Partial Vacation",IF(AND(ISNUMBER(H177),ISNUMBER(I177)),MAX(0,(I177-H177)*24),0),0)))</f>
        <v>0</v>
      </c>
      <c r="P177" s="14" t="n">
        <f aca="false">IF(NOT(U177),0,IF(K177="Sick Leave",W177,IF(K177="Partial Sick Leave",IF(AND(ISNUMBER(H177),ISNUMBER(I177)),MAX(0,(I177-H177)*24),0),0)))</f>
        <v>0</v>
      </c>
      <c r="Q177" s="14" t="n">
        <f aca="false">IF(NOT(U177),0,IF(K177="Vacation",IF(C177="Eve",Settings!$B$11,1),IF(K177="Partial Vacation",O177/Settings!$B$9,0)))</f>
        <v>0</v>
      </c>
      <c r="R177" s="14" t="n">
        <f aca="false">IF(NOT(U177),0,IF(K177="Sick Leave",1,IF(K177="Partial Sick Leave",P177/Settings!$B$9,0)))</f>
        <v>0</v>
      </c>
      <c r="S177" s="35" t="str">
        <f aca="false">IF(AND(OR(E177="Vacation",E177="Sick Leave",E177="Partial Vacation",E177="Partial Sick Leave"),NOT(U177)),"Leave not allowed on this day",IF(AND(E177="Manual Work",OR(NOT(ISNUMBER(F177)),NOT(ISNUMBER(G177)))),"Enter start and end",IF(AND(OR(E177="Partial Vacation",E177="Partial Sick Leave"),OR(NOT(ISNUMBER(H177)),NOT(ISNUMBER(I177)))),"Enter leave from and to",IF(AND(ISNUMBER(F177),ISNUMBER(G177),G177&lt;=F177),"End is before start",IF(AND(ISNUMBER(H177),ISNUMBER(I177),I177&lt;=H177),"Leave end is before start",IF(AND(ISNUMBER(F177),ISNUMBER(G177),ISNUMBER(H177),ISNUMBER(I177),F177&lt;I177,H177&lt;G177),"Work and leave hours overlap",IF(AND(E177&lt;&gt;"",WEEKDAY(A177)=7),"Saturday - administrator only","")))))))</f>
        <v/>
      </c>
      <c r="T177" s="36" t="n">
        <f aca="false">MONTH(A177)</f>
        <v>6</v>
      </c>
      <c r="U177" s="37" t="b">
        <f aca="false">OR(C177="Workday",C177="Eve")</f>
        <v>0</v>
      </c>
      <c r="V177" s="34" t="n">
        <f aca="false">IF(C177="Eve",Settings!$B$8,Settings!$B$7)</f>
        <v>0.6875</v>
      </c>
      <c r="W177" s="14" t="n">
        <f aca="false">IF(U177,(V177-Settings!$B$6)*24,0)</f>
        <v>0</v>
      </c>
    </row>
    <row r="178" customFormat="false" ht="15" hidden="false" customHeight="false" outlineLevel="0" collapsed="false">
      <c r="A178" s="29" t="n">
        <v>46194</v>
      </c>
      <c r="B178" s="30" t="str">
        <f aca="false">CHOOSE(WEEKDAY(A178),"Sun","Mon","Tue","Wed","Thu","Fri","Sat")</f>
        <v>Sun</v>
      </c>
      <c r="C178" s="30" t="str">
        <f aca="false">IF(IFERROR(INDEX(Holidays!$D$5:$D$60,MATCH(A178,Holidays!$A$5:$A$60,0)),"")="Holiday","Holiday",IF(WEEKDAY(A178)&gt;=6,"Weekend",IF(IFERROR(INDEX(Holidays!$D$5:$D$60,MATCH(A178,Holidays!$A$5:$A$60,0)),"")="Eve","Eve","Workday")))</f>
        <v>Workday</v>
      </c>
      <c r="D178" s="18" t="str">
        <f aca="false">IFERROR(INDEX(Holidays!$C$5:$C$60,MATCH(A178,Holidays!$A$5:$A$60,0)),"")</f>
        <v/>
      </c>
      <c r="E178" s="31"/>
      <c r="F178" s="32"/>
      <c r="G178" s="32"/>
      <c r="H178" s="32"/>
      <c r="I178" s="32"/>
      <c r="J178" s="31"/>
      <c r="K178" s="33" t="str">
        <f aca="false">IF(E178&lt;&gt;"",E178,IF(U178,"Present",IF(C178="Holiday","Holiday","Weekend")))</f>
        <v>Present</v>
      </c>
      <c r="L178" s="34" t="n">
        <f aca="false">IF(OR(K178="Present",K178="Manual Work",K178="Partial Vacation",K178="Partial Sick Leave"),IF(ISNUMBER(F178),F178,IF(AND(K178="Present",U178),Settings!$B$6,"")),"")</f>
        <v>0.333333333333333</v>
      </c>
      <c r="M178" s="34" t="n">
        <f aca="false">IF(OR(K178="Present",K178="Manual Work",K178="Partial Vacation",K178="Partial Sick Leave"),IF(ISNUMBER(G178),G178,IF(AND(K178="Present",U178),V178,"")),"")</f>
        <v>0.6875</v>
      </c>
      <c r="N178" s="14" t="n">
        <f aca="false">IF(AND(ISNUMBER(L178),ISNUMBER(M178)),MAX(0,(M178-L178)*24),0)</f>
        <v>8.5</v>
      </c>
      <c r="O178" s="14" t="n">
        <f aca="false">IF(NOT(U178),0,IF(K178="Vacation",IF(C178="Eve",Settings!$B$9*Settings!$B$11,W178),IF(K178="Partial Vacation",IF(AND(ISNUMBER(H178),ISNUMBER(I178)),MAX(0,(I178-H178)*24),0),0)))</f>
        <v>0</v>
      </c>
      <c r="P178" s="14" t="n">
        <f aca="false">IF(NOT(U178),0,IF(K178="Sick Leave",W178,IF(K178="Partial Sick Leave",IF(AND(ISNUMBER(H178),ISNUMBER(I178)),MAX(0,(I178-H178)*24),0),0)))</f>
        <v>0</v>
      </c>
      <c r="Q178" s="14" t="n">
        <f aca="false">IF(NOT(U178),0,IF(K178="Vacation",IF(C178="Eve",Settings!$B$11,1),IF(K178="Partial Vacation",O178/Settings!$B$9,0)))</f>
        <v>0</v>
      </c>
      <c r="R178" s="14" t="n">
        <f aca="false">IF(NOT(U178),0,IF(K178="Sick Leave",1,IF(K178="Partial Sick Leave",P178/Settings!$B$9,0)))</f>
        <v>0</v>
      </c>
      <c r="S178" s="35" t="str">
        <f aca="false">IF(AND(OR(E178="Vacation",E178="Sick Leave",E178="Partial Vacation",E178="Partial Sick Leave"),NOT(U178)),"Leave not allowed on this day",IF(AND(E178="Manual Work",OR(NOT(ISNUMBER(F178)),NOT(ISNUMBER(G178)))),"Enter start and end",IF(AND(OR(E178="Partial Vacation",E178="Partial Sick Leave"),OR(NOT(ISNUMBER(H178)),NOT(ISNUMBER(I178)))),"Enter leave from and to",IF(AND(ISNUMBER(F178),ISNUMBER(G178),G178&lt;=F178),"End is before start",IF(AND(ISNUMBER(H178),ISNUMBER(I178),I178&lt;=H178),"Leave end is before start",IF(AND(ISNUMBER(F178),ISNUMBER(G178),ISNUMBER(H178),ISNUMBER(I178),F178&lt;I178,H178&lt;G178),"Work and leave hours overlap",IF(AND(E178&lt;&gt;"",WEEKDAY(A178)=7),"Saturday - administrator only","")))))))</f>
        <v/>
      </c>
      <c r="T178" s="36" t="n">
        <f aca="false">MONTH(A178)</f>
        <v>6</v>
      </c>
      <c r="U178" s="37" t="b">
        <f aca="false">OR(C178="Workday",C178="Eve")</f>
        <v>1</v>
      </c>
      <c r="V178" s="34" t="n">
        <f aca="false">IF(C178="Eve",Settings!$B$8,Settings!$B$7)</f>
        <v>0.6875</v>
      </c>
      <c r="W178" s="14" t="n">
        <f aca="false">IF(U178,(V178-Settings!$B$6)*24,0)</f>
        <v>8.5</v>
      </c>
    </row>
    <row r="179" customFormat="false" ht="15" hidden="false" customHeight="false" outlineLevel="0" collapsed="false">
      <c r="A179" s="29" t="n">
        <v>46195</v>
      </c>
      <c r="B179" s="30" t="str">
        <f aca="false">CHOOSE(WEEKDAY(A179),"Sun","Mon","Tue","Wed","Thu","Fri","Sat")</f>
        <v>Mon</v>
      </c>
      <c r="C179" s="30" t="str">
        <f aca="false">IF(IFERROR(INDEX(Holidays!$D$5:$D$60,MATCH(A179,Holidays!$A$5:$A$60,0)),"")="Holiday","Holiday",IF(WEEKDAY(A179)&gt;=6,"Weekend",IF(IFERROR(INDEX(Holidays!$D$5:$D$60,MATCH(A179,Holidays!$A$5:$A$60,0)),"")="Eve","Eve","Workday")))</f>
        <v>Workday</v>
      </c>
      <c r="D179" s="18" t="str">
        <f aca="false">IFERROR(INDEX(Holidays!$C$5:$C$60,MATCH(A179,Holidays!$A$5:$A$60,0)),"")</f>
        <v/>
      </c>
      <c r="E179" s="31"/>
      <c r="F179" s="32"/>
      <c r="G179" s="32"/>
      <c r="H179" s="32"/>
      <c r="I179" s="32"/>
      <c r="J179" s="31"/>
      <c r="K179" s="33" t="str">
        <f aca="false">IF(E179&lt;&gt;"",E179,IF(U179,"Present",IF(C179="Holiday","Holiday","Weekend")))</f>
        <v>Present</v>
      </c>
      <c r="L179" s="34" t="n">
        <f aca="false">IF(OR(K179="Present",K179="Manual Work",K179="Partial Vacation",K179="Partial Sick Leave"),IF(ISNUMBER(F179),F179,IF(AND(K179="Present",U179),Settings!$B$6,"")),"")</f>
        <v>0.333333333333333</v>
      </c>
      <c r="M179" s="34" t="n">
        <f aca="false">IF(OR(K179="Present",K179="Manual Work",K179="Partial Vacation",K179="Partial Sick Leave"),IF(ISNUMBER(G179),G179,IF(AND(K179="Present",U179),V179,"")),"")</f>
        <v>0.6875</v>
      </c>
      <c r="N179" s="14" t="n">
        <f aca="false">IF(AND(ISNUMBER(L179),ISNUMBER(M179)),MAX(0,(M179-L179)*24),0)</f>
        <v>8.5</v>
      </c>
      <c r="O179" s="14" t="n">
        <f aca="false">IF(NOT(U179),0,IF(K179="Vacation",IF(C179="Eve",Settings!$B$9*Settings!$B$11,W179),IF(K179="Partial Vacation",IF(AND(ISNUMBER(H179),ISNUMBER(I179)),MAX(0,(I179-H179)*24),0),0)))</f>
        <v>0</v>
      </c>
      <c r="P179" s="14" t="n">
        <f aca="false">IF(NOT(U179),0,IF(K179="Sick Leave",W179,IF(K179="Partial Sick Leave",IF(AND(ISNUMBER(H179),ISNUMBER(I179)),MAX(0,(I179-H179)*24),0),0)))</f>
        <v>0</v>
      </c>
      <c r="Q179" s="14" t="n">
        <f aca="false">IF(NOT(U179),0,IF(K179="Vacation",IF(C179="Eve",Settings!$B$11,1),IF(K179="Partial Vacation",O179/Settings!$B$9,0)))</f>
        <v>0</v>
      </c>
      <c r="R179" s="14" t="n">
        <f aca="false">IF(NOT(U179),0,IF(K179="Sick Leave",1,IF(K179="Partial Sick Leave",P179/Settings!$B$9,0)))</f>
        <v>0</v>
      </c>
      <c r="S179" s="35" t="str">
        <f aca="false">IF(AND(OR(E179="Vacation",E179="Sick Leave",E179="Partial Vacation",E179="Partial Sick Leave"),NOT(U179)),"Leave not allowed on this day",IF(AND(E179="Manual Work",OR(NOT(ISNUMBER(F179)),NOT(ISNUMBER(G179)))),"Enter start and end",IF(AND(OR(E179="Partial Vacation",E179="Partial Sick Leave"),OR(NOT(ISNUMBER(H179)),NOT(ISNUMBER(I179)))),"Enter leave from and to",IF(AND(ISNUMBER(F179),ISNUMBER(G179),G179&lt;=F179),"End is before start",IF(AND(ISNUMBER(H179),ISNUMBER(I179),I179&lt;=H179),"Leave end is before start",IF(AND(ISNUMBER(F179),ISNUMBER(G179),ISNUMBER(H179),ISNUMBER(I179),F179&lt;I179,H179&lt;G179),"Work and leave hours overlap",IF(AND(E179&lt;&gt;"",WEEKDAY(A179)=7),"Saturday - administrator only","")))))))</f>
        <v/>
      </c>
      <c r="T179" s="36" t="n">
        <f aca="false">MONTH(A179)</f>
        <v>6</v>
      </c>
      <c r="U179" s="37" t="b">
        <f aca="false">OR(C179="Workday",C179="Eve")</f>
        <v>1</v>
      </c>
      <c r="V179" s="34" t="n">
        <f aca="false">IF(C179="Eve",Settings!$B$8,Settings!$B$7)</f>
        <v>0.6875</v>
      </c>
      <c r="W179" s="14" t="n">
        <f aca="false">IF(U179,(V179-Settings!$B$6)*24,0)</f>
        <v>8.5</v>
      </c>
    </row>
    <row r="180" customFormat="false" ht="15" hidden="false" customHeight="false" outlineLevel="0" collapsed="false">
      <c r="A180" s="29" t="n">
        <v>46196</v>
      </c>
      <c r="B180" s="30" t="str">
        <f aca="false">CHOOSE(WEEKDAY(A180),"Sun","Mon","Tue","Wed","Thu","Fri","Sat")</f>
        <v>Tue</v>
      </c>
      <c r="C180" s="30" t="str">
        <f aca="false">IF(IFERROR(INDEX(Holidays!$D$5:$D$60,MATCH(A180,Holidays!$A$5:$A$60,0)),"")="Holiday","Holiday",IF(WEEKDAY(A180)&gt;=6,"Weekend",IF(IFERROR(INDEX(Holidays!$D$5:$D$60,MATCH(A180,Holidays!$A$5:$A$60,0)),"")="Eve","Eve","Workday")))</f>
        <v>Workday</v>
      </c>
      <c r="D180" s="18" t="str">
        <f aca="false">IFERROR(INDEX(Holidays!$C$5:$C$60,MATCH(A180,Holidays!$A$5:$A$60,0)),"")</f>
        <v/>
      </c>
      <c r="E180" s="31"/>
      <c r="F180" s="32"/>
      <c r="G180" s="32"/>
      <c r="H180" s="32"/>
      <c r="I180" s="32"/>
      <c r="J180" s="31"/>
      <c r="K180" s="33" t="str">
        <f aca="false">IF(E180&lt;&gt;"",E180,IF(U180,"Present",IF(C180="Holiday","Holiday","Weekend")))</f>
        <v>Present</v>
      </c>
      <c r="L180" s="34" t="n">
        <f aca="false">IF(OR(K180="Present",K180="Manual Work",K180="Partial Vacation",K180="Partial Sick Leave"),IF(ISNUMBER(F180),F180,IF(AND(K180="Present",U180),Settings!$B$6,"")),"")</f>
        <v>0.333333333333333</v>
      </c>
      <c r="M180" s="34" t="n">
        <f aca="false">IF(OR(K180="Present",K180="Manual Work",K180="Partial Vacation",K180="Partial Sick Leave"),IF(ISNUMBER(G180),G180,IF(AND(K180="Present",U180),V180,"")),"")</f>
        <v>0.6875</v>
      </c>
      <c r="N180" s="14" t="n">
        <f aca="false">IF(AND(ISNUMBER(L180),ISNUMBER(M180)),MAX(0,(M180-L180)*24),0)</f>
        <v>8.5</v>
      </c>
      <c r="O180" s="14" t="n">
        <f aca="false">IF(NOT(U180),0,IF(K180="Vacation",IF(C180="Eve",Settings!$B$9*Settings!$B$11,W180),IF(K180="Partial Vacation",IF(AND(ISNUMBER(H180),ISNUMBER(I180)),MAX(0,(I180-H180)*24),0),0)))</f>
        <v>0</v>
      </c>
      <c r="P180" s="14" t="n">
        <f aca="false">IF(NOT(U180),0,IF(K180="Sick Leave",W180,IF(K180="Partial Sick Leave",IF(AND(ISNUMBER(H180),ISNUMBER(I180)),MAX(0,(I180-H180)*24),0),0)))</f>
        <v>0</v>
      </c>
      <c r="Q180" s="14" t="n">
        <f aca="false">IF(NOT(U180),0,IF(K180="Vacation",IF(C180="Eve",Settings!$B$11,1),IF(K180="Partial Vacation",O180/Settings!$B$9,0)))</f>
        <v>0</v>
      </c>
      <c r="R180" s="14" t="n">
        <f aca="false">IF(NOT(U180),0,IF(K180="Sick Leave",1,IF(K180="Partial Sick Leave",P180/Settings!$B$9,0)))</f>
        <v>0</v>
      </c>
      <c r="S180" s="35" t="str">
        <f aca="false">IF(AND(OR(E180="Vacation",E180="Sick Leave",E180="Partial Vacation",E180="Partial Sick Leave"),NOT(U180)),"Leave not allowed on this day",IF(AND(E180="Manual Work",OR(NOT(ISNUMBER(F180)),NOT(ISNUMBER(G180)))),"Enter start and end",IF(AND(OR(E180="Partial Vacation",E180="Partial Sick Leave"),OR(NOT(ISNUMBER(H180)),NOT(ISNUMBER(I180)))),"Enter leave from and to",IF(AND(ISNUMBER(F180),ISNUMBER(G180),G180&lt;=F180),"End is before start",IF(AND(ISNUMBER(H180),ISNUMBER(I180),I180&lt;=H180),"Leave end is before start",IF(AND(ISNUMBER(F180),ISNUMBER(G180),ISNUMBER(H180),ISNUMBER(I180),F180&lt;I180,H180&lt;G180),"Work and leave hours overlap",IF(AND(E180&lt;&gt;"",WEEKDAY(A180)=7),"Saturday - administrator only","")))))))</f>
        <v/>
      </c>
      <c r="T180" s="36" t="n">
        <f aca="false">MONTH(A180)</f>
        <v>6</v>
      </c>
      <c r="U180" s="37" t="b">
        <f aca="false">OR(C180="Workday",C180="Eve")</f>
        <v>1</v>
      </c>
      <c r="V180" s="34" t="n">
        <f aca="false">IF(C180="Eve",Settings!$B$8,Settings!$B$7)</f>
        <v>0.6875</v>
      </c>
      <c r="W180" s="14" t="n">
        <f aca="false">IF(U180,(V180-Settings!$B$6)*24,0)</f>
        <v>8.5</v>
      </c>
    </row>
    <row r="181" customFormat="false" ht="15" hidden="false" customHeight="false" outlineLevel="0" collapsed="false">
      <c r="A181" s="29" t="n">
        <v>46197</v>
      </c>
      <c r="B181" s="30" t="str">
        <f aca="false">CHOOSE(WEEKDAY(A181),"Sun","Mon","Tue","Wed","Thu","Fri","Sat")</f>
        <v>Wed</v>
      </c>
      <c r="C181" s="30" t="str">
        <f aca="false">IF(IFERROR(INDEX(Holidays!$D$5:$D$60,MATCH(A181,Holidays!$A$5:$A$60,0)),"")="Holiday","Holiday",IF(WEEKDAY(A181)&gt;=6,"Weekend",IF(IFERROR(INDEX(Holidays!$D$5:$D$60,MATCH(A181,Holidays!$A$5:$A$60,0)),"")="Eve","Eve","Workday")))</f>
        <v>Workday</v>
      </c>
      <c r="D181" s="18" t="str">
        <f aca="false">IFERROR(INDEX(Holidays!$C$5:$C$60,MATCH(A181,Holidays!$A$5:$A$60,0)),"")</f>
        <v/>
      </c>
      <c r="E181" s="31"/>
      <c r="F181" s="32"/>
      <c r="G181" s="32"/>
      <c r="H181" s="32"/>
      <c r="I181" s="32"/>
      <c r="J181" s="31"/>
      <c r="K181" s="33" t="str">
        <f aca="false">IF(E181&lt;&gt;"",E181,IF(U181,"Present",IF(C181="Holiday","Holiday","Weekend")))</f>
        <v>Present</v>
      </c>
      <c r="L181" s="34" t="n">
        <f aca="false">IF(OR(K181="Present",K181="Manual Work",K181="Partial Vacation",K181="Partial Sick Leave"),IF(ISNUMBER(F181),F181,IF(AND(K181="Present",U181),Settings!$B$6,"")),"")</f>
        <v>0.333333333333333</v>
      </c>
      <c r="M181" s="34" t="n">
        <f aca="false">IF(OR(K181="Present",K181="Manual Work",K181="Partial Vacation",K181="Partial Sick Leave"),IF(ISNUMBER(G181),G181,IF(AND(K181="Present",U181),V181,"")),"")</f>
        <v>0.6875</v>
      </c>
      <c r="N181" s="14" t="n">
        <f aca="false">IF(AND(ISNUMBER(L181),ISNUMBER(M181)),MAX(0,(M181-L181)*24),0)</f>
        <v>8.5</v>
      </c>
      <c r="O181" s="14" t="n">
        <f aca="false">IF(NOT(U181),0,IF(K181="Vacation",IF(C181="Eve",Settings!$B$9*Settings!$B$11,W181),IF(K181="Partial Vacation",IF(AND(ISNUMBER(H181),ISNUMBER(I181)),MAX(0,(I181-H181)*24),0),0)))</f>
        <v>0</v>
      </c>
      <c r="P181" s="14" t="n">
        <f aca="false">IF(NOT(U181),0,IF(K181="Sick Leave",W181,IF(K181="Partial Sick Leave",IF(AND(ISNUMBER(H181),ISNUMBER(I181)),MAX(0,(I181-H181)*24),0),0)))</f>
        <v>0</v>
      </c>
      <c r="Q181" s="14" t="n">
        <f aca="false">IF(NOT(U181),0,IF(K181="Vacation",IF(C181="Eve",Settings!$B$11,1),IF(K181="Partial Vacation",O181/Settings!$B$9,0)))</f>
        <v>0</v>
      </c>
      <c r="R181" s="14" t="n">
        <f aca="false">IF(NOT(U181),0,IF(K181="Sick Leave",1,IF(K181="Partial Sick Leave",P181/Settings!$B$9,0)))</f>
        <v>0</v>
      </c>
      <c r="S181" s="35" t="str">
        <f aca="false">IF(AND(OR(E181="Vacation",E181="Sick Leave",E181="Partial Vacation",E181="Partial Sick Leave"),NOT(U181)),"Leave not allowed on this day",IF(AND(E181="Manual Work",OR(NOT(ISNUMBER(F181)),NOT(ISNUMBER(G181)))),"Enter start and end",IF(AND(OR(E181="Partial Vacation",E181="Partial Sick Leave"),OR(NOT(ISNUMBER(H181)),NOT(ISNUMBER(I181)))),"Enter leave from and to",IF(AND(ISNUMBER(F181),ISNUMBER(G181),G181&lt;=F181),"End is before start",IF(AND(ISNUMBER(H181),ISNUMBER(I181),I181&lt;=H181),"Leave end is before start",IF(AND(ISNUMBER(F181),ISNUMBER(G181),ISNUMBER(H181),ISNUMBER(I181),F181&lt;I181,H181&lt;G181),"Work and leave hours overlap",IF(AND(E181&lt;&gt;"",WEEKDAY(A181)=7),"Saturday - administrator only","")))))))</f>
        <v/>
      </c>
      <c r="T181" s="36" t="n">
        <f aca="false">MONTH(A181)</f>
        <v>6</v>
      </c>
      <c r="U181" s="37" t="b">
        <f aca="false">OR(C181="Workday",C181="Eve")</f>
        <v>1</v>
      </c>
      <c r="V181" s="34" t="n">
        <f aca="false">IF(C181="Eve",Settings!$B$8,Settings!$B$7)</f>
        <v>0.6875</v>
      </c>
      <c r="W181" s="14" t="n">
        <f aca="false">IF(U181,(V181-Settings!$B$6)*24,0)</f>
        <v>8.5</v>
      </c>
    </row>
    <row r="182" customFormat="false" ht="15" hidden="false" customHeight="false" outlineLevel="0" collapsed="false">
      <c r="A182" s="29" t="n">
        <v>46198</v>
      </c>
      <c r="B182" s="30" t="str">
        <f aca="false">CHOOSE(WEEKDAY(A182),"Sun","Mon","Tue","Wed","Thu","Fri","Sat")</f>
        <v>Thu</v>
      </c>
      <c r="C182" s="30" t="str">
        <f aca="false">IF(IFERROR(INDEX(Holidays!$D$5:$D$60,MATCH(A182,Holidays!$A$5:$A$60,0)),"")="Holiday","Holiday",IF(WEEKDAY(A182)&gt;=6,"Weekend",IF(IFERROR(INDEX(Holidays!$D$5:$D$60,MATCH(A182,Holidays!$A$5:$A$60,0)),"")="Eve","Eve","Workday")))</f>
        <v>Workday</v>
      </c>
      <c r="D182" s="18" t="str">
        <f aca="false">IFERROR(INDEX(Holidays!$C$5:$C$60,MATCH(A182,Holidays!$A$5:$A$60,0)),"")</f>
        <v/>
      </c>
      <c r="E182" s="31"/>
      <c r="F182" s="32"/>
      <c r="G182" s="32"/>
      <c r="H182" s="32"/>
      <c r="I182" s="32"/>
      <c r="J182" s="31"/>
      <c r="K182" s="33" t="str">
        <f aca="false">IF(E182&lt;&gt;"",E182,IF(U182,"Present",IF(C182="Holiday","Holiday","Weekend")))</f>
        <v>Present</v>
      </c>
      <c r="L182" s="34" t="n">
        <f aca="false">IF(OR(K182="Present",K182="Manual Work",K182="Partial Vacation",K182="Partial Sick Leave"),IF(ISNUMBER(F182),F182,IF(AND(K182="Present",U182),Settings!$B$6,"")),"")</f>
        <v>0.333333333333333</v>
      </c>
      <c r="M182" s="34" t="n">
        <f aca="false">IF(OR(K182="Present",K182="Manual Work",K182="Partial Vacation",K182="Partial Sick Leave"),IF(ISNUMBER(G182),G182,IF(AND(K182="Present",U182),V182,"")),"")</f>
        <v>0.6875</v>
      </c>
      <c r="N182" s="14" t="n">
        <f aca="false">IF(AND(ISNUMBER(L182),ISNUMBER(M182)),MAX(0,(M182-L182)*24),0)</f>
        <v>8.5</v>
      </c>
      <c r="O182" s="14" t="n">
        <f aca="false">IF(NOT(U182),0,IF(K182="Vacation",IF(C182="Eve",Settings!$B$9*Settings!$B$11,W182),IF(K182="Partial Vacation",IF(AND(ISNUMBER(H182),ISNUMBER(I182)),MAX(0,(I182-H182)*24),0),0)))</f>
        <v>0</v>
      </c>
      <c r="P182" s="14" t="n">
        <f aca="false">IF(NOT(U182),0,IF(K182="Sick Leave",W182,IF(K182="Partial Sick Leave",IF(AND(ISNUMBER(H182),ISNUMBER(I182)),MAX(0,(I182-H182)*24),0),0)))</f>
        <v>0</v>
      </c>
      <c r="Q182" s="14" t="n">
        <f aca="false">IF(NOT(U182),0,IF(K182="Vacation",IF(C182="Eve",Settings!$B$11,1),IF(K182="Partial Vacation",O182/Settings!$B$9,0)))</f>
        <v>0</v>
      </c>
      <c r="R182" s="14" t="n">
        <f aca="false">IF(NOT(U182),0,IF(K182="Sick Leave",1,IF(K182="Partial Sick Leave",P182/Settings!$B$9,0)))</f>
        <v>0</v>
      </c>
      <c r="S182" s="35" t="str">
        <f aca="false">IF(AND(OR(E182="Vacation",E182="Sick Leave",E182="Partial Vacation",E182="Partial Sick Leave"),NOT(U182)),"Leave not allowed on this day",IF(AND(E182="Manual Work",OR(NOT(ISNUMBER(F182)),NOT(ISNUMBER(G182)))),"Enter start and end",IF(AND(OR(E182="Partial Vacation",E182="Partial Sick Leave"),OR(NOT(ISNUMBER(H182)),NOT(ISNUMBER(I182)))),"Enter leave from and to",IF(AND(ISNUMBER(F182),ISNUMBER(G182),G182&lt;=F182),"End is before start",IF(AND(ISNUMBER(H182),ISNUMBER(I182),I182&lt;=H182),"Leave end is before start",IF(AND(ISNUMBER(F182),ISNUMBER(G182),ISNUMBER(H182),ISNUMBER(I182),F182&lt;I182,H182&lt;G182),"Work and leave hours overlap",IF(AND(E182&lt;&gt;"",WEEKDAY(A182)=7),"Saturday - administrator only","")))))))</f>
        <v/>
      </c>
      <c r="T182" s="36" t="n">
        <f aca="false">MONTH(A182)</f>
        <v>6</v>
      </c>
      <c r="U182" s="37" t="b">
        <f aca="false">OR(C182="Workday",C182="Eve")</f>
        <v>1</v>
      </c>
      <c r="V182" s="34" t="n">
        <f aca="false">IF(C182="Eve",Settings!$B$8,Settings!$B$7)</f>
        <v>0.6875</v>
      </c>
      <c r="W182" s="14" t="n">
        <f aca="false">IF(U182,(V182-Settings!$B$6)*24,0)</f>
        <v>8.5</v>
      </c>
    </row>
    <row r="183" customFormat="false" ht="15" hidden="false" customHeight="false" outlineLevel="0" collapsed="false">
      <c r="A183" s="29" t="n">
        <v>46199</v>
      </c>
      <c r="B183" s="30" t="str">
        <f aca="false">CHOOSE(WEEKDAY(A183),"Sun","Mon","Tue","Wed","Thu","Fri","Sat")</f>
        <v>Fri</v>
      </c>
      <c r="C183" s="30" t="str">
        <f aca="false">IF(IFERROR(INDEX(Holidays!$D$5:$D$60,MATCH(A183,Holidays!$A$5:$A$60,0)),"")="Holiday","Holiday",IF(WEEKDAY(A183)&gt;=6,"Weekend",IF(IFERROR(INDEX(Holidays!$D$5:$D$60,MATCH(A183,Holidays!$A$5:$A$60,0)),"")="Eve","Eve","Workday")))</f>
        <v>Weekend</v>
      </c>
      <c r="D183" s="18" t="str">
        <f aca="false">IFERROR(INDEX(Holidays!$C$5:$C$60,MATCH(A183,Holidays!$A$5:$A$60,0)),"")</f>
        <v/>
      </c>
      <c r="E183" s="31"/>
      <c r="F183" s="32"/>
      <c r="G183" s="32"/>
      <c r="H183" s="32"/>
      <c r="I183" s="32"/>
      <c r="J183" s="31"/>
      <c r="K183" s="33" t="str">
        <f aca="false">IF(E183&lt;&gt;"",E183,IF(U183,"Present",IF(C183="Holiday","Holiday","Weekend")))</f>
        <v>Weekend</v>
      </c>
      <c r="L183" s="34" t="str">
        <f aca="false">IF(OR(K183="Present",K183="Manual Work",K183="Partial Vacation",K183="Partial Sick Leave"),IF(ISNUMBER(F183),F183,IF(AND(K183="Present",U183),Settings!$B$6,"")),"")</f>
        <v/>
      </c>
      <c r="M183" s="34" t="str">
        <f aca="false">IF(OR(K183="Present",K183="Manual Work",K183="Partial Vacation",K183="Partial Sick Leave"),IF(ISNUMBER(G183),G183,IF(AND(K183="Present",U183),V183,"")),"")</f>
        <v/>
      </c>
      <c r="N183" s="14" t="n">
        <f aca="false">IF(AND(ISNUMBER(L183),ISNUMBER(M183)),MAX(0,(M183-L183)*24),0)</f>
        <v>0</v>
      </c>
      <c r="O183" s="14" t="n">
        <f aca="false">IF(NOT(U183),0,IF(K183="Vacation",IF(C183="Eve",Settings!$B$9*Settings!$B$11,W183),IF(K183="Partial Vacation",IF(AND(ISNUMBER(H183),ISNUMBER(I183)),MAX(0,(I183-H183)*24),0),0)))</f>
        <v>0</v>
      </c>
      <c r="P183" s="14" t="n">
        <f aca="false">IF(NOT(U183),0,IF(K183="Sick Leave",W183,IF(K183="Partial Sick Leave",IF(AND(ISNUMBER(H183),ISNUMBER(I183)),MAX(0,(I183-H183)*24),0),0)))</f>
        <v>0</v>
      </c>
      <c r="Q183" s="14" t="n">
        <f aca="false">IF(NOT(U183),0,IF(K183="Vacation",IF(C183="Eve",Settings!$B$11,1),IF(K183="Partial Vacation",O183/Settings!$B$9,0)))</f>
        <v>0</v>
      </c>
      <c r="R183" s="14" t="n">
        <f aca="false">IF(NOT(U183),0,IF(K183="Sick Leave",1,IF(K183="Partial Sick Leave",P183/Settings!$B$9,0)))</f>
        <v>0</v>
      </c>
      <c r="S183" s="35" t="str">
        <f aca="false">IF(AND(OR(E183="Vacation",E183="Sick Leave",E183="Partial Vacation",E183="Partial Sick Leave"),NOT(U183)),"Leave not allowed on this day",IF(AND(E183="Manual Work",OR(NOT(ISNUMBER(F183)),NOT(ISNUMBER(G183)))),"Enter start and end",IF(AND(OR(E183="Partial Vacation",E183="Partial Sick Leave"),OR(NOT(ISNUMBER(H183)),NOT(ISNUMBER(I183)))),"Enter leave from and to",IF(AND(ISNUMBER(F183),ISNUMBER(G183),G183&lt;=F183),"End is before start",IF(AND(ISNUMBER(H183),ISNUMBER(I183),I183&lt;=H183),"Leave end is before start",IF(AND(ISNUMBER(F183),ISNUMBER(G183),ISNUMBER(H183),ISNUMBER(I183),F183&lt;I183,H183&lt;G183),"Work and leave hours overlap",IF(AND(E183&lt;&gt;"",WEEKDAY(A183)=7),"Saturday - administrator only","")))))))</f>
        <v/>
      </c>
      <c r="T183" s="36" t="n">
        <f aca="false">MONTH(A183)</f>
        <v>6</v>
      </c>
      <c r="U183" s="37" t="b">
        <f aca="false">OR(C183="Workday",C183="Eve")</f>
        <v>0</v>
      </c>
      <c r="V183" s="34" t="n">
        <f aca="false">IF(C183="Eve",Settings!$B$8,Settings!$B$7)</f>
        <v>0.6875</v>
      </c>
      <c r="W183" s="14" t="n">
        <f aca="false">IF(U183,(V183-Settings!$B$6)*24,0)</f>
        <v>0</v>
      </c>
    </row>
    <row r="184" customFormat="false" ht="15" hidden="false" customHeight="false" outlineLevel="0" collapsed="false">
      <c r="A184" s="29" t="n">
        <v>46200</v>
      </c>
      <c r="B184" s="30" t="str">
        <f aca="false">CHOOSE(WEEKDAY(A184),"Sun","Mon","Tue","Wed","Thu","Fri","Sat")</f>
        <v>Sat</v>
      </c>
      <c r="C184" s="30" t="str">
        <f aca="false">IF(IFERROR(INDEX(Holidays!$D$5:$D$60,MATCH(A184,Holidays!$A$5:$A$60,0)),"")="Holiday","Holiday",IF(WEEKDAY(A184)&gt;=6,"Weekend",IF(IFERROR(INDEX(Holidays!$D$5:$D$60,MATCH(A184,Holidays!$A$5:$A$60,0)),"")="Eve","Eve","Workday")))</f>
        <v>Weekend</v>
      </c>
      <c r="D184" s="18" t="str">
        <f aca="false">IFERROR(INDEX(Holidays!$C$5:$C$60,MATCH(A184,Holidays!$A$5:$A$60,0)),"")</f>
        <v/>
      </c>
      <c r="E184" s="31"/>
      <c r="F184" s="32"/>
      <c r="G184" s="32"/>
      <c r="H184" s="32"/>
      <c r="I184" s="32"/>
      <c r="J184" s="31"/>
      <c r="K184" s="33" t="str">
        <f aca="false">IF(E184&lt;&gt;"",E184,IF(U184,"Present",IF(C184="Holiday","Holiday","Weekend")))</f>
        <v>Weekend</v>
      </c>
      <c r="L184" s="34" t="str">
        <f aca="false">IF(OR(K184="Present",K184="Manual Work",K184="Partial Vacation",K184="Partial Sick Leave"),IF(ISNUMBER(F184),F184,IF(AND(K184="Present",U184),Settings!$B$6,"")),"")</f>
        <v/>
      </c>
      <c r="M184" s="34" t="str">
        <f aca="false">IF(OR(K184="Present",K184="Manual Work",K184="Partial Vacation",K184="Partial Sick Leave"),IF(ISNUMBER(G184),G184,IF(AND(K184="Present",U184),V184,"")),"")</f>
        <v/>
      </c>
      <c r="N184" s="14" t="n">
        <f aca="false">IF(AND(ISNUMBER(L184),ISNUMBER(M184)),MAX(0,(M184-L184)*24),0)</f>
        <v>0</v>
      </c>
      <c r="O184" s="14" t="n">
        <f aca="false">IF(NOT(U184),0,IF(K184="Vacation",IF(C184="Eve",Settings!$B$9*Settings!$B$11,W184),IF(K184="Partial Vacation",IF(AND(ISNUMBER(H184),ISNUMBER(I184)),MAX(0,(I184-H184)*24),0),0)))</f>
        <v>0</v>
      </c>
      <c r="P184" s="14" t="n">
        <f aca="false">IF(NOT(U184),0,IF(K184="Sick Leave",W184,IF(K184="Partial Sick Leave",IF(AND(ISNUMBER(H184),ISNUMBER(I184)),MAX(0,(I184-H184)*24),0),0)))</f>
        <v>0</v>
      </c>
      <c r="Q184" s="14" t="n">
        <f aca="false">IF(NOT(U184),0,IF(K184="Vacation",IF(C184="Eve",Settings!$B$11,1),IF(K184="Partial Vacation",O184/Settings!$B$9,0)))</f>
        <v>0</v>
      </c>
      <c r="R184" s="14" t="n">
        <f aca="false">IF(NOT(U184),0,IF(K184="Sick Leave",1,IF(K184="Partial Sick Leave",P184/Settings!$B$9,0)))</f>
        <v>0</v>
      </c>
      <c r="S184" s="35" t="str">
        <f aca="false">IF(AND(OR(E184="Vacation",E184="Sick Leave",E184="Partial Vacation",E184="Partial Sick Leave"),NOT(U184)),"Leave not allowed on this day",IF(AND(E184="Manual Work",OR(NOT(ISNUMBER(F184)),NOT(ISNUMBER(G184)))),"Enter start and end",IF(AND(OR(E184="Partial Vacation",E184="Partial Sick Leave"),OR(NOT(ISNUMBER(H184)),NOT(ISNUMBER(I184)))),"Enter leave from and to",IF(AND(ISNUMBER(F184),ISNUMBER(G184),G184&lt;=F184),"End is before start",IF(AND(ISNUMBER(H184),ISNUMBER(I184),I184&lt;=H184),"Leave end is before start",IF(AND(ISNUMBER(F184),ISNUMBER(G184),ISNUMBER(H184),ISNUMBER(I184),F184&lt;I184,H184&lt;G184),"Work and leave hours overlap",IF(AND(E184&lt;&gt;"",WEEKDAY(A184)=7),"Saturday - administrator only","")))))))</f>
        <v/>
      </c>
      <c r="T184" s="36" t="n">
        <f aca="false">MONTH(A184)</f>
        <v>6</v>
      </c>
      <c r="U184" s="37" t="b">
        <f aca="false">OR(C184="Workday",C184="Eve")</f>
        <v>0</v>
      </c>
      <c r="V184" s="34" t="n">
        <f aca="false">IF(C184="Eve",Settings!$B$8,Settings!$B$7)</f>
        <v>0.6875</v>
      </c>
      <c r="W184" s="14" t="n">
        <f aca="false">IF(U184,(V184-Settings!$B$6)*24,0)</f>
        <v>0</v>
      </c>
    </row>
    <row r="185" customFormat="false" ht="15" hidden="false" customHeight="false" outlineLevel="0" collapsed="false">
      <c r="A185" s="29" t="n">
        <v>46201</v>
      </c>
      <c r="B185" s="30" t="str">
        <f aca="false">CHOOSE(WEEKDAY(A185),"Sun","Mon","Tue","Wed","Thu","Fri","Sat")</f>
        <v>Sun</v>
      </c>
      <c r="C185" s="30" t="str">
        <f aca="false">IF(IFERROR(INDEX(Holidays!$D$5:$D$60,MATCH(A185,Holidays!$A$5:$A$60,0)),"")="Holiday","Holiday",IF(WEEKDAY(A185)&gt;=6,"Weekend",IF(IFERROR(INDEX(Holidays!$D$5:$D$60,MATCH(A185,Holidays!$A$5:$A$60,0)),"")="Eve","Eve","Workday")))</f>
        <v>Workday</v>
      </c>
      <c r="D185" s="18" t="str">
        <f aca="false">IFERROR(INDEX(Holidays!$C$5:$C$60,MATCH(A185,Holidays!$A$5:$A$60,0)),"")</f>
        <v/>
      </c>
      <c r="E185" s="31"/>
      <c r="F185" s="32"/>
      <c r="G185" s="32"/>
      <c r="H185" s="32"/>
      <c r="I185" s="32"/>
      <c r="J185" s="31"/>
      <c r="K185" s="33" t="str">
        <f aca="false">IF(E185&lt;&gt;"",E185,IF(U185,"Present",IF(C185="Holiday","Holiday","Weekend")))</f>
        <v>Present</v>
      </c>
      <c r="L185" s="34" t="n">
        <f aca="false">IF(OR(K185="Present",K185="Manual Work",K185="Partial Vacation",K185="Partial Sick Leave"),IF(ISNUMBER(F185),F185,IF(AND(K185="Present",U185),Settings!$B$6,"")),"")</f>
        <v>0.333333333333333</v>
      </c>
      <c r="M185" s="34" t="n">
        <f aca="false">IF(OR(K185="Present",K185="Manual Work",K185="Partial Vacation",K185="Partial Sick Leave"),IF(ISNUMBER(G185),G185,IF(AND(K185="Present",U185),V185,"")),"")</f>
        <v>0.6875</v>
      </c>
      <c r="N185" s="14" t="n">
        <f aca="false">IF(AND(ISNUMBER(L185),ISNUMBER(M185)),MAX(0,(M185-L185)*24),0)</f>
        <v>8.5</v>
      </c>
      <c r="O185" s="14" t="n">
        <f aca="false">IF(NOT(U185),0,IF(K185="Vacation",IF(C185="Eve",Settings!$B$9*Settings!$B$11,W185),IF(K185="Partial Vacation",IF(AND(ISNUMBER(H185),ISNUMBER(I185)),MAX(0,(I185-H185)*24),0),0)))</f>
        <v>0</v>
      </c>
      <c r="P185" s="14" t="n">
        <f aca="false">IF(NOT(U185),0,IF(K185="Sick Leave",W185,IF(K185="Partial Sick Leave",IF(AND(ISNUMBER(H185),ISNUMBER(I185)),MAX(0,(I185-H185)*24),0),0)))</f>
        <v>0</v>
      </c>
      <c r="Q185" s="14" t="n">
        <f aca="false">IF(NOT(U185),0,IF(K185="Vacation",IF(C185="Eve",Settings!$B$11,1),IF(K185="Partial Vacation",O185/Settings!$B$9,0)))</f>
        <v>0</v>
      </c>
      <c r="R185" s="14" t="n">
        <f aca="false">IF(NOT(U185),0,IF(K185="Sick Leave",1,IF(K185="Partial Sick Leave",P185/Settings!$B$9,0)))</f>
        <v>0</v>
      </c>
      <c r="S185" s="35" t="str">
        <f aca="false">IF(AND(OR(E185="Vacation",E185="Sick Leave",E185="Partial Vacation",E185="Partial Sick Leave"),NOT(U185)),"Leave not allowed on this day",IF(AND(E185="Manual Work",OR(NOT(ISNUMBER(F185)),NOT(ISNUMBER(G185)))),"Enter start and end",IF(AND(OR(E185="Partial Vacation",E185="Partial Sick Leave"),OR(NOT(ISNUMBER(H185)),NOT(ISNUMBER(I185)))),"Enter leave from and to",IF(AND(ISNUMBER(F185),ISNUMBER(G185),G185&lt;=F185),"End is before start",IF(AND(ISNUMBER(H185),ISNUMBER(I185),I185&lt;=H185),"Leave end is before start",IF(AND(ISNUMBER(F185),ISNUMBER(G185),ISNUMBER(H185),ISNUMBER(I185),F185&lt;I185,H185&lt;G185),"Work and leave hours overlap",IF(AND(E185&lt;&gt;"",WEEKDAY(A185)=7),"Saturday - administrator only","")))))))</f>
        <v/>
      </c>
      <c r="T185" s="36" t="n">
        <f aca="false">MONTH(A185)</f>
        <v>6</v>
      </c>
      <c r="U185" s="37" t="b">
        <f aca="false">OR(C185="Workday",C185="Eve")</f>
        <v>1</v>
      </c>
      <c r="V185" s="34" t="n">
        <f aca="false">IF(C185="Eve",Settings!$B$8,Settings!$B$7)</f>
        <v>0.6875</v>
      </c>
      <c r="W185" s="14" t="n">
        <f aca="false">IF(U185,(V185-Settings!$B$6)*24,0)</f>
        <v>8.5</v>
      </c>
    </row>
    <row r="186" customFormat="false" ht="15" hidden="false" customHeight="false" outlineLevel="0" collapsed="false">
      <c r="A186" s="29" t="n">
        <v>46202</v>
      </c>
      <c r="B186" s="30" t="str">
        <f aca="false">CHOOSE(WEEKDAY(A186),"Sun","Mon","Tue","Wed","Thu","Fri","Sat")</f>
        <v>Mon</v>
      </c>
      <c r="C186" s="30" t="str">
        <f aca="false">IF(IFERROR(INDEX(Holidays!$D$5:$D$60,MATCH(A186,Holidays!$A$5:$A$60,0)),"")="Holiday","Holiday",IF(WEEKDAY(A186)&gt;=6,"Weekend",IF(IFERROR(INDEX(Holidays!$D$5:$D$60,MATCH(A186,Holidays!$A$5:$A$60,0)),"")="Eve","Eve","Workday")))</f>
        <v>Workday</v>
      </c>
      <c r="D186" s="18" t="str">
        <f aca="false">IFERROR(INDEX(Holidays!$C$5:$C$60,MATCH(A186,Holidays!$A$5:$A$60,0)),"")</f>
        <v/>
      </c>
      <c r="E186" s="31"/>
      <c r="F186" s="32"/>
      <c r="G186" s="32"/>
      <c r="H186" s="32"/>
      <c r="I186" s="32"/>
      <c r="J186" s="31"/>
      <c r="K186" s="33" t="str">
        <f aca="false">IF(E186&lt;&gt;"",E186,IF(U186,"Present",IF(C186="Holiday","Holiday","Weekend")))</f>
        <v>Present</v>
      </c>
      <c r="L186" s="34" t="n">
        <f aca="false">IF(OR(K186="Present",K186="Manual Work",K186="Partial Vacation",K186="Partial Sick Leave"),IF(ISNUMBER(F186),F186,IF(AND(K186="Present",U186),Settings!$B$6,"")),"")</f>
        <v>0.333333333333333</v>
      </c>
      <c r="M186" s="34" t="n">
        <f aca="false">IF(OR(K186="Present",K186="Manual Work",K186="Partial Vacation",K186="Partial Sick Leave"),IF(ISNUMBER(G186),G186,IF(AND(K186="Present",U186),V186,"")),"")</f>
        <v>0.6875</v>
      </c>
      <c r="N186" s="14" t="n">
        <f aca="false">IF(AND(ISNUMBER(L186),ISNUMBER(M186)),MAX(0,(M186-L186)*24),0)</f>
        <v>8.5</v>
      </c>
      <c r="O186" s="14" t="n">
        <f aca="false">IF(NOT(U186),0,IF(K186="Vacation",IF(C186="Eve",Settings!$B$9*Settings!$B$11,W186),IF(K186="Partial Vacation",IF(AND(ISNUMBER(H186),ISNUMBER(I186)),MAX(0,(I186-H186)*24),0),0)))</f>
        <v>0</v>
      </c>
      <c r="P186" s="14" t="n">
        <f aca="false">IF(NOT(U186),0,IF(K186="Sick Leave",W186,IF(K186="Partial Sick Leave",IF(AND(ISNUMBER(H186),ISNUMBER(I186)),MAX(0,(I186-H186)*24),0),0)))</f>
        <v>0</v>
      </c>
      <c r="Q186" s="14" t="n">
        <f aca="false">IF(NOT(U186),0,IF(K186="Vacation",IF(C186="Eve",Settings!$B$11,1),IF(K186="Partial Vacation",O186/Settings!$B$9,0)))</f>
        <v>0</v>
      </c>
      <c r="R186" s="14" t="n">
        <f aca="false">IF(NOT(U186),0,IF(K186="Sick Leave",1,IF(K186="Partial Sick Leave",P186/Settings!$B$9,0)))</f>
        <v>0</v>
      </c>
      <c r="S186" s="35" t="str">
        <f aca="false">IF(AND(OR(E186="Vacation",E186="Sick Leave",E186="Partial Vacation",E186="Partial Sick Leave"),NOT(U186)),"Leave not allowed on this day",IF(AND(E186="Manual Work",OR(NOT(ISNUMBER(F186)),NOT(ISNUMBER(G186)))),"Enter start and end",IF(AND(OR(E186="Partial Vacation",E186="Partial Sick Leave"),OR(NOT(ISNUMBER(H186)),NOT(ISNUMBER(I186)))),"Enter leave from and to",IF(AND(ISNUMBER(F186),ISNUMBER(G186),G186&lt;=F186),"End is before start",IF(AND(ISNUMBER(H186),ISNUMBER(I186),I186&lt;=H186),"Leave end is before start",IF(AND(ISNUMBER(F186),ISNUMBER(G186),ISNUMBER(H186),ISNUMBER(I186),F186&lt;I186,H186&lt;G186),"Work and leave hours overlap",IF(AND(E186&lt;&gt;"",WEEKDAY(A186)=7),"Saturday - administrator only","")))))))</f>
        <v/>
      </c>
      <c r="T186" s="36" t="n">
        <f aca="false">MONTH(A186)</f>
        <v>6</v>
      </c>
      <c r="U186" s="37" t="b">
        <f aca="false">OR(C186="Workday",C186="Eve")</f>
        <v>1</v>
      </c>
      <c r="V186" s="34" t="n">
        <f aca="false">IF(C186="Eve",Settings!$B$8,Settings!$B$7)</f>
        <v>0.6875</v>
      </c>
      <c r="W186" s="14" t="n">
        <f aca="false">IF(U186,(V186-Settings!$B$6)*24,0)</f>
        <v>8.5</v>
      </c>
    </row>
    <row r="187" customFormat="false" ht="15" hidden="false" customHeight="false" outlineLevel="0" collapsed="false">
      <c r="A187" s="29" t="n">
        <v>46203</v>
      </c>
      <c r="B187" s="30" t="str">
        <f aca="false">CHOOSE(WEEKDAY(A187),"Sun","Mon","Tue","Wed","Thu","Fri","Sat")</f>
        <v>Tue</v>
      </c>
      <c r="C187" s="30" t="str">
        <f aca="false">IF(IFERROR(INDEX(Holidays!$D$5:$D$60,MATCH(A187,Holidays!$A$5:$A$60,0)),"")="Holiday","Holiday",IF(WEEKDAY(A187)&gt;=6,"Weekend",IF(IFERROR(INDEX(Holidays!$D$5:$D$60,MATCH(A187,Holidays!$A$5:$A$60,0)),"")="Eve","Eve","Workday")))</f>
        <v>Workday</v>
      </c>
      <c r="D187" s="18" t="str">
        <f aca="false">IFERROR(INDEX(Holidays!$C$5:$C$60,MATCH(A187,Holidays!$A$5:$A$60,0)),"")</f>
        <v/>
      </c>
      <c r="E187" s="31"/>
      <c r="F187" s="32"/>
      <c r="G187" s="32"/>
      <c r="H187" s="32"/>
      <c r="I187" s="32"/>
      <c r="J187" s="31"/>
      <c r="K187" s="33" t="str">
        <f aca="false">IF(E187&lt;&gt;"",E187,IF(U187,"Present",IF(C187="Holiday","Holiday","Weekend")))</f>
        <v>Present</v>
      </c>
      <c r="L187" s="34" t="n">
        <f aca="false">IF(OR(K187="Present",K187="Manual Work",K187="Partial Vacation",K187="Partial Sick Leave"),IF(ISNUMBER(F187),F187,IF(AND(K187="Present",U187),Settings!$B$6,"")),"")</f>
        <v>0.333333333333333</v>
      </c>
      <c r="M187" s="34" t="n">
        <f aca="false">IF(OR(K187="Present",K187="Manual Work",K187="Partial Vacation",K187="Partial Sick Leave"),IF(ISNUMBER(G187),G187,IF(AND(K187="Present",U187),V187,"")),"")</f>
        <v>0.6875</v>
      </c>
      <c r="N187" s="14" t="n">
        <f aca="false">IF(AND(ISNUMBER(L187),ISNUMBER(M187)),MAX(0,(M187-L187)*24),0)</f>
        <v>8.5</v>
      </c>
      <c r="O187" s="14" t="n">
        <f aca="false">IF(NOT(U187),0,IF(K187="Vacation",IF(C187="Eve",Settings!$B$9*Settings!$B$11,W187),IF(K187="Partial Vacation",IF(AND(ISNUMBER(H187),ISNUMBER(I187)),MAX(0,(I187-H187)*24),0),0)))</f>
        <v>0</v>
      </c>
      <c r="P187" s="14" t="n">
        <f aca="false">IF(NOT(U187),0,IF(K187="Sick Leave",W187,IF(K187="Partial Sick Leave",IF(AND(ISNUMBER(H187),ISNUMBER(I187)),MAX(0,(I187-H187)*24),0),0)))</f>
        <v>0</v>
      </c>
      <c r="Q187" s="14" t="n">
        <f aca="false">IF(NOT(U187),0,IF(K187="Vacation",IF(C187="Eve",Settings!$B$11,1),IF(K187="Partial Vacation",O187/Settings!$B$9,0)))</f>
        <v>0</v>
      </c>
      <c r="R187" s="14" t="n">
        <f aca="false">IF(NOT(U187),0,IF(K187="Sick Leave",1,IF(K187="Partial Sick Leave",P187/Settings!$B$9,0)))</f>
        <v>0</v>
      </c>
      <c r="S187" s="35" t="str">
        <f aca="false">IF(AND(OR(E187="Vacation",E187="Sick Leave",E187="Partial Vacation",E187="Partial Sick Leave"),NOT(U187)),"Leave not allowed on this day",IF(AND(E187="Manual Work",OR(NOT(ISNUMBER(F187)),NOT(ISNUMBER(G187)))),"Enter start and end",IF(AND(OR(E187="Partial Vacation",E187="Partial Sick Leave"),OR(NOT(ISNUMBER(H187)),NOT(ISNUMBER(I187)))),"Enter leave from and to",IF(AND(ISNUMBER(F187),ISNUMBER(G187),G187&lt;=F187),"End is before start",IF(AND(ISNUMBER(H187),ISNUMBER(I187),I187&lt;=H187),"Leave end is before start",IF(AND(ISNUMBER(F187),ISNUMBER(G187),ISNUMBER(H187),ISNUMBER(I187),F187&lt;I187,H187&lt;G187),"Work and leave hours overlap",IF(AND(E187&lt;&gt;"",WEEKDAY(A187)=7),"Saturday - administrator only","")))))))</f>
        <v/>
      </c>
      <c r="T187" s="36" t="n">
        <f aca="false">MONTH(A187)</f>
        <v>6</v>
      </c>
      <c r="U187" s="37" t="b">
        <f aca="false">OR(C187="Workday",C187="Eve")</f>
        <v>1</v>
      </c>
      <c r="V187" s="34" t="n">
        <f aca="false">IF(C187="Eve",Settings!$B$8,Settings!$B$7)</f>
        <v>0.6875</v>
      </c>
      <c r="W187" s="14" t="n">
        <f aca="false">IF(U187,(V187-Settings!$B$6)*24,0)</f>
        <v>8.5</v>
      </c>
    </row>
    <row r="188" customFormat="false" ht="15" hidden="false" customHeight="false" outlineLevel="0" collapsed="false">
      <c r="A188" s="29" t="n">
        <v>46204</v>
      </c>
      <c r="B188" s="30" t="str">
        <f aca="false">CHOOSE(WEEKDAY(A188),"Sun","Mon","Tue","Wed","Thu","Fri","Sat")</f>
        <v>Wed</v>
      </c>
      <c r="C188" s="30" t="str">
        <f aca="false">IF(IFERROR(INDEX(Holidays!$D$5:$D$60,MATCH(A188,Holidays!$A$5:$A$60,0)),"")="Holiday","Holiday",IF(WEEKDAY(A188)&gt;=6,"Weekend",IF(IFERROR(INDEX(Holidays!$D$5:$D$60,MATCH(A188,Holidays!$A$5:$A$60,0)),"")="Eve","Eve","Workday")))</f>
        <v>Workday</v>
      </c>
      <c r="D188" s="18" t="str">
        <f aca="false">IFERROR(INDEX(Holidays!$C$5:$C$60,MATCH(A188,Holidays!$A$5:$A$60,0)),"")</f>
        <v/>
      </c>
      <c r="E188" s="31"/>
      <c r="F188" s="32"/>
      <c r="G188" s="32"/>
      <c r="H188" s="32"/>
      <c r="I188" s="32"/>
      <c r="J188" s="31"/>
      <c r="K188" s="33" t="str">
        <f aca="false">IF(E188&lt;&gt;"",E188,IF(U188,"Present",IF(C188="Holiday","Holiday","Weekend")))</f>
        <v>Present</v>
      </c>
      <c r="L188" s="34" t="n">
        <f aca="false">IF(OR(K188="Present",K188="Manual Work",K188="Partial Vacation",K188="Partial Sick Leave"),IF(ISNUMBER(F188),F188,IF(AND(K188="Present",U188),Settings!$B$6,"")),"")</f>
        <v>0.333333333333333</v>
      </c>
      <c r="M188" s="34" t="n">
        <f aca="false">IF(OR(K188="Present",K188="Manual Work",K188="Partial Vacation",K188="Partial Sick Leave"),IF(ISNUMBER(G188),G188,IF(AND(K188="Present",U188),V188,"")),"")</f>
        <v>0.6875</v>
      </c>
      <c r="N188" s="14" t="n">
        <f aca="false">IF(AND(ISNUMBER(L188),ISNUMBER(M188)),MAX(0,(M188-L188)*24),0)</f>
        <v>8.5</v>
      </c>
      <c r="O188" s="14" t="n">
        <f aca="false">IF(NOT(U188),0,IF(K188="Vacation",IF(C188="Eve",Settings!$B$9*Settings!$B$11,W188),IF(K188="Partial Vacation",IF(AND(ISNUMBER(H188),ISNUMBER(I188)),MAX(0,(I188-H188)*24),0),0)))</f>
        <v>0</v>
      </c>
      <c r="P188" s="14" t="n">
        <f aca="false">IF(NOT(U188),0,IF(K188="Sick Leave",W188,IF(K188="Partial Sick Leave",IF(AND(ISNUMBER(H188),ISNUMBER(I188)),MAX(0,(I188-H188)*24),0),0)))</f>
        <v>0</v>
      </c>
      <c r="Q188" s="14" t="n">
        <f aca="false">IF(NOT(U188),0,IF(K188="Vacation",IF(C188="Eve",Settings!$B$11,1),IF(K188="Partial Vacation",O188/Settings!$B$9,0)))</f>
        <v>0</v>
      </c>
      <c r="R188" s="14" t="n">
        <f aca="false">IF(NOT(U188),0,IF(K188="Sick Leave",1,IF(K188="Partial Sick Leave",P188/Settings!$B$9,0)))</f>
        <v>0</v>
      </c>
      <c r="S188" s="35" t="str">
        <f aca="false">IF(AND(OR(E188="Vacation",E188="Sick Leave",E188="Partial Vacation",E188="Partial Sick Leave"),NOT(U188)),"Leave not allowed on this day",IF(AND(E188="Manual Work",OR(NOT(ISNUMBER(F188)),NOT(ISNUMBER(G188)))),"Enter start and end",IF(AND(OR(E188="Partial Vacation",E188="Partial Sick Leave"),OR(NOT(ISNUMBER(H188)),NOT(ISNUMBER(I188)))),"Enter leave from and to",IF(AND(ISNUMBER(F188),ISNUMBER(G188),G188&lt;=F188),"End is before start",IF(AND(ISNUMBER(H188),ISNUMBER(I188),I188&lt;=H188),"Leave end is before start",IF(AND(ISNUMBER(F188),ISNUMBER(G188),ISNUMBER(H188),ISNUMBER(I188),F188&lt;I188,H188&lt;G188),"Work and leave hours overlap",IF(AND(E188&lt;&gt;"",WEEKDAY(A188)=7),"Saturday - administrator only","")))))))</f>
        <v/>
      </c>
      <c r="T188" s="36" t="n">
        <f aca="false">MONTH(A188)</f>
        <v>7</v>
      </c>
      <c r="U188" s="37" t="b">
        <f aca="false">OR(C188="Workday",C188="Eve")</f>
        <v>1</v>
      </c>
      <c r="V188" s="34" t="n">
        <f aca="false">IF(C188="Eve",Settings!$B$8,Settings!$B$7)</f>
        <v>0.6875</v>
      </c>
      <c r="W188" s="14" t="n">
        <f aca="false">IF(U188,(V188-Settings!$B$6)*24,0)</f>
        <v>8.5</v>
      </c>
    </row>
    <row r="189" customFormat="false" ht="15" hidden="false" customHeight="false" outlineLevel="0" collapsed="false">
      <c r="A189" s="29" t="n">
        <v>46205</v>
      </c>
      <c r="B189" s="30" t="str">
        <f aca="false">CHOOSE(WEEKDAY(A189),"Sun","Mon","Tue","Wed","Thu","Fri","Sat")</f>
        <v>Thu</v>
      </c>
      <c r="C189" s="30" t="str">
        <f aca="false">IF(IFERROR(INDEX(Holidays!$D$5:$D$60,MATCH(A189,Holidays!$A$5:$A$60,0)),"")="Holiday","Holiday",IF(WEEKDAY(A189)&gt;=6,"Weekend",IF(IFERROR(INDEX(Holidays!$D$5:$D$60,MATCH(A189,Holidays!$A$5:$A$60,0)),"")="Eve","Eve","Workday")))</f>
        <v>Workday</v>
      </c>
      <c r="D189" s="18" t="str">
        <f aca="false">IFERROR(INDEX(Holidays!$C$5:$C$60,MATCH(A189,Holidays!$A$5:$A$60,0)),"")</f>
        <v/>
      </c>
      <c r="E189" s="31"/>
      <c r="F189" s="32"/>
      <c r="G189" s="32"/>
      <c r="H189" s="32"/>
      <c r="I189" s="32"/>
      <c r="J189" s="31"/>
      <c r="K189" s="33" t="str">
        <f aca="false">IF(E189&lt;&gt;"",E189,IF(U189,"Present",IF(C189="Holiday","Holiday","Weekend")))</f>
        <v>Present</v>
      </c>
      <c r="L189" s="34" t="n">
        <f aca="false">IF(OR(K189="Present",K189="Manual Work",K189="Partial Vacation",K189="Partial Sick Leave"),IF(ISNUMBER(F189),F189,IF(AND(K189="Present",U189),Settings!$B$6,"")),"")</f>
        <v>0.333333333333333</v>
      </c>
      <c r="M189" s="34" t="n">
        <f aca="false">IF(OR(K189="Present",K189="Manual Work",K189="Partial Vacation",K189="Partial Sick Leave"),IF(ISNUMBER(G189),G189,IF(AND(K189="Present",U189),V189,"")),"")</f>
        <v>0.6875</v>
      </c>
      <c r="N189" s="14" t="n">
        <f aca="false">IF(AND(ISNUMBER(L189),ISNUMBER(M189)),MAX(0,(M189-L189)*24),0)</f>
        <v>8.5</v>
      </c>
      <c r="O189" s="14" t="n">
        <f aca="false">IF(NOT(U189),0,IF(K189="Vacation",IF(C189="Eve",Settings!$B$9*Settings!$B$11,W189),IF(K189="Partial Vacation",IF(AND(ISNUMBER(H189),ISNUMBER(I189)),MAX(0,(I189-H189)*24),0),0)))</f>
        <v>0</v>
      </c>
      <c r="P189" s="14" t="n">
        <f aca="false">IF(NOT(U189),0,IF(K189="Sick Leave",W189,IF(K189="Partial Sick Leave",IF(AND(ISNUMBER(H189),ISNUMBER(I189)),MAX(0,(I189-H189)*24),0),0)))</f>
        <v>0</v>
      </c>
      <c r="Q189" s="14" t="n">
        <f aca="false">IF(NOT(U189),0,IF(K189="Vacation",IF(C189="Eve",Settings!$B$11,1),IF(K189="Partial Vacation",O189/Settings!$B$9,0)))</f>
        <v>0</v>
      </c>
      <c r="R189" s="14" t="n">
        <f aca="false">IF(NOT(U189),0,IF(K189="Sick Leave",1,IF(K189="Partial Sick Leave",P189/Settings!$B$9,0)))</f>
        <v>0</v>
      </c>
      <c r="S189" s="35" t="str">
        <f aca="false">IF(AND(OR(E189="Vacation",E189="Sick Leave",E189="Partial Vacation",E189="Partial Sick Leave"),NOT(U189)),"Leave not allowed on this day",IF(AND(E189="Manual Work",OR(NOT(ISNUMBER(F189)),NOT(ISNUMBER(G189)))),"Enter start and end",IF(AND(OR(E189="Partial Vacation",E189="Partial Sick Leave"),OR(NOT(ISNUMBER(H189)),NOT(ISNUMBER(I189)))),"Enter leave from and to",IF(AND(ISNUMBER(F189),ISNUMBER(G189),G189&lt;=F189),"End is before start",IF(AND(ISNUMBER(H189),ISNUMBER(I189),I189&lt;=H189),"Leave end is before start",IF(AND(ISNUMBER(F189),ISNUMBER(G189),ISNUMBER(H189),ISNUMBER(I189),F189&lt;I189,H189&lt;G189),"Work and leave hours overlap",IF(AND(E189&lt;&gt;"",WEEKDAY(A189)=7),"Saturday - administrator only","")))))))</f>
        <v/>
      </c>
      <c r="T189" s="36" t="n">
        <f aca="false">MONTH(A189)</f>
        <v>7</v>
      </c>
      <c r="U189" s="37" t="b">
        <f aca="false">OR(C189="Workday",C189="Eve")</f>
        <v>1</v>
      </c>
      <c r="V189" s="34" t="n">
        <f aca="false">IF(C189="Eve",Settings!$B$8,Settings!$B$7)</f>
        <v>0.6875</v>
      </c>
      <c r="W189" s="14" t="n">
        <f aca="false">IF(U189,(V189-Settings!$B$6)*24,0)</f>
        <v>8.5</v>
      </c>
    </row>
    <row r="190" customFormat="false" ht="15" hidden="false" customHeight="false" outlineLevel="0" collapsed="false">
      <c r="A190" s="29" t="n">
        <v>46206</v>
      </c>
      <c r="B190" s="30" t="str">
        <f aca="false">CHOOSE(WEEKDAY(A190),"Sun","Mon","Tue","Wed","Thu","Fri","Sat")</f>
        <v>Fri</v>
      </c>
      <c r="C190" s="30" t="str">
        <f aca="false">IF(IFERROR(INDEX(Holidays!$D$5:$D$60,MATCH(A190,Holidays!$A$5:$A$60,0)),"")="Holiday","Holiday",IF(WEEKDAY(A190)&gt;=6,"Weekend",IF(IFERROR(INDEX(Holidays!$D$5:$D$60,MATCH(A190,Holidays!$A$5:$A$60,0)),"")="Eve","Eve","Workday")))</f>
        <v>Weekend</v>
      </c>
      <c r="D190" s="18" t="str">
        <f aca="false">IFERROR(INDEX(Holidays!$C$5:$C$60,MATCH(A190,Holidays!$A$5:$A$60,0)),"")</f>
        <v/>
      </c>
      <c r="E190" s="31"/>
      <c r="F190" s="32"/>
      <c r="G190" s="32"/>
      <c r="H190" s="32"/>
      <c r="I190" s="32"/>
      <c r="J190" s="31"/>
      <c r="K190" s="33" t="str">
        <f aca="false">IF(E190&lt;&gt;"",E190,IF(U190,"Present",IF(C190="Holiday","Holiday","Weekend")))</f>
        <v>Weekend</v>
      </c>
      <c r="L190" s="34" t="str">
        <f aca="false">IF(OR(K190="Present",K190="Manual Work",K190="Partial Vacation",K190="Partial Sick Leave"),IF(ISNUMBER(F190),F190,IF(AND(K190="Present",U190),Settings!$B$6,"")),"")</f>
        <v/>
      </c>
      <c r="M190" s="34" t="str">
        <f aca="false">IF(OR(K190="Present",K190="Manual Work",K190="Partial Vacation",K190="Partial Sick Leave"),IF(ISNUMBER(G190),G190,IF(AND(K190="Present",U190),V190,"")),"")</f>
        <v/>
      </c>
      <c r="N190" s="14" t="n">
        <f aca="false">IF(AND(ISNUMBER(L190),ISNUMBER(M190)),MAX(0,(M190-L190)*24),0)</f>
        <v>0</v>
      </c>
      <c r="O190" s="14" t="n">
        <f aca="false">IF(NOT(U190),0,IF(K190="Vacation",IF(C190="Eve",Settings!$B$9*Settings!$B$11,W190),IF(K190="Partial Vacation",IF(AND(ISNUMBER(H190),ISNUMBER(I190)),MAX(0,(I190-H190)*24),0),0)))</f>
        <v>0</v>
      </c>
      <c r="P190" s="14" t="n">
        <f aca="false">IF(NOT(U190),0,IF(K190="Sick Leave",W190,IF(K190="Partial Sick Leave",IF(AND(ISNUMBER(H190),ISNUMBER(I190)),MAX(0,(I190-H190)*24),0),0)))</f>
        <v>0</v>
      </c>
      <c r="Q190" s="14" t="n">
        <f aca="false">IF(NOT(U190),0,IF(K190="Vacation",IF(C190="Eve",Settings!$B$11,1),IF(K190="Partial Vacation",O190/Settings!$B$9,0)))</f>
        <v>0</v>
      </c>
      <c r="R190" s="14" t="n">
        <f aca="false">IF(NOT(U190),0,IF(K190="Sick Leave",1,IF(K190="Partial Sick Leave",P190/Settings!$B$9,0)))</f>
        <v>0</v>
      </c>
      <c r="S190" s="35" t="str">
        <f aca="false">IF(AND(OR(E190="Vacation",E190="Sick Leave",E190="Partial Vacation",E190="Partial Sick Leave"),NOT(U190)),"Leave not allowed on this day",IF(AND(E190="Manual Work",OR(NOT(ISNUMBER(F190)),NOT(ISNUMBER(G190)))),"Enter start and end",IF(AND(OR(E190="Partial Vacation",E190="Partial Sick Leave"),OR(NOT(ISNUMBER(H190)),NOT(ISNUMBER(I190)))),"Enter leave from and to",IF(AND(ISNUMBER(F190),ISNUMBER(G190),G190&lt;=F190),"End is before start",IF(AND(ISNUMBER(H190),ISNUMBER(I190),I190&lt;=H190),"Leave end is before start",IF(AND(ISNUMBER(F190),ISNUMBER(G190),ISNUMBER(H190),ISNUMBER(I190),F190&lt;I190,H190&lt;G190),"Work and leave hours overlap",IF(AND(E190&lt;&gt;"",WEEKDAY(A190)=7),"Saturday - administrator only","")))))))</f>
        <v/>
      </c>
      <c r="T190" s="36" t="n">
        <f aca="false">MONTH(A190)</f>
        <v>7</v>
      </c>
      <c r="U190" s="37" t="b">
        <f aca="false">OR(C190="Workday",C190="Eve")</f>
        <v>0</v>
      </c>
      <c r="V190" s="34" t="n">
        <f aca="false">IF(C190="Eve",Settings!$B$8,Settings!$B$7)</f>
        <v>0.6875</v>
      </c>
      <c r="W190" s="14" t="n">
        <f aca="false">IF(U190,(V190-Settings!$B$6)*24,0)</f>
        <v>0</v>
      </c>
    </row>
    <row r="191" customFormat="false" ht="15" hidden="false" customHeight="false" outlineLevel="0" collapsed="false">
      <c r="A191" s="29" t="n">
        <v>46207</v>
      </c>
      <c r="B191" s="30" t="str">
        <f aca="false">CHOOSE(WEEKDAY(A191),"Sun","Mon","Tue","Wed","Thu","Fri","Sat")</f>
        <v>Sat</v>
      </c>
      <c r="C191" s="30" t="str">
        <f aca="false">IF(IFERROR(INDEX(Holidays!$D$5:$D$60,MATCH(A191,Holidays!$A$5:$A$60,0)),"")="Holiday","Holiday",IF(WEEKDAY(A191)&gt;=6,"Weekend",IF(IFERROR(INDEX(Holidays!$D$5:$D$60,MATCH(A191,Holidays!$A$5:$A$60,0)),"")="Eve","Eve","Workday")))</f>
        <v>Weekend</v>
      </c>
      <c r="D191" s="18" t="str">
        <f aca="false">IFERROR(INDEX(Holidays!$C$5:$C$60,MATCH(A191,Holidays!$A$5:$A$60,0)),"")</f>
        <v/>
      </c>
      <c r="E191" s="31"/>
      <c r="F191" s="32"/>
      <c r="G191" s="32"/>
      <c r="H191" s="32"/>
      <c r="I191" s="32"/>
      <c r="J191" s="31"/>
      <c r="K191" s="33" t="str">
        <f aca="false">IF(E191&lt;&gt;"",E191,IF(U191,"Present",IF(C191="Holiday","Holiday","Weekend")))</f>
        <v>Weekend</v>
      </c>
      <c r="L191" s="34" t="str">
        <f aca="false">IF(OR(K191="Present",K191="Manual Work",K191="Partial Vacation",K191="Partial Sick Leave"),IF(ISNUMBER(F191),F191,IF(AND(K191="Present",U191),Settings!$B$6,"")),"")</f>
        <v/>
      </c>
      <c r="M191" s="34" t="str">
        <f aca="false">IF(OR(K191="Present",K191="Manual Work",K191="Partial Vacation",K191="Partial Sick Leave"),IF(ISNUMBER(G191),G191,IF(AND(K191="Present",U191),V191,"")),"")</f>
        <v/>
      </c>
      <c r="N191" s="14" t="n">
        <f aca="false">IF(AND(ISNUMBER(L191),ISNUMBER(M191)),MAX(0,(M191-L191)*24),0)</f>
        <v>0</v>
      </c>
      <c r="O191" s="14" t="n">
        <f aca="false">IF(NOT(U191),0,IF(K191="Vacation",IF(C191="Eve",Settings!$B$9*Settings!$B$11,W191),IF(K191="Partial Vacation",IF(AND(ISNUMBER(H191),ISNUMBER(I191)),MAX(0,(I191-H191)*24),0),0)))</f>
        <v>0</v>
      </c>
      <c r="P191" s="14" t="n">
        <f aca="false">IF(NOT(U191),0,IF(K191="Sick Leave",W191,IF(K191="Partial Sick Leave",IF(AND(ISNUMBER(H191),ISNUMBER(I191)),MAX(0,(I191-H191)*24),0),0)))</f>
        <v>0</v>
      </c>
      <c r="Q191" s="14" t="n">
        <f aca="false">IF(NOT(U191),0,IF(K191="Vacation",IF(C191="Eve",Settings!$B$11,1),IF(K191="Partial Vacation",O191/Settings!$B$9,0)))</f>
        <v>0</v>
      </c>
      <c r="R191" s="14" t="n">
        <f aca="false">IF(NOT(U191),0,IF(K191="Sick Leave",1,IF(K191="Partial Sick Leave",P191/Settings!$B$9,0)))</f>
        <v>0</v>
      </c>
      <c r="S191" s="35" t="str">
        <f aca="false">IF(AND(OR(E191="Vacation",E191="Sick Leave",E191="Partial Vacation",E191="Partial Sick Leave"),NOT(U191)),"Leave not allowed on this day",IF(AND(E191="Manual Work",OR(NOT(ISNUMBER(F191)),NOT(ISNUMBER(G191)))),"Enter start and end",IF(AND(OR(E191="Partial Vacation",E191="Partial Sick Leave"),OR(NOT(ISNUMBER(H191)),NOT(ISNUMBER(I191)))),"Enter leave from and to",IF(AND(ISNUMBER(F191),ISNUMBER(G191),G191&lt;=F191),"End is before start",IF(AND(ISNUMBER(H191),ISNUMBER(I191),I191&lt;=H191),"Leave end is before start",IF(AND(ISNUMBER(F191),ISNUMBER(G191),ISNUMBER(H191),ISNUMBER(I191),F191&lt;I191,H191&lt;G191),"Work and leave hours overlap",IF(AND(E191&lt;&gt;"",WEEKDAY(A191)=7),"Saturday - administrator only","")))))))</f>
        <v/>
      </c>
      <c r="T191" s="36" t="n">
        <f aca="false">MONTH(A191)</f>
        <v>7</v>
      </c>
      <c r="U191" s="37" t="b">
        <f aca="false">OR(C191="Workday",C191="Eve")</f>
        <v>0</v>
      </c>
      <c r="V191" s="34" t="n">
        <f aca="false">IF(C191="Eve",Settings!$B$8,Settings!$B$7)</f>
        <v>0.6875</v>
      </c>
      <c r="W191" s="14" t="n">
        <f aca="false">IF(U191,(V191-Settings!$B$6)*24,0)</f>
        <v>0</v>
      </c>
    </row>
    <row r="192" customFormat="false" ht="15" hidden="false" customHeight="false" outlineLevel="0" collapsed="false">
      <c r="A192" s="29" t="n">
        <v>46208</v>
      </c>
      <c r="B192" s="30" t="str">
        <f aca="false">CHOOSE(WEEKDAY(A192),"Sun","Mon","Tue","Wed","Thu","Fri","Sat")</f>
        <v>Sun</v>
      </c>
      <c r="C192" s="30" t="str">
        <f aca="false">IF(IFERROR(INDEX(Holidays!$D$5:$D$60,MATCH(A192,Holidays!$A$5:$A$60,0)),"")="Holiday","Holiday",IF(WEEKDAY(A192)&gt;=6,"Weekend",IF(IFERROR(INDEX(Holidays!$D$5:$D$60,MATCH(A192,Holidays!$A$5:$A$60,0)),"")="Eve","Eve","Workday")))</f>
        <v>Workday</v>
      </c>
      <c r="D192" s="18" t="str">
        <f aca="false">IFERROR(INDEX(Holidays!$C$5:$C$60,MATCH(A192,Holidays!$A$5:$A$60,0)),"")</f>
        <v/>
      </c>
      <c r="E192" s="31"/>
      <c r="F192" s="32"/>
      <c r="G192" s="32"/>
      <c r="H192" s="32"/>
      <c r="I192" s="32"/>
      <c r="J192" s="31"/>
      <c r="K192" s="33" t="str">
        <f aca="false">IF(E192&lt;&gt;"",E192,IF(U192,"Present",IF(C192="Holiday","Holiday","Weekend")))</f>
        <v>Present</v>
      </c>
      <c r="L192" s="34" t="n">
        <f aca="false">IF(OR(K192="Present",K192="Manual Work",K192="Partial Vacation",K192="Partial Sick Leave"),IF(ISNUMBER(F192),F192,IF(AND(K192="Present",U192),Settings!$B$6,"")),"")</f>
        <v>0.333333333333333</v>
      </c>
      <c r="M192" s="34" t="n">
        <f aca="false">IF(OR(K192="Present",K192="Manual Work",K192="Partial Vacation",K192="Partial Sick Leave"),IF(ISNUMBER(G192),G192,IF(AND(K192="Present",U192),V192,"")),"")</f>
        <v>0.6875</v>
      </c>
      <c r="N192" s="14" t="n">
        <f aca="false">IF(AND(ISNUMBER(L192),ISNUMBER(M192)),MAX(0,(M192-L192)*24),0)</f>
        <v>8.5</v>
      </c>
      <c r="O192" s="14" t="n">
        <f aca="false">IF(NOT(U192),0,IF(K192="Vacation",IF(C192="Eve",Settings!$B$9*Settings!$B$11,W192),IF(K192="Partial Vacation",IF(AND(ISNUMBER(H192),ISNUMBER(I192)),MAX(0,(I192-H192)*24),0),0)))</f>
        <v>0</v>
      </c>
      <c r="P192" s="14" t="n">
        <f aca="false">IF(NOT(U192),0,IF(K192="Sick Leave",W192,IF(K192="Partial Sick Leave",IF(AND(ISNUMBER(H192),ISNUMBER(I192)),MAX(0,(I192-H192)*24),0),0)))</f>
        <v>0</v>
      </c>
      <c r="Q192" s="14" t="n">
        <f aca="false">IF(NOT(U192),0,IF(K192="Vacation",IF(C192="Eve",Settings!$B$11,1),IF(K192="Partial Vacation",O192/Settings!$B$9,0)))</f>
        <v>0</v>
      </c>
      <c r="R192" s="14" t="n">
        <f aca="false">IF(NOT(U192),0,IF(K192="Sick Leave",1,IF(K192="Partial Sick Leave",P192/Settings!$B$9,0)))</f>
        <v>0</v>
      </c>
      <c r="S192" s="35" t="str">
        <f aca="false">IF(AND(OR(E192="Vacation",E192="Sick Leave",E192="Partial Vacation",E192="Partial Sick Leave"),NOT(U192)),"Leave not allowed on this day",IF(AND(E192="Manual Work",OR(NOT(ISNUMBER(F192)),NOT(ISNUMBER(G192)))),"Enter start and end",IF(AND(OR(E192="Partial Vacation",E192="Partial Sick Leave"),OR(NOT(ISNUMBER(H192)),NOT(ISNUMBER(I192)))),"Enter leave from and to",IF(AND(ISNUMBER(F192),ISNUMBER(G192),G192&lt;=F192),"End is before start",IF(AND(ISNUMBER(H192),ISNUMBER(I192),I192&lt;=H192),"Leave end is before start",IF(AND(ISNUMBER(F192),ISNUMBER(G192),ISNUMBER(H192),ISNUMBER(I192),F192&lt;I192,H192&lt;G192),"Work and leave hours overlap",IF(AND(E192&lt;&gt;"",WEEKDAY(A192)=7),"Saturday - administrator only","")))))))</f>
        <v/>
      </c>
      <c r="T192" s="36" t="n">
        <f aca="false">MONTH(A192)</f>
        <v>7</v>
      </c>
      <c r="U192" s="37" t="b">
        <f aca="false">OR(C192="Workday",C192="Eve")</f>
        <v>1</v>
      </c>
      <c r="V192" s="34" t="n">
        <f aca="false">IF(C192="Eve",Settings!$B$8,Settings!$B$7)</f>
        <v>0.6875</v>
      </c>
      <c r="W192" s="14" t="n">
        <f aca="false">IF(U192,(V192-Settings!$B$6)*24,0)</f>
        <v>8.5</v>
      </c>
    </row>
    <row r="193" customFormat="false" ht="15" hidden="false" customHeight="false" outlineLevel="0" collapsed="false">
      <c r="A193" s="29" t="n">
        <v>46209</v>
      </c>
      <c r="B193" s="30" t="str">
        <f aca="false">CHOOSE(WEEKDAY(A193),"Sun","Mon","Tue","Wed","Thu","Fri","Sat")</f>
        <v>Mon</v>
      </c>
      <c r="C193" s="30" t="str">
        <f aca="false">IF(IFERROR(INDEX(Holidays!$D$5:$D$60,MATCH(A193,Holidays!$A$5:$A$60,0)),"")="Holiday","Holiday",IF(WEEKDAY(A193)&gt;=6,"Weekend",IF(IFERROR(INDEX(Holidays!$D$5:$D$60,MATCH(A193,Holidays!$A$5:$A$60,0)),"")="Eve","Eve","Workday")))</f>
        <v>Workday</v>
      </c>
      <c r="D193" s="18" t="str">
        <f aca="false">IFERROR(INDEX(Holidays!$C$5:$C$60,MATCH(A193,Holidays!$A$5:$A$60,0)),"")</f>
        <v/>
      </c>
      <c r="E193" s="31"/>
      <c r="F193" s="32"/>
      <c r="G193" s="32"/>
      <c r="H193" s="32"/>
      <c r="I193" s="32"/>
      <c r="J193" s="31"/>
      <c r="K193" s="33" t="str">
        <f aca="false">IF(E193&lt;&gt;"",E193,IF(U193,"Present",IF(C193="Holiday","Holiday","Weekend")))</f>
        <v>Present</v>
      </c>
      <c r="L193" s="34" t="n">
        <f aca="false">IF(OR(K193="Present",K193="Manual Work",K193="Partial Vacation",K193="Partial Sick Leave"),IF(ISNUMBER(F193),F193,IF(AND(K193="Present",U193),Settings!$B$6,"")),"")</f>
        <v>0.333333333333333</v>
      </c>
      <c r="M193" s="34" t="n">
        <f aca="false">IF(OR(K193="Present",K193="Manual Work",K193="Partial Vacation",K193="Partial Sick Leave"),IF(ISNUMBER(G193),G193,IF(AND(K193="Present",U193),V193,"")),"")</f>
        <v>0.6875</v>
      </c>
      <c r="N193" s="14" t="n">
        <f aca="false">IF(AND(ISNUMBER(L193),ISNUMBER(M193)),MAX(0,(M193-L193)*24),0)</f>
        <v>8.5</v>
      </c>
      <c r="O193" s="14" t="n">
        <f aca="false">IF(NOT(U193),0,IF(K193="Vacation",IF(C193="Eve",Settings!$B$9*Settings!$B$11,W193),IF(K193="Partial Vacation",IF(AND(ISNUMBER(H193),ISNUMBER(I193)),MAX(0,(I193-H193)*24),0),0)))</f>
        <v>0</v>
      </c>
      <c r="P193" s="14" t="n">
        <f aca="false">IF(NOT(U193),0,IF(K193="Sick Leave",W193,IF(K193="Partial Sick Leave",IF(AND(ISNUMBER(H193),ISNUMBER(I193)),MAX(0,(I193-H193)*24),0),0)))</f>
        <v>0</v>
      </c>
      <c r="Q193" s="14" t="n">
        <f aca="false">IF(NOT(U193),0,IF(K193="Vacation",IF(C193="Eve",Settings!$B$11,1),IF(K193="Partial Vacation",O193/Settings!$B$9,0)))</f>
        <v>0</v>
      </c>
      <c r="R193" s="14" t="n">
        <f aca="false">IF(NOT(U193),0,IF(K193="Sick Leave",1,IF(K193="Partial Sick Leave",P193/Settings!$B$9,0)))</f>
        <v>0</v>
      </c>
      <c r="S193" s="35" t="str">
        <f aca="false">IF(AND(OR(E193="Vacation",E193="Sick Leave",E193="Partial Vacation",E193="Partial Sick Leave"),NOT(U193)),"Leave not allowed on this day",IF(AND(E193="Manual Work",OR(NOT(ISNUMBER(F193)),NOT(ISNUMBER(G193)))),"Enter start and end",IF(AND(OR(E193="Partial Vacation",E193="Partial Sick Leave"),OR(NOT(ISNUMBER(H193)),NOT(ISNUMBER(I193)))),"Enter leave from and to",IF(AND(ISNUMBER(F193),ISNUMBER(G193),G193&lt;=F193),"End is before start",IF(AND(ISNUMBER(H193),ISNUMBER(I193),I193&lt;=H193),"Leave end is before start",IF(AND(ISNUMBER(F193),ISNUMBER(G193),ISNUMBER(H193),ISNUMBER(I193),F193&lt;I193,H193&lt;G193),"Work and leave hours overlap",IF(AND(E193&lt;&gt;"",WEEKDAY(A193)=7),"Saturday - administrator only","")))))))</f>
        <v/>
      </c>
      <c r="T193" s="36" t="n">
        <f aca="false">MONTH(A193)</f>
        <v>7</v>
      </c>
      <c r="U193" s="37" t="b">
        <f aca="false">OR(C193="Workday",C193="Eve")</f>
        <v>1</v>
      </c>
      <c r="V193" s="34" t="n">
        <f aca="false">IF(C193="Eve",Settings!$B$8,Settings!$B$7)</f>
        <v>0.6875</v>
      </c>
      <c r="W193" s="14" t="n">
        <f aca="false">IF(U193,(V193-Settings!$B$6)*24,0)</f>
        <v>8.5</v>
      </c>
    </row>
    <row r="194" customFormat="false" ht="15" hidden="false" customHeight="false" outlineLevel="0" collapsed="false">
      <c r="A194" s="29" t="n">
        <v>46210</v>
      </c>
      <c r="B194" s="30" t="str">
        <f aca="false">CHOOSE(WEEKDAY(A194),"Sun","Mon","Tue","Wed","Thu","Fri","Sat")</f>
        <v>Tue</v>
      </c>
      <c r="C194" s="30" t="str">
        <f aca="false">IF(IFERROR(INDEX(Holidays!$D$5:$D$60,MATCH(A194,Holidays!$A$5:$A$60,0)),"")="Holiday","Holiday",IF(WEEKDAY(A194)&gt;=6,"Weekend",IF(IFERROR(INDEX(Holidays!$D$5:$D$60,MATCH(A194,Holidays!$A$5:$A$60,0)),"")="Eve","Eve","Workday")))</f>
        <v>Workday</v>
      </c>
      <c r="D194" s="18" t="str">
        <f aca="false">IFERROR(INDEX(Holidays!$C$5:$C$60,MATCH(A194,Holidays!$A$5:$A$60,0)),"")</f>
        <v/>
      </c>
      <c r="E194" s="31"/>
      <c r="F194" s="32"/>
      <c r="G194" s="32"/>
      <c r="H194" s="32"/>
      <c r="I194" s="32"/>
      <c r="J194" s="31"/>
      <c r="K194" s="33" t="str">
        <f aca="false">IF(E194&lt;&gt;"",E194,IF(U194,"Present",IF(C194="Holiday","Holiday","Weekend")))</f>
        <v>Present</v>
      </c>
      <c r="L194" s="34" t="n">
        <f aca="false">IF(OR(K194="Present",K194="Manual Work",K194="Partial Vacation",K194="Partial Sick Leave"),IF(ISNUMBER(F194),F194,IF(AND(K194="Present",U194),Settings!$B$6,"")),"")</f>
        <v>0.333333333333333</v>
      </c>
      <c r="M194" s="34" t="n">
        <f aca="false">IF(OR(K194="Present",K194="Manual Work",K194="Partial Vacation",K194="Partial Sick Leave"),IF(ISNUMBER(G194),G194,IF(AND(K194="Present",U194),V194,"")),"")</f>
        <v>0.6875</v>
      </c>
      <c r="N194" s="14" t="n">
        <f aca="false">IF(AND(ISNUMBER(L194),ISNUMBER(M194)),MAX(0,(M194-L194)*24),0)</f>
        <v>8.5</v>
      </c>
      <c r="O194" s="14" t="n">
        <f aca="false">IF(NOT(U194),0,IF(K194="Vacation",IF(C194="Eve",Settings!$B$9*Settings!$B$11,W194),IF(K194="Partial Vacation",IF(AND(ISNUMBER(H194),ISNUMBER(I194)),MAX(0,(I194-H194)*24),0),0)))</f>
        <v>0</v>
      </c>
      <c r="P194" s="14" t="n">
        <f aca="false">IF(NOT(U194),0,IF(K194="Sick Leave",W194,IF(K194="Partial Sick Leave",IF(AND(ISNUMBER(H194),ISNUMBER(I194)),MAX(0,(I194-H194)*24),0),0)))</f>
        <v>0</v>
      </c>
      <c r="Q194" s="14" t="n">
        <f aca="false">IF(NOT(U194),0,IF(K194="Vacation",IF(C194="Eve",Settings!$B$11,1),IF(K194="Partial Vacation",O194/Settings!$B$9,0)))</f>
        <v>0</v>
      </c>
      <c r="R194" s="14" t="n">
        <f aca="false">IF(NOT(U194),0,IF(K194="Sick Leave",1,IF(K194="Partial Sick Leave",P194/Settings!$B$9,0)))</f>
        <v>0</v>
      </c>
      <c r="S194" s="35" t="str">
        <f aca="false">IF(AND(OR(E194="Vacation",E194="Sick Leave",E194="Partial Vacation",E194="Partial Sick Leave"),NOT(U194)),"Leave not allowed on this day",IF(AND(E194="Manual Work",OR(NOT(ISNUMBER(F194)),NOT(ISNUMBER(G194)))),"Enter start and end",IF(AND(OR(E194="Partial Vacation",E194="Partial Sick Leave"),OR(NOT(ISNUMBER(H194)),NOT(ISNUMBER(I194)))),"Enter leave from and to",IF(AND(ISNUMBER(F194),ISNUMBER(G194),G194&lt;=F194),"End is before start",IF(AND(ISNUMBER(H194),ISNUMBER(I194),I194&lt;=H194),"Leave end is before start",IF(AND(ISNUMBER(F194),ISNUMBER(G194),ISNUMBER(H194),ISNUMBER(I194),F194&lt;I194,H194&lt;G194),"Work and leave hours overlap",IF(AND(E194&lt;&gt;"",WEEKDAY(A194)=7),"Saturday - administrator only","")))))))</f>
        <v/>
      </c>
      <c r="T194" s="36" t="n">
        <f aca="false">MONTH(A194)</f>
        <v>7</v>
      </c>
      <c r="U194" s="37" t="b">
        <f aca="false">OR(C194="Workday",C194="Eve")</f>
        <v>1</v>
      </c>
      <c r="V194" s="34" t="n">
        <f aca="false">IF(C194="Eve",Settings!$B$8,Settings!$B$7)</f>
        <v>0.6875</v>
      </c>
      <c r="W194" s="14" t="n">
        <f aca="false">IF(U194,(V194-Settings!$B$6)*24,0)</f>
        <v>8.5</v>
      </c>
    </row>
    <row r="195" customFormat="false" ht="15" hidden="false" customHeight="false" outlineLevel="0" collapsed="false">
      <c r="A195" s="29" t="n">
        <v>46211</v>
      </c>
      <c r="B195" s="30" t="str">
        <f aca="false">CHOOSE(WEEKDAY(A195),"Sun","Mon","Tue","Wed","Thu","Fri","Sat")</f>
        <v>Wed</v>
      </c>
      <c r="C195" s="30" t="str">
        <f aca="false">IF(IFERROR(INDEX(Holidays!$D$5:$D$60,MATCH(A195,Holidays!$A$5:$A$60,0)),"")="Holiday","Holiday",IF(WEEKDAY(A195)&gt;=6,"Weekend",IF(IFERROR(INDEX(Holidays!$D$5:$D$60,MATCH(A195,Holidays!$A$5:$A$60,0)),"")="Eve","Eve","Workday")))</f>
        <v>Workday</v>
      </c>
      <c r="D195" s="18" t="str">
        <f aca="false">IFERROR(INDEX(Holidays!$C$5:$C$60,MATCH(A195,Holidays!$A$5:$A$60,0)),"")</f>
        <v/>
      </c>
      <c r="E195" s="31"/>
      <c r="F195" s="32"/>
      <c r="G195" s="32"/>
      <c r="H195" s="32"/>
      <c r="I195" s="32"/>
      <c r="J195" s="31"/>
      <c r="K195" s="33" t="str">
        <f aca="false">IF(E195&lt;&gt;"",E195,IF(U195,"Present",IF(C195="Holiday","Holiday","Weekend")))</f>
        <v>Present</v>
      </c>
      <c r="L195" s="34" t="n">
        <f aca="false">IF(OR(K195="Present",K195="Manual Work",K195="Partial Vacation",K195="Partial Sick Leave"),IF(ISNUMBER(F195),F195,IF(AND(K195="Present",U195),Settings!$B$6,"")),"")</f>
        <v>0.333333333333333</v>
      </c>
      <c r="M195" s="34" t="n">
        <f aca="false">IF(OR(K195="Present",K195="Manual Work",K195="Partial Vacation",K195="Partial Sick Leave"),IF(ISNUMBER(G195),G195,IF(AND(K195="Present",U195),V195,"")),"")</f>
        <v>0.6875</v>
      </c>
      <c r="N195" s="14" t="n">
        <f aca="false">IF(AND(ISNUMBER(L195),ISNUMBER(M195)),MAX(0,(M195-L195)*24),0)</f>
        <v>8.5</v>
      </c>
      <c r="O195" s="14" t="n">
        <f aca="false">IF(NOT(U195),0,IF(K195="Vacation",IF(C195="Eve",Settings!$B$9*Settings!$B$11,W195),IF(K195="Partial Vacation",IF(AND(ISNUMBER(H195),ISNUMBER(I195)),MAX(0,(I195-H195)*24),0),0)))</f>
        <v>0</v>
      </c>
      <c r="P195" s="14" t="n">
        <f aca="false">IF(NOT(U195),0,IF(K195="Sick Leave",W195,IF(K195="Partial Sick Leave",IF(AND(ISNUMBER(H195),ISNUMBER(I195)),MAX(0,(I195-H195)*24),0),0)))</f>
        <v>0</v>
      </c>
      <c r="Q195" s="14" t="n">
        <f aca="false">IF(NOT(U195),0,IF(K195="Vacation",IF(C195="Eve",Settings!$B$11,1),IF(K195="Partial Vacation",O195/Settings!$B$9,0)))</f>
        <v>0</v>
      </c>
      <c r="R195" s="14" t="n">
        <f aca="false">IF(NOT(U195),0,IF(K195="Sick Leave",1,IF(K195="Partial Sick Leave",P195/Settings!$B$9,0)))</f>
        <v>0</v>
      </c>
      <c r="S195" s="35" t="str">
        <f aca="false">IF(AND(OR(E195="Vacation",E195="Sick Leave",E195="Partial Vacation",E195="Partial Sick Leave"),NOT(U195)),"Leave not allowed on this day",IF(AND(E195="Manual Work",OR(NOT(ISNUMBER(F195)),NOT(ISNUMBER(G195)))),"Enter start and end",IF(AND(OR(E195="Partial Vacation",E195="Partial Sick Leave"),OR(NOT(ISNUMBER(H195)),NOT(ISNUMBER(I195)))),"Enter leave from and to",IF(AND(ISNUMBER(F195),ISNUMBER(G195),G195&lt;=F195),"End is before start",IF(AND(ISNUMBER(H195),ISNUMBER(I195),I195&lt;=H195),"Leave end is before start",IF(AND(ISNUMBER(F195),ISNUMBER(G195),ISNUMBER(H195),ISNUMBER(I195),F195&lt;I195,H195&lt;G195),"Work and leave hours overlap",IF(AND(E195&lt;&gt;"",WEEKDAY(A195)=7),"Saturday - administrator only","")))))))</f>
        <v/>
      </c>
      <c r="T195" s="36" t="n">
        <f aca="false">MONTH(A195)</f>
        <v>7</v>
      </c>
      <c r="U195" s="37" t="b">
        <f aca="false">OR(C195="Workday",C195="Eve")</f>
        <v>1</v>
      </c>
      <c r="V195" s="34" t="n">
        <f aca="false">IF(C195="Eve",Settings!$B$8,Settings!$B$7)</f>
        <v>0.6875</v>
      </c>
      <c r="W195" s="14" t="n">
        <f aca="false">IF(U195,(V195-Settings!$B$6)*24,0)</f>
        <v>8.5</v>
      </c>
    </row>
    <row r="196" customFormat="false" ht="15" hidden="false" customHeight="false" outlineLevel="0" collapsed="false">
      <c r="A196" s="29" t="n">
        <v>46212</v>
      </c>
      <c r="B196" s="30" t="str">
        <f aca="false">CHOOSE(WEEKDAY(A196),"Sun","Mon","Tue","Wed","Thu","Fri","Sat")</f>
        <v>Thu</v>
      </c>
      <c r="C196" s="30" t="str">
        <f aca="false">IF(IFERROR(INDEX(Holidays!$D$5:$D$60,MATCH(A196,Holidays!$A$5:$A$60,0)),"")="Holiday","Holiday",IF(WEEKDAY(A196)&gt;=6,"Weekend",IF(IFERROR(INDEX(Holidays!$D$5:$D$60,MATCH(A196,Holidays!$A$5:$A$60,0)),"")="Eve","Eve","Workday")))</f>
        <v>Workday</v>
      </c>
      <c r="D196" s="18" t="str">
        <f aca="false">IFERROR(INDEX(Holidays!$C$5:$C$60,MATCH(A196,Holidays!$A$5:$A$60,0)),"")</f>
        <v/>
      </c>
      <c r="E196" s="31"/>
      <c r="F196" s="32"/>
      <c r="G196" s="32"/>
      <c r="H196" s="32"/>
      <c r="I196" s="32"/>
      <c r="J196" s="31"/>
      <c r="K196" s="33" t="str">
        <f aca="false">IF(E196&lt;&gt;"",E196,IF(U196,"Present",IF(C196="Holiday","Holiday","Weekend")))</f>
        <v>Present</v>
      </c>
      <c r="L196" s="34" t="n">
        <f aca="false">IF(OR(K196="Present",K196="Manual Work",K196="Partial Vacation",K196="Partial Sick Leave"),IF(ISNUMBER(F196),F196,IF(AND(K196="Present",U196),Settings!$B$6,"")),"")</f>
        <v>0.333333333333333</v>
      </c>
      <c r="M196" s="34" t="n">
        <f aca="false">IF(OR(K196="Present",K196="Manual Work",K196="Partial Vacation",K196="Partial Sick Leave"),IF(ISNUMBER(G196),G196,IF(AND(K196="Present",U196),V196,"")),"")</f>
        <v>0.6875</v>
      </c>
      <c r="N196" s="14" t="n">
        <f aca="false">IF(AND(ISNUMBER(L196),ISNUMBER(M196)),MAX(0,(M196-L196)*24),0)</f>
        <v>8.5</v>
      </c>
      <c r="O196" s="14" t="n">
        <f aca="false">IF(NOT(U196),0,IF(K196="Vacation",IF(C196="Eve",Settings!$B$9*Settings!$B$11,W196),IF(K196="Partial Vacation",IF(AND(ISNUMBER(H196),ISNUMBER(I196)),MAX(0,(I196-H196)*24),0),0)))</f>
        <v>0</v>
      </c>
      <c r="P196" s="14" t="n">
        <f aca="false">IF(NOT(U196),0,IF(K196="Sick Leave",W196,IF(K196="Partial Sick Leave",IF(AND(ISNUMBER(H196),ISNUMBER(I196)),MAX(0,(I196-H196)*24),0),0)))</f>
        <v>0</v>
      </c>
      <c r="Q196" s="14" t="n">
        <f aca="false">IF(NOT(U196),0,IF(K196="Vacation",IF(C196="Eve",Settings!$B$11,1),IF(K196="Partial Vacation",O196/Settings!$B$9,0)))</f>
        <v>0</v>
      </c>
      <c r="R196" s="14" t="n">
        <f aca="false">IF(NOT(U196),0,IF(K196="Sick Leave",1,IF(K196="Partial Sick Leave",P196/Settings!$B$9,0)))</f>
        <v>0</v>
      </c>
      <c r="S196" s="35" t="str">
        <f aca="false">IF(AND(OR(E196="Vacation",E196="Sick Leave",E196="Partial Vacation",E196="Partial Sick Leave"),NOT(U196)),"Leave not allowed on this day",IF(AND(E196="Manual Work",OR(NOT(ISNUMBER(F196)),NOT(ISNUMBER(G196)))),"Enter start and end",IF(AND(OR(E196="Partial Vacation",E196="Partial Sick Leave"),OR(NOT(ISNUMBER(H196)),NOT(ISNUMBER(I196)))),"Enter leave from and to",IF(AND(ISNUMBER(F196),ISNUMBER(G196),G196&lt;=F196),"End is before start",IF(AND(ISNUMBER(H196),ISNUMBER(I196),I196&lt;=H196),"Leave end is before start",IF(AND(ISNUMBER(F196),ISNUMBER(G196),ISNUMBER(H196),ISNUMBER(I196),F196&lt;I196,H196&lt;G196),"Work and leave hours overlap",IF(AND(E196&lt;&gt;"",WEEKDAY(A196)=7),"Saturday - administrator only","")))))))</f>
        <v/>
      </c>
      <c r="T196" s="36" t="n">
        <f aca="false">MONTH(A196)</f>
        <v>7</v>
      </c>
      <c r="U196" s="37" t="b">
        <f aca="false">OR(C196="Workday",C196="Eve")</f>
        <v>1</v>
      </c>
      <c r="V196" s="34" t="n">
        <f aca="false">IF(C196="Eve",Settings!$B$8,Settings!$B$7)</f>
        <v>0.6875</v>
      </c>
      <c r="W196" s="14" t="n">
        <f aca="false">IF(U196,(V196-Settings!$B$6)*24,0)</f>
        <v>8.5</v>
      </c>
    </row>
    <row r="197" customFormat="false" ht="15" hidden="false" customHeight="false" outlineLevel="0" collapsed="false">
      <c r="A197" s="29" t="n">
        <v>46213</v>
      </c>
      <c r="B197" s="30" t="str">
        <f aca="false">CHOOSE(WEEKDAY(A197),"Sun","Mon","Tue","Wed","Thu","Fri","Sat")</f>
        <v>Fri</v>
      </c>
      <c r="C197" s="30" t="str">
        <f aca="false">IF(IFERROR(INDEX(Holidays!$D$5:$D$60,MATCH(A197,Holidays!$A$5:$A$60,0)),"")="Holiday","Holiday",IF(WEEKDAY(A197)&gt;=6,"Weekend",IF(IFERROR(INDEX(Holidays!$D$5:$D$60,MATCH(A197,Holidays!$A$5:$A$60,0)),"")="Eve","Eve","Workday")))</f>
        <v>Weekend</v>
      </c>
      <c r="D197" s="18" t="str">
        <f aca="false">IFERROR(INDEX(Holidays!$C$5:$C$60,MATCH(A197,Holidays!$A$5:$A$60,0)),"")</f>
        <v/>
      </c>
      <c r="E197" s="31"/>
      <c r="F197" s="32"/>
      <c r="G197" s="32"/>
      <c r="H197" s="32"/>
      <c r="I197" s="32"/>
      <c r="J197" s="31"/>
      <c r="K197" s="33" t="str">
        <f aca="false">IF(E197&lt;&gt;"",E197,IF(U197,"Present",IF(C197="Holiday","Holiday","Weekend")))</f>
        <v>Weekend</v>
      </c>
      <c r="L197" s="34" t="str">
        <f aca="false">IF(OR(K197="Present",K197="Manual Work",K197="Partial Vacation",K197="Partial Sick Leave"),IF(ISNUMBER(F197),F197,IF(AND(K197="Present",U197),Settings!$B$6,"")),"")</f>
        <v/>
      </c>
      <c r="M197" s="34" t="str">
        <f aca="false">IF(OR(K197="Present",K197="Manual Work",K197="Partial Vacation",K197="Partial Sick Leave"),IF(ISNUMBER(G197),G197,IF(AND(K197="Present",U197),V197,"")),"")</f>
        <v/>
      </c>
      <c r="N197" s="14" t="n">
        <f aca="false">IF(AND(ISNUMBER(L197),ISNUMBER(M197)),MAX(0,(M197-L197)*24),0)</f>
        <v>0</v>
      </c>
      <c r="O197" s="14" t="n">
        <f aca="false">IF(NOT(U197),0,IF(K197="Vacation",IF(C197="Eve",Settings!$B$9*Settings!$B$11,W197),IF(K197="Partial Vacation",IF(AND(ISNUMBER(H197),ISNUMBER(I197)),MAX(0,(I197-H197)*24),0),0)))</f>
        <v>0</v>
      </c>
      <c r="P197" s="14" t="n">
        <f aca="false">IF(NOT(U197),0,IF(K197="Sick Leave",W197,IF(K197="Partial Sick Leave",IF(AND(ISNUMBER(H197),ISNUMBER(I197)),MAX(0,(I197-H197)*24),0),0)))</f>
        <v>0</v>
      </c>
      <c r="Q197" s="14" t="n">
        <f aca="false">IF(NOT(U197),0,IF(K197="Vacation",IF(C197="Eve",Settings!$B$11,1),IF(K197="Partial Vacation",O197/Settings!$B$9,0)))</f>
        <v>0</v>
      </c>
      <c r="R197" s="14" t="n">
        <f aca="false">IF(NOT(U197),0,IF(K197="Sick Leave",1,IF(K197="Partial Sick Leave",P197/Settings!$B$9,0)))</f>
        <v>0</v>
      </c>
      <c r="S197" s="35" t="str">
        <f aca="false">IF(AND(OR(E197="Vacation",E197="Sick Leave",E197="Partial Vacation",E197="Partial Sick Leave"),NOT(U197)),"Leave not allowed on this day",IF(AND(E197="Manual Work",OR(NOT(ISNUMBER(F197)),NOT(ISNUMBER(G197)))),"Enter start and end",IF(AND(OR(E197="Partial Vacation",E197="Partial Sick Leave"),OR(NOT(ISNUMBER(H197)),NOT(ISNUMBER(I197)))),"Enter leave from and to",IF(AND(ISNUMBER(F197),ISNUMBER(G197),G197&lt;=F197),"End is before start",IF(AND(ISNUMBER(H197),ISNUMBER(I197),I197&lt;=H197),"Leave end is before start",IF(AND(ISNUMBER(F197),ISNUMBER(G197),ISNUMBER(H197),ISNUMBER(I197),F197&lt;I197,H197&lt;G197),"Work and leave hours overlap",IF(AND(E197&lt;&gt;"",WEEKDAY(A197)=7),"Saturday - administrator only","")))))))</f>
        <v/>
      </c>
      <c r="T197" s="36" t="n">
        <f aca="false">MONTH(A197)</f>
        <v>7</v>
      </c>
      <c r="U197" s="37" t="b">
        <f aca="false">OR(C197="Workday",C197="Eve")</f>
        <v>0</v>
      </c>
      <c r="V197" s="34" t="n">
        <f aca="false">IF(C197="Eve",Settings!$B$8,Settings!$B$7)</f>
        <v>0.6875</v>
      </c>
      <c r="W197" s="14" t="n">
        <f aca="false">IF(U197,(V197-Settings!$B$6)*24,0)</f>
        <v>0</v>
      </c>
    </row>
    <row r="198" customFormat="false" ht="15" hidden="false" customHeight="false" outlineLevel="0" collapsed="false">
      <c r="A198" s="29" t="n">
        <v>46214</v>
      </c>
      <c r="B198" s="30" t="str">
        <f aca="false">CHOOSE(WEEKDAY(A198),"Sun","Mon","Tue","Wed","Thu","Fri","Sat")</f>
        <v>Sat</v>
      </c>
      <c r="C198" s="30" t="str">
        <f aca="false">IF(IFERROR(INDEX(Holidays!$D$5:$D$60,MATCH(A198,Holidays!$A$5:$A$60,0)),"")="Holiday","Holiday",IF(WEEKDAY(A198)&gt;=6,"Weekend",IF(IFERROR(INDEX(Holidays!$D$5:$D$60,MATCH(A198,Holidays!$A$5:$A$60,0)),"")="Eve","Eve","Workday")))</f>
        <v>Weekend</v>
      </c>
      <c r="D198" s="18" t="str">
        <f aca="false">IFERROR(INDEX(Holidays!$C$5:$C$60,MATCH(A198,Holidays!$A$5:$A$60,0)),"")</f>
        <v/>
      </c>
      <c r="E198" s="31"/>
      <c r="F198" s="32"/>
      <c r="G198" s="32"/>
      <c r="H198" s="32"/>
      <c r="I198" s="32"/>
      <c r="J198" s="31"/>
      <c r="K198" s="33" t="str">
        <f aca="false">IF(E198&lt;&gt;"",E198,IF(U198,"Present",IF(C198="Holiday","Holiday","Weekend")))</f>
        <v>Weekend</v>
      </c>
      <c r="L198" s="34" t="str">
        <f aca="false">IF(OR(K198="Present",K198="Manual Work",K198="Partial Vacation",K198="Partial Sick Leave"),IF(ISNUMBER(F198),F198,IF(AND(K198="Present",U198),Settings!$B$6,"")),"")</f>
        <v/>
      </c>
      <c r="M198" s="34" t="str">
        <f aca="false">IF(OR(K198="Present",K198="Manual Work",K198="Partial Vacation",K198="Partial Sick Leave"),IF(ISNUMBER(G198),G198,IF(AND(K198="Present",U198),V198,"")),"")</f>
        <v/>
      </c>
      <c r="N198" s="14" t="n">
        <f aca="false">IF(AND(ISNUMBER(L198),ISNUMBER(M198)),MAX(0,(M198-L198)*24),0)</f>
        <v>0</v>
      </c>
      <c r="O198" s="14" t="n">
        <f aca="false">IF(NOT(U198),0,IF(K198="Vacation",IF(C198="Eve",Settings!$B$9*Settings!$B$11,W198),IF(K198="Partial Vacation",IF(AND(ISNUMBER(H198),ISNUMBER(I198)),MAX(0,(I198-H198)*24),0),0)))</f>
        <v>0</v>
      </c>
      <c r="P198" s="14" t="n">
        <f aca="false">IF(NOT(U198),0,IF(K198="Sick Leave",W198,IF(K198="Partial Sick Leave",IF(AND(ISNUMBER(H198),ISNUMBER(I198)),MAX(0,(I198-H198)*24),0),0)))</f>
        <v>0</v>
      </c>
      <c r="Q198" s="14" t="n">
        <f aca="false">IF(NOT(U198),0,IF(K198="Vacation",IF(C198="Eve",Settings!$B$11,1),IF(K198="Partial Vacation",O198/Settings!$B$9,0)))</f>
        <v>0</v>
      </c>
      <c r="R198" s="14" t="n">
        <f aca="false">IF(NOT(U198),0,IF(K198="Sick Leave",1,IF(K198="Partial Sick Leave",P198/Settings!$B$9,0)))</f>
        <v>0</v>
      </c>
      <c r="S198" s="35" t="str">
        <f aca="false">IF(AND(OR(E198="Vacation",E198="Sick Leave",E198="Partial Vacation",E198="Partial Sick Leave"),NOT(U198)),"Leave not allowed on this day",IF(AND(E198="Manual Work",OR(NOT(ISNUMBER(F198)),NOT(ISNUMBER(G198)))),"Enter start and end",IF(AND(OR(E198="Partial Vacation",E198="Partial Sick Leave"),OR(NOT(ISNUMBER(H198)),NOT(ISNUMBER(I198)))),"Enter leave from and to",IF(AND(ISNUMBER(F198),ISNUMBER(G198),G198&lt;=F198),"End is before start",IF(AND(ISNUMBER(H198),ISNUMBER(I198),I198&lt;=H198),"Leave end is before start",IF(AND(ISNUMBER(F198),ISNUMBER(G198),ISNUMBER(H198),ISNUMBER(I198),F198&lt;I198,H198&lt;G198),"Work and leave hours overlap",IF(AND(E198&lt;&gt;"",WEEKDAY(A198)=7),"Saturday - administrator only","")))))))</f>
        <v/>
      </c>
      <c r="T198" s="36" t="n">
        <f aca="false">MONTH(A198)</f>
        <v>7</v>
      </c>
      <c r="U198" s="37" t="b">
        <f aca="false">OR(C198="Workday",C198="Eve")</f>
        <v>0</v>
      </c>
      <c r="V198" s="34" t="n">
        <f aca="false">IF(C198="Eve",Settings!$B$8,Settings!$B$7)</f>
        <v>0.6875</v>
      </c>
      <c r="W198" s="14" t="n">
        <f aca="false">IF(U198,(V198-Settings!$B$6)*24,0)</f>
        <v>0</v>
      </c>
    </row>
    <row r="199" customFormat="false" ht="15" hidden="false" customHeight="false" outlineLevel="0" collapsed="false">
      <c r="A199" s="29" t="n">
        <v>46215</v>
      </c>
      <c r="B199" s="30" t="str">
        <f aca="false">CHOOSE(WEEKDAY(A199),"Sun","Mon","Tue","Wed","Thu","Fri","Sat")</f>
        <v>Sun</v>
      </c>
      <c r="C199" s="30" t="str">
        <f aca="false">IF(IFERROR(INDEX(Holidays!$D$5:$D$60,MATCH(A199,Holidays!$A$5:$A$60,0)),"")="Holiday","Holiday",IF(WEEKDAY(A199)&gt;=6,"Weekend",IF(IFERROR(INDEX(Holidays!$D$5:$D$60,MATCH(A199,Holidays!$A$5:$A$60,0)),"")="Eve","Eve","Workday")))</f>
        <v>Workday</v>
      </c>
      <c r="D199" s="18" t="str">
        <f aca="false">IFERROR(INDEX(Holidays!$C$5:$C$60,MATCH(A199,Holidays!$A$5:$A$60,0)),"")</f>
        <v/>
      </c>
      <c r="E199" s="31"/>
      <c r="F199" s="32"/>
      <c r="G199" s="32"/>
      <c r="H199" s="32"/>
      <c r="I199" s="32"/>
      <c r="J199" s="31"/>
      <c r="K199" s="33" t="str">
        <f aca="false">IF(E199&lt;&gt;"",E199,IF(U199,"Present",IF(C199="Holiday","Holiday","Weekend")))</f>
        <v>Present</v>
      </c>
      <c r="L199" s="34" t="n">
        <f aca="false">IF(OR(K199="Present",K199="Manual Work",K199="Partial Vacation",K199="Partial Sick Leave"),IF(ISNUMBER(F199),F199,IF(AND(K199="Present",U199),Settings!$B$6,"")),"")</f>
        <v>0.333333333333333</v>
      </c>
      <c r="M199" s="34" t="n">
        <f aca="false">IF(OR(K199="Present",K199="Manual Work",K199="Partial Vacation",K199="Partial Sick Leave"),IF(ISNUMBER(G199),G199,IF(AND(K199="Present",U199),V199,"")),"")</f>
        <v>0.6875</v>
      </c>
      <c r="N199" s="14" t="n">
        <f aca="false">IF(AND(ISNUMBER(L199),ISNUMBER(M199)),MAX(0,(M199-L199)*24),0)</f>
        <v>8.5</v>
      </c>
      <c r="O199" s="14" t="n">
        <f aca="false">IF(NOT(U199),0,IF(K199="Vacation",IF(C199="Eve",Settings!$B$9*Settings!$B$11,W199),IF(K199="Partial Vacation",IF(AND(ISNUMBER(H199),ISNUMBER(I199)),MAX(0,(I199-H199)*24),0),0)))</f>
        <v>0</v>
      </c>
      <c r="P199" s="14" t="n">
        <f aca="false">IF(NOT(U199),0,IF(K199="Sick Leave",W199,IF(K199="Partial Sick Leave",IF(AND(ISNUMBER(H199),ISNUMBER(I199)),MAX(0,(I199-H199)*24),0),0)))</f>
        <v>0</v>
      </c>
      <c r="Q199" s="14" t="n">
        <f aca="false">IF(NOT(U199),0,IF(K199="Vacation",IF(C199="Eve",Settings!$B$11,1),IF(K199="Partial Vacation",O199/Settings!$B$9,0)))</f>
        <v>0</v>
      </c>
      <c r="R199" s="14" t="n">
        <f aca="false">IF(NOT(U199),0,IF(K199="Sick Leave",1,IF(K199="Partial Sick Leave",P199/Settings!$B$9,0)))</f>
        <v>0</v>
      </c>
      <c r="S199" s="35" t="str">
        <f aca="false">IF(AND(OR(E199="Vacation",E199="Sick Leave",E199="Partial Vacation",E199="Partial Sick Leave"),NOT(U199)),"Leave not allowed on this day",IF(AND(E199="Manual Work",OR(NOT(ISNUMBER(F199)),NOT(ISNUMBER(G199)))),"Enter start and end",IF(AND(OR(E199="Partial Vacation",E199="Partial Sick Leave"),OR(NOT(ISNUMBER(H199)),NOT(ISNUMBER(I199)))),"Enter leave from and to",IF(AND(ISNUMBER(F199),ISNUMBER(G199),G199&lt;=F199),"End is before start",IF(AND(ISNUMBER(H199),ISNUMBER(I199),I199&lt;=H199),"Leave end is before start",IF(AND(ISNUMBER(F199),ISNUMBER(G199),ISNUMBER(H199),ISNUMBER(I199),F199&lt;I199,H199&lt;G199),"Work and leave hours overlap",IF(AND(E199&lt;&gt;"",WEEKDAY(A199)=7),"Saturday - administrator only","")))))))</f>
        <v/>
      </c>
      <c r="T199" s="36" t="n">
        <f aca="false">MONTH(A199)</f>
        <v>7</v>
      </c>
      <c r="U199" s="37" t="b">
        <f aca="false">OR(C199="Workday",C199="Eve")</f>
        <v>1</v>
      </c>
      <c r="V199" s="34" t="n">
        <f aca="false">IF(C199="Eve",Settings!$B$8,Settings!$B$7)</f>
        <v>0.6875</v>
      </c>
      <c r="W199" s="14" t="n">
        <f aca="false">IF(U199,(V199-Settings!$B$6)*24,0)</f>
        <v>8.5</v>
      </c>
    </row>
    <row r="200" customFormat="false" ht="15" hidden="false" customHeight="false" outlineLevel="0" collapsed="false">
      <c r="A200" s="29" t="n">
        <v>46216</v>
      </c>
      <c r="B200" s="30" t="str">
        <f aca="false">CHOOSE(WEEKDAY(A200),"Sun","Mon","Tue","Wed","Thu","Fri","Sat")</f>
        <v>Mon</v>
      </c>
      <c r="C200" s="30" t="str">
        <f aca="false">IF(IFERROR(INDEX(Holidays!$D$5:$D$60,MATCH(A200,Holidays!$A$5:$A$60,0)),"")="Holiday","Holiday",IF(WEEKDAY(A200)&gt;=6,"Weekend",IF(IFERROR(INDEX(Holidays!$D$5:$D$60,MATCH(A200,Holidays!$A$5:$A$60,0)),"")="Eve","Eve","Workday")))</f>
        <v>Workday</v>
      </c>
      <c r="D200" s="18" t="str">
        <f aca="false">IFERROR(INDEX(Holidays!$C$5:$C$60,MATCH(A200,Holidays!$A$5:$A$60,0)),"")</f>
        <v/>
      </c>
      <c r="E200" s="31"/>
      <c r="F200" s="32"/>
      <c r="G200" s="32"/>
      <c r="H200" s="32"/>
      <c r="I200" s="32"/>
      <c r="J200" s="31"/>
      <c r="K200" s="33" t="str">
        <f aca="false">IF(E200&lt;&gt;"",E200,IF(U200,"Present",IF(C200="Holiday","Holiday","Weekend")))</f>
        <v>Present</v>
      </c>
      <c r="L200" s="34" t="n">
        <f aca="false">IF(OR(K200="Present",K200="Manual Work",K200="Partial Vacation",K200="Partial Sick Leave"),IF(ISNUMBER(F200),F200,IF(AND(K200="Present",U200),Settings!$B$6,"")),"")</f>
        <v>0.333333333333333</v>
      </c>
      <c r="M200" s="34" t="n">
        <f aca="false">IF(OR(K200="Present",K200="Manual Work",K200="Partial Vacation",K200="Partial Sick Leave"),IF(ISNUMBER(G200),G200,IF(AND(K200="Present",U200),V200,"")),"")</f>
        <v>0.6875</v>
      </c>
      <c r="N200" s="14" t="n">
        <f aca="false">IF(AND(ISNUMBER(L200),ISNUMBER(M200)),MAX(0,(M200-L200)*24),0)</f>
        <v>8.5</v>
      </c>
      <c r="O200" s="14" t="n">
        <f aca="false">IF(NOT(U200),0,IF(K200="Vacation",IF(C200="Eve",Settings!$B$9*Settings!$B$11,W200),IF(K200="Partial Vacation",IF(AND(ISNUMBER(H200),ISNUMBER(I200)),MAX(0,(I200-H200)*24),0),0)))</f>
        <v>0</v>
      </c>
      <c r="P200" s="14" t="n">
        <f aca="false">IF(NOT(U200),0,IF(K200="Sick Leave",W200,IF(K200="Partial Sick Leave",IF(AND(ISNUMBER(H200),ISNUMBER(I200)),MAX(0,(I200-H200)*24),0),0)))</f>
        <v>0</v>
      </c>
      <c r="Q200" s="14" t="n">
        <f aca="false">IF(NOT(U200),0,IF(K200="Vacation",IF(C200="Eve",Settings!$B$11,1),IF(K200="Partial Vacation",O200/Settings!$B$9,0)))</f>
        <v>0</v>
      </c>
      <c r="R200" s="14" t="n">
        <f aca="false">IF(NOT(U200),0,IF(K200="Sick Leave",1,IF(K200="Partial Sick Leave",P200/Settings!$B$9,0)))</f>
        <v>0</v>
      </c>
      <c r="S200" s="35" t="str">
        <f aca="false">IF(AND(OR(E200="Vacation",E200="Sick Leave",E200="Partial Vacation",E200="Partial Sick Leave"),NOT(U200)),"Leave not allowed on this day",IF(AND(E200="Manual Work",OR(NOT(ISNUMBER(F200)),NOT(ISNUMBER(G200)))),"Enter start and end",IF(AND(OR(E200="Partial Vacation",E200="Partial Sick Leave"),OR(NOT(ISNUMBER(H200)),NOT(ISNUMBER(I200)))),"Enter leave from and to",IF(AND(ISNUMBER(F200),ISNUMBER(G200),G200&lt;=F200),"End is before start",IF(AND(ISNUMBER(H200),ISNUMBER(I200),I200&lt;=H200),"Leave end is before start",IF(AND(ISNUMBER(F200),ISNUMBER(G200),ISNUMBER(H200),ISNUMBER(I200),F200&lt;I200,H200&lt;G200),"Work and leave hours overlap",IF(AND(E200&lt;&gt;"",WEEKDAY(A200)=7),"Saturday - administrator only","")))))))</f>
        <v/>
      </c>
      <c r="T200" s="36" t="n">
        <f aca="false">MONTH(A200)</f>
        <v>7</v>
      </c>
      <c r="U200" s="37" t="b">
        <f aca="false">OR(C200="Workday",C200="Eve")</f>
        <v>1</v>
      </c>
      <c r="V200" s="34" t="n">
        <f aca="false">IF(C200="Eve",Settings!$B$8,Settings!$B$7)</f>
        <v>0.6875</v>
      </c>
      <c r="W200" s="14" t="n">
        <f aca="false">IF(U200,(V200-Settings!$B$6)*24,0)</f>
        <v>8.5</v>
      </c>
    </row>
    <row r="201" customFormat="false" ht="15" hidden="false" customHeight="false" outlineLevel="0" collapsed="false">
      <c r="A201" s="29" t="n">
        <v>46217</v>
      </c>
      <c r="B201" s="30" t="str">
        <f aca="false">CHOOSE(WEEKDAY(A201),"Sun","Mon","Tue","Wed","Thu","Fri","Sat")</f>
        <v>Tue</v>
      </c>
      <c r="C201" s="30" t="str">
        <f aca="false">IF(IFERROR(INDEX(Holidays!$D$5:$D$60,MATCH(A201,Holidays!$A$5:$A$60,0)),"")="Holiday","Holiday",IF(WEEKDAY(A201)&gt;=6,"Weekend",IF(IFERROR(INDEX(Holidays!$D$5:$D$60,MATCH(A201,Holidays!$A$5:$A$60,0)),"")="Eve","Eve","Workday")))</f>
        <v>Workday</v>
      </c>
      <c r="D201" s="18" t="str">
        <f aca="false">IFERROR(INDEX(Holidays!$C$5:$C$60,MATCH(A201,Holidays!$A$5:$A$60,0)),"")</f>
        <v/>
      </c>
      <c r="E201" s="31"/>
      <c r="F201" s="32"/>
      <c r="G201" s="32"/>
      <c r="H201" s="32"/>
      <c r="I201" s="32"/>
      <c r="J201" s="31"/>
      <c r="K201" s="33" t="str">
        <f aca="false">IF(E201&lt;&gt;"",E201,IF(U201,"Present",IF(C201="Holiday","Holiday","Weekend")))</f>
        <v>Present</v>
      </c>
      <c r="L201" s="34" t="n">
        <f aca="false">IF(OR(K201="Present",K201="Manual Work",K201="Partial Vacation",K201="Partial Sick Leave"),IF(ISNUMBER(F201),F201,IF(AND(K201="Present",U201),Settings!$B$6,"")),"")</f>
        <v>0.333333333333333</v>
      </c>
      <c r="M201" s="34" t="n">
        <f aca="false">IF(OR(K201="Present",K201="Manual Work",K201="Partial Vacation",K201="Partial Sick Leave"),IF(ISNUMBER(G201),G201,IF(AND(K201="Present",U201),V201,"")),"")</f>
        <v>0.6875</v>
      </c>
      <c r="N201" s="14" t="n">
        <f aca="false">IF(AND(ISNUMBER(L201),ISNUMBER(M201)),MAX(0,(M201-L201)*24),0)</f>
        <v>8.5</v>
      </c>
      <c r="O201" s="14" t="n">
        <f aca="false">IF(NOT(U201),0,IF(K201="Vacation",IF(C201="Eve",Settings!$B$9*Settings!$B$11,W201),IF(K201="Partial Vacation",IF(AND(ISNUMBER(H201),ISNUMBER(I201)),MAX(0,(I201-H201)*24),0),0)))</f>
        <v>0</v>
      </c>
      <c r="P201" s="14" t="n">
        <f aca="false">IF(NOT(U201),0,IF(K201="Sick Leave",W201,IF(K201="Partial Sick Leave",IF(AND(ISNUMBER(H201),ISNUMBER(I201)),MAX(0,(I201-H201)*24),0),0)))</f>
        <v>0</v>
      </c>
      <c r="Q201" s="14" t="n">
        <f aca="false">IF(NOT(U201),0,IF(K201="Vacation",IF(C201="Eve",Settings!$B$11,1),IF(K201="Partial Vacation",O201/Settings!$B$9,0)))</f>
        <v>0</v>
      </c>
      <c r="R201" s="14" t="n">
        <f aca="false">IF(NOT(U201),0,IF(K201="Sick Leave",1,IF(K201="Partial Sick Leave",P201/Settings!$B$9,0)))</f>
        <v>0</v>
      </c>
      <c r="S201" s="35" t="str">
        <f aca="false">IF(AND(OR(E201="Vacation",E201="Sick Leave",E201="Partial Vacation",E201="Partial Sick Leave"),NOT(U201)),"Leave not allowed on this day",IF(AND(E201="Manual Work",OR(NOT(ISNUMBER(F201)),NOT(ISNUMBER(G201)))),"Enter start and end",IF(AND(OR(E201="Partial Vacation",E201="Partial Sick Leave"),OR(NOT(ISNUMBER(H201)),NOT(ISNUMBER(I201)))),"Enter leave from and to",IF(AND(ISNUMBER(F201),ISNUMBER(G201),G201&lt;=F201),"End is before start",IF(AND(ISNUMBER(H201),ISNUMBER(I201),I201&lt;=H201),"Leave end is before start",IF(AND(ISNUMBER(F201),ISNUMBER(G201),ISNUMBER(H201),ISNUMBER(I201),F201&lt;I201,H201&lt;G201),"Work and leave hours overlap",IF(AND(E201&lt;&gt;"",WEEKDAY(A201)=7),"Saturday - administrator only","")))))))</f>
        <v/>
      </c>
      <c r="T201" s="36" t="n">
        <f aca="false">MONTH(A201)</f>
        <v>7</v>
      </c>
      <c r="U201" s="37" t="b">
        <f aca="false">OR(C201="Workday",C201="Eve")</f>
        <v>1</v>
      </c>
      <c r="V201" s="34" t="n">
        <f aca="false">IF(C201="Eve",Settings!$B$8,Settings!$B$7)</f>
        <v>0.6875</v>
      </c>
      <c r="W201" s="14" t="n">
        <f aca="false">IF(U201,(V201-Settings!$B$6)*24,0)</f>
        <v>8.5</v>
      </c>
    </row>
    <row r="202" customFormat="false" ht="15" hidden="false" customHeight="false" outlineLevel="0" collapsed="false">
      <c r="A202" s="29" t="n">
        <v>46218</v>
      </c>
      <c r="B202" s="30" t="str">
        <f aca="false">CHOOSE(WEEKDAY(A202),"Sun","Mon","Tue","Wed","Thu","Fri","Sat")</f>
        <v>Wed</v>
      </c>
      <c r="C202" s="30" t="str">
        <f aca="false">IF(IFERROR(INDEX(Holidays!$D$5:$D$60,MATCH(A202,Holidays!$A$5:$A$60,0)),"")="Holiday","Holiday",IF(WEEKDAY(A202)&gt;=6,"Weekend",IF(IFERROR(INDEX(Holidays!$D$5:$D$60,MATCH(A202,Holidays!$A$5:$A$60,0)),"")="Eve","Eve","Workday")))</f>
        <v>Workday</v>
      </c>
      <c r="D202" s="18" t="str">
        <f aca="false">IFERROR(INDEX(Holidays!$C$5:$C$60,MATCH(A202,Holidays!$A$5:$A$60,0)),"")</f>
        <v/>
      </c>
      <c r="E202" s="31"/>
      <c r="F202" s="32"/>
      <c r="G202" s="32"/>
      <c r="H202" s="32"/>
      <c r="I202" s="32"/>
      <c r="J202" s="31"/>
      <c r="K202" s="33" t="str">
        <f aca="false">IF(E202&lt;&gt;"",E202,IF(U202,"Present",IF(C202="Holiday","Holiday","Weekend")))</f>
        <v>Present</v>
      </c>
      <c r="L202" s="34" t="n">
        <f aca="false">IF(OR(K202="Present",K202="Manual Work",K202="Partial Vacation",K202="Partial Sick Leave"),IF(ISNUMBER(F202),F202,IF(AND(K202="Present",U202),Settings!$B$6,"")),"")</f>
        <v>0.333333333333333</v>
      </c>
      <c r="M202" s="34" t="n">
        <f aca="false">IF(OR(K202="Present",K202="Manual Work",K202="Partial Vacation",K202="Partial Sick Leave"),IF(ISNUMBER(G202),G202,IF(AND(K202="Present",U202),V202,"")),"")</f>
        <v>0.6875</v>
      </c>
      <c r="N202" s="14" t="n">
        <f aca="false">IF(AND(ISNUMBER(L202),ISNUMBER(M202)),MAX(0,(M202-L202)*24),0)</f>
        <v>8.5</v>
      </c>
      <c r="O202" s="14" t="n">
        <f aca="false">IF(NOT(U202),0,IF(K202="Vacation",IF(C202="Eve",Settings!$B$9*Settings!$B$11,W202),IF(K202="Partial Vacation",IF(AND(ISNUMBER(H202),ISNUMBER(I202)),MAX(0,(I202-H202)*24),0),0)))</f>
        <v>0</v>
      </c>
      <c r="P202" s="14" t="n">
        <f aca="false">IF(NOT(U202),0,IF(K202="Sick Leave",W202,IF(K202="Partial Sick Leave",IF(AND(ISNUMBER(H202),ISNUMBER(I202)),MAX(0,(I202-H202)*24),0),0)))</f>
        <v>0</v>
      </c>
      <c r="Q202" s="14" t="n">
        <f aca="false">IF(NOT(U202),0,IF(K202="Vacation",IF(C202="Eve",Settings!$B$11,1),IF(K202="Partial Vacation",O202/Settings!$B$9,0)))</f>
        <v>0</v>
      </c>
      <c r="R202" s="14" t="n">
        <f aca="false">IF(NOT(U202),0,IF(K202="Sick Leave",1,IF(K202="Partial Sick Leave",P202/Settings!$B$9,0)))</f>
        <v>0</v>
      </c>
      <c r="S202" s="35" t="str">
        <f aca="false">IF(AND(OR(E202="Vacation",E202="Sick Leave",E202="Partial Vacation",E202="Partial Sick Leave"),NOT(U202)),"Leave not allowed on this day",IF(AND(E202="Manual Work",OR(NOT(ISNUMBER(F202)),NOT(ISNUMBER(G202)))),"Enter start and end",IF(AND(OR(E202="Partial Vacation",E202="Partial Sick Leave"),OR(NOT(ISNUMBER(H202)),NOT(ISNUMBER(I202)))),"Enter leave from and to",IF(AND(ISNUMBER(F202),ISNUMBER(G202),G202&lt;=F202),"End is before start",IF(AND(ISNUMBER(H202),ISNUMBER(I202),I202&lt;=H202),"Leave end is before start",IF(AND(ISNUMBER(F202),ISNUMBER(G202),ISNUMBER(H202),ISNUMBER(I202),F202&lt;I202,H202&lt;G202),"Work and leave hours overlap",IF(AND(E202&lt;&gt;"",WEEKDAY(A202)=7),"Saturday - administrator only","")))))))</f>
        <v/>
      </c>
      <c r="T202" s="36" t="n">
        <f aca="false">MONTH(A202)</f>
        <v>7</v>
      </c>
      <c r="U202" s="37" t="b">
        <f aca="false">OR(C202="Workday",C202="Eve")</f>
        <v>1</v>
      </c>
      <c r="V202" s="34" t="n">
        <f aca="false">IF(C202="Eve",Settings!$B$8,Settings!$B$7)</f>
        <v>0.6875</v>
      </c>
      <c r="W202" s="14" t="n">
        <f aca="false">IF(U202,(V202-Settings!$B$6)*24,0)</f>
        <v>8.5</v>
      </c>
    </row>
    <row r="203" customFormat="false" ht="15" hidden="false" customHeight="false" outlineLevel="0" collapsed="false">
      <c r="A203" s="29" t="n">
        <v>46219</v>
      </c>
      <c r="B203" s="30" t="str">
        <f aca="false">CHOOSE(WEEKDAY(A203),"Sun","Mon","Tue","Wed","Thu","Fri","Sat")</f>
        <v>Thu</v>
      </c>
      <c r="C203" s="30" t="str">
        <f aca="false">IF(IFERROR(INDEX(Holidays!$D$5:$D$60,MATCH(A203,Holidays!$A$5:$A$60,0)),"")="Holiday","Holiday",IF(WEEKDAY(A203)&gt;=6,"Weekend",IF(IFERROR(INDEX(Holidays!$D$5:$D$60,MATCH(A203,Holidays!$A$5:$A$60,0)),"")="Eve","Eve","Workday")))</f>
        <v>Workday</v>
      </c>
      <c r="D203" s="18" t="str">
        <f aca="false">IFERROR(INDEX(Holidays!$C$5:$C$60,MATCH(A203,Holidays!$A$5:$A$60,0)),"")</f>
        <v/>
      </c>
      <c r="E203" s="31"/>
      <c r="F203" s="32"/>
      <c r="G203" s="32"/>
      <c r="H203" s="32"/>
      <c r="I203" s="32"/>
      <c r="J203" s="31"/>
      <c r="K203" s="33" t="str">
        <f aca="false">IF(E203&lt;&gt;"",E203,IF(U203,"Present",IF(C203="Holiday","Holiday","Weekend")))</f>
        <v>Present</v>
      </c>
      <c r="L203" s="34" t="n">
        <f aca="false">IF(OR(K203="Present",K203="Manual Work",K203="Partial Vacation",K203="Partial Sick Leave"),IF(ISNUMBER(F203),F203,IF(AND(K203="Present",U203),Settings!$B$6,"")),"")</f>
        <v>0.333333333333333</v>
      </c>
      <c r="M203" s="34" t="n">
        <f aca="false">IF(OR(K203="Present",K203="Manual Work",K203="Partial Vacation",K203="Partial Sick Leave"),IF(ISNUMBER(G203),G203,IF(AND(K203="Present",U203),V203,"")),"")</f>
        <v>0.6875</v>
      </c>
      <c r="N203" s="14" t="n">
        <f aca="false">IF(AND(ISNUMBER(L203),ISNUMBER(M203)),MAX(0,(M203-L203)*24),0)</f>
        <v>8.5</v>
      </c>
      <c r="O203" s="14" t="n">
        <f aca="false">IF(NOT(U203),0,IF(K203="Vacation",IF(C203="Eve",Settings!$B$9*Settings!$B$11,W203),IF(K203="Partial Vacation",IF(AND(ISNUMBER(H203),ISNUMBER(I203)),MAX(0,(I203-H203)*24),0),0)))</f>
        <v>0</v>
      </c>
      <c r="P203" s="14" t="n">
        <f aca="false">IF(NOT(U203),0,IF(K203="Sick Leave",W203,IF(K203="Partial Sick Leave",IF(AND(ISNUMBER(H203),ISNUMBER(I203)),MAX(0,(I203-H203)*24),0),0)))</f>
        <v>0</v>
      </c>
      <c r="Q203" s="14" t="n">
        <f aca="false">IF(NOT(U203),0,IF(K203="Vacation",IF(C203="Eve",Settings!$B$11,1),IF(K203="Partial Vacation",O203/Settings!$B$9,0)))</f>
        <v>0</v>
      </c>
      <c r="R203" s="14" t="n">
        <f aca="false">IF(NOT(U203),0,IF(K203="Sick Leave",1,IF(K203="Partial Sick Leave",P203/Settings!$B$9,0)))</f>
        <v>0</v>
      </c>
      <c r="S203" s="35" t="str">
        <f aca="false">IF(AND(OR(E203="Vacation",E203="Sick Leave",E203="Partial Vacation",E203="Partial Sick Leave"),NOT(U203)),"Leave not allowed on this day",IF(AND(E203="Manual Work",OR(NOT(ISNUMBER(F203)),NOT(ISNUMBER(G203)))),"Enter start and end",IF(AND(OR(E203="Partial Vacation",E203="Partial Sick Leave"),OR(NOT(ISNUMBER(H203)),NOT(ISNUMBER(I203)))),"Enter leave from and to",IF(AND(ISNUMBER(F203),ISNUMBER(G203),G203&lt;=F203),"End is before start",IF(AND(ISNUMBER(H203),ISNUMBER(I203),I203&lt;=H203),"Leave end is before start",IF(AND(ISNUMBER(F203),ISNUMBER(G203),ISNUMBER(H203),ISNUMBER(I203),F203&lt;I203,H203&lt;G203),"Work and leave hours overlap",IF(AND(E203&lt;&gt;"",WEEKDAY(A203)=7),"Saturday - administrator only","")))))))</f>
        <v/>
      </c>
      <c r="T203" s="36" t="n">
        <f aca="false">MONTH(A203)</f>
        <v>7</v>
      </c>
      <c r="U203" s="37" t="b">
        <f aca="false">OR(C203="Workday",C203="Eve")</f>
        <v>1</v>
      </c>
      <c r="V203" s="34" t="n">
        <f aca="false">IF(C203="Eve",Settings!$B$8,Settings!$B$7)</f>
        <v>0.6875</v>
      </c>
      <c r="W203" s="14" t="n">
        <f aca="false">IF(U203,(V203-Settings!$B$6)*24,0)</f>
        <v>8.5</v>
      </c>
    </row>
    <row r="204" customFormat="false" ht="15" hidden="false" customHeight="false" outlineLevel="0" collapsed="false">
      <c r="A204" s="29" t="n">
        <v>46220</v>
      </c>
      <c r="B204" s="30" t="str">
        <f aca="false">CHOOSE(WEEKDAY(A204),"Sun","Mon","Tue","Wed","Thu","Fri","Sat")</f>
        <v>Fri</v>
      </c>
      <c r="C204" s="30" t="str">
        <f aca="false">IF(IFERROR(INDEX(Holidays!$D$5:$D$60,MATCH(A204,Holidays!$A$5:$A$60,0)),"")="Holiday","Holiday",IF(WEEKDAY(A204)&gt;=6,"Weekend",IF(IFERROR(INDEX(Holidays!$D$5:$D$60,MATCH(A204,Holidays!$A$5:$A$60,0)),"")="Eve","Eve","Workday")))</f>
        <v>Weekend</v>
      </c>
      <c r="D204" s="18" t="str">
        <f aca="false">IFERROR(INDEX(Holidays!$C$5:$C$60,MATCH(A204,Holidays!$A$5:$A$60,0)),"")</f>
        <v/>
      </c>
      <c r="E204" s="31"/>
      <c r="F204" s="32"/>
      <c r="G204" s="32"/>
      <c r="H204" s="32"/>
      <c r="I204" s="32"/>
      <c r="J204" s="31"/>
      <c r="K204" s="33" t="str">
        <f aca="false">IF(E204&lt;&gt;"",E204,IF(U204,"Present",IF(C204="Holiday","Holiday","Weekend")))</f>
        <v>Weekend</v>
      </c>
      <c r="L204" s="34" t="str">
        <f aca="false">IF(OR(K204="Present",K204="Manual Work",K204="Partial Vacation",K204="Partial Sick Leave"),IF(ISNUMBER(F204),F204,IF(AND(K204="Present",U204),Settings!$B$6,"")),"")</f>
        <v/>
      </c>
      <c r="M204" s="34" t="str">
        <f aca="false">IF(OR(K204="Present",K204="Manual Work",K204="Partial Vacation",K204="Partial Sick Leave"),IF(ISNUMBER(G204),G204,IF(AND(K204="Present",U204),V204,"")),"")</f>
        <v/>
      </c>
      <c r="N204" s="14" t="n">
        <f aca="false">IF(AND(ISNUMBER(L204),ISNUMBER(M204)),MAX(0,(M204-L204)*24),0)</f>
        <v>0</v>
      </c>
      <c r="O204" s="14" t="n">
        <f aca="false">IF(NOT(U204),0,IF(K204="Vacation",IF(C204="Eve",Settings!$B$9*Settings!$B$11,W204),IF(K204="Partial Vacation",IF(AND(ISNUMBER(H204),ISNUMBER(I204)),MAX(0,(I204-H204)*24),0),0)))</f>
        <v>0</v>
      </c>
      <c r="P204" s="14" t="n">
        <f aca="false">IF(NOT(U204),0,IF(K204="Sick Leave",W204,IF(K204="Partial Sick Leave",IF(AND(ISNUMBER(H204),ISNUMBER(I204)),MAX(0,(I204-H204)*24),0),0)))</f>
        <v>0</v>
      </c>
      <c r="Q204" s="14" t="n">
        <f aca="false">IF(NOT(U204),0,IF(K204="Vacation",IF(C204="Eve",Settings!$B$11,1),IF(K204="Partial Vacation",O204/Settings!$B$9,0)))</f>
        <v>0</v>
      </c>
      <c r="R204" s="14" t="n">
        <f aca="false">IF(NOT(U204),0,IF(K204="Sick Leave",1,IF(K204="Partial Sick Leave",P204/Settings!$B$9,0)))</f>
        <v>0</v>
      </c>
      <c r="S204" s="35" t="str">
        <f aca="false">IF(AND(OR(E204="Vacation",E204="Sick Leave",E204="Partial Vacation",E204="Partial Sick Leave"),NOT(U204)),"Leave not allowed on this day",IF(AND(E204="Manual Work",OR(NOT(ISNUMBER(F204)),NOT(ISNUMBER(G204)))),"Enter start and end",IF(AND(OR(E204="Partial Vacation",E204="Partial Sick Leave"),OR(NOT(ISNUMBER(H204)),NOT(ISNUMBER(I204)))),"Enter leave from and to",IF(AND(ISNUMBER(F204),ISNUMBER(G204),G204&lt;=F204),"End is before start",IF(AND(ISNUMBER(H204),ISNUMBER(I204),I204&lt;=H204),"Leave end is before start",IF(AND(ISNUMBER(F204),ISNUMBER(G204),ISNUMBER(H204),ISNUMBER(I204),F204&lt;I204,H204&lt;G204),"Work and leave hours overlap",IF(AND(E204&lt;&gt;"",WEEKDAY(A204)=7),"Saturday - administrator only","")))))))</f>
        <v/>
      </c>
      <c r="T204" s="36" t="n">
        <f aca="false">MONTH(A204)</f>
        <v>7</v>
      </c>
      <c r="U204" s="37" t="b">
        <f aca="false">OR(C204="Workday",C204="Eve")</f>
        <v>0</v>
      </c>
      <c r="V204" s="34" t="n">
        <f aca="false">IF(C204="Eve",Settings!$B$8,Settings!$B$7)</f>
        <v>0.6875</v>
      </c>
      <c r="W204" s="14" t="n">
        <f aca="false">IF(U204,(V204-Settings!$B$6)*24,0)</f>
        <v>0</v>
      </c>
    </row>
    <row r="205" customFormat="false" ht="15" hidden="false" customHeight="false" outlineLevel="0" collapsed="false">
      <c r="A205" s="29" t="n">
        <v>46221</v>
      </c>
      <c r="B205" s="30" t="str">
        <f aca="false">CHOOSE(WEEKDAY(A205),"Sun","Mon","Tue","Wed","Thu","Fri","Sat")</f>
        <v>Sat</v>
      </c>
      <c r="C205" s="30" t="str">
        <f aca="false">IF(IFERROR(INDEX(Holidays!$D$5:$D$60,MATCH(A205,Holidays!$A$5:$A$60,0)),"")="Holiday","Holiday",IF(WEEKDAY(A205)&gt;=6,"Weekend",IF(IFERROR(INDEX(Holidays!$D$5:$D$60,MATCH(A205,Holidays!$A$5:$A$60,0)),"")="Eve","Eve","Workday")))</f>
        <v>Weekend</v>
      </c>
      <c r="D205" s="18" t="str">
        <f aca="false">IFERROR(INDEX(Holidays!$C$5:$C$60,MATCH(A205,Holidays!$A$5:$A$60,0)),"")</f>
        <v/>
      </c>
      <c r="E205" s="31"/>
      <c r="F205" s="32"/>
      <c r="G205" s="32"/>
      <c r="H205" s="32"/>
      <c r="I205" s="32"/>
      <c r="J205" s="31"/>
      <c r="K205" s="33" t="str">
        <f aca="false">IF(E205&lt;&gt;"",E205,IF(U205,"Present",IF(C205="Holiday","Holiday","Weekend")))</f>
        <v>Weekend</v>
      </c>
      <c r="L205" s="34" t="str">
        <f aca="false">IF(OR(K205="Present",K205="Manual Work",K205="Partial Vacation",K205="Partial Sick Leave"),IF(ISNUMBER(F205),F205,IF(AND(K205="Present",U205),Settings!$B$6,"")),"")</f>
        <v/>
      </c>
      <c r="M205" s="34" t="str">
        <f aca="false">IF(OR(K205="Present",K205="Manual Work",K205="Partial Vacation",K205="Partial Sick Leave"),IF(ISNUMBER(G205),G205,IF(AND(K205="Present",U205),V205,"")),"")</f>
        <v/>
      </c>
      <c r="N205" s="14" t="n">
        <f aca="false">IF(AND(ISNUMBER(L205),ISNUMBER(M205)),MAX(0,(M205-L205)*24),0)</f>
        <v>0</v>
      </c>
      <c r="O205" s="14" t="n">
        <f aca="false">IF(NOT(U205),0,IF(K205="Vacation",IF(C205="Eve",Settings!$B$9*Settings!$B$11,W205),IF(K205="Partial Vacation",IF(AND(ISNUMBER(H205),ISNUMBER(I205)),MAX(0,(I205-H205)*24),0),0)))</f>
        <v>0</v>
      </c>
      <c r="P205" s="14" t="n">
        <f aca="false">IF(NOT(U205),0,IF(K205="Sick Leave",W205,IF(K205="Partial Sick Leave",IF(AND(ISNUMBER(H205),ISNUMBER(I205)),MAX(0,(I205-H205)*24),0),0)))</f>
        <v>0</v>
      </c>
      <c r="Q205" s="14" t="n">
        <f aca="false">IF(NOT(U205),0,IF(K205="Vacation",IF(C205="Eve",Settings!$B$11,1),IF(K205="Partial Vacation",O205/Settings!$B$9,0)))</f>
        <v>0</v>
      </c>
      <c r="R205" s="14" t="n">
        <f aca="false">IF(NOT(U205),0,IF(K205="Sick Leave",1,IF(K205="Partial Sick Leave",P205/Settings!$B$9,0)))</f>
        <v>0</v>
      </c>
      <c r="S205" s="35" t="str">
        <f aca="false">IF(AND(OR(E205="Vacation",E205="Sick Leave",E205="Partial Vacation",E205="Partial Sick Leave"),NOT(U205)),"Leave not allowed on this day",IF(AND(E205="Manual Work",OR(NOT(ISNUMBER(F205)),NOT(ISNUMBER(G205)))),"Enter start and end",IF(AND(OR(E205="Partial Vacation",E205="Partial Sick Leave"),OR(NOT(ISNUMBER(H205)),NOT(ISNUMBER(I205)))),"Enter leave from and to",IF(AND(ISNUMBER(F205),ISNUMBER(G205),G205&lt;=F205),"End is before start",IF(AND(ISNUMBER(H205),ISNUMBER(I205),I205&lt;=H205),"Leave end is before start",IF(AND(ISNUMBER(F205),ISNUMBER(G205),ISNUMBER(H205),ISNUMBER(I205),F205&lt;I205,H205&lt;G205),"Work and leave hours overlap",IF(AND(E205&lt;&gt;"",WEEKDAY(A205)=7),"Saturday - administrator only","")))))))</f>
        <v/>
      </c>
      <c r="T205" s="36" t="n">
        <f aca="false">MONTH(A205)</f>
        <v>7</v>
      </c>
      <c r="U205" s="37" t="b">
        <f aca="false">OR(C205="Workday",C205="Eve")</f>
        <v>0</v>
      </c>
      <c r="V205" s="34" t="n">
        <f aca="false">IF(C205="Eve",Settings!$B$8,Settings!$B$7)</f>
        <v>0.6875</v>
      </c>
      <c r="W205" s="14" t="n">
        <f aca="false">IF(U205,(V205-Settings!$B$6)*24,0)</f>
        <v>0</v>
      </c>
    </row>
    <row r="206" customFormat="false" ht="15" hidden="false" customHeight="false" outlineLevel="0" collapsed="false">
      <c r="A206" s="29" t="n">
        <v>46222</v>
      </c>
      <c r="B206" s="30" t="str">
        <f aca="false">CHOOSE(WEEKDAY(A206),"Sun","Mon","Tue","Wed","Thu","Fri","Sat")</f>
        <v>Sun</v>
      </c>
      <c r="C206" s="30" t="str">
        <f aca="false">IF(IFERROR(INDEX(Holidays!$D$5:$D$60,MATCH(A206,Holidays!$A$5:$A$60,0)),"")="Holiday","Holiday",IF(WEEKDAY(A206)&gt;=6,"Weekend",IF(IFERROR(INDEX(Holidays!$D$5:$D$60,MATCH(A206,Holidays!$A$5:$A$60,0)),"")="Eve","Eve","Workday")))</f>
        <v>Workday</v>
      </c>
      <c r="D206" s="18" t="str">
        <f aca="false">IFERROR(INDEX(Holidays!$C$5:$C$60,MATCH(A206,Holidays!$A$5:$A$60,0)),"")</f>
        <v/>
      </c>
      <c r="E206" s="31"/>
      <c r="F206" s="32"/>
      <c r="G206" s="32"/>
      <c r="H206" s="32"/>
      <c r="I206" s="32"/>
      <c r="J206" s="31"/>
      <c r="K206" s="33" t="str">
        <f aca="false">IF(E206&lt;&gt;"",E206,IF(U206,"Present",IF(C206="Holiday","Holiday","Weekend")))</f>
        <v>Present</v>
      </c>
      <c r="L206" s="34" t="n">
        <f aca="false">IF(OR(K206="Present",K206="Manual Work",K206="Partial Vacation",K206="Partial Sick Leave"),IF(ISNUMBER(F206),F206,IF(AND(K206="Present",U206),Settings!$B$6,"")),"")</f>
        <v>0.333333333333333</v>
      </c>
      <c r="M206" s="34" t="n">
        <f aca="false">IF(OR(K206="Present",K206="Manual Work",K206="Partial Vacation",K206="Partial Sick Leave"),IF(ISNUMBER(G206),G206,IF(AND(K206="Present",U206),V206,"")),"")</f>
        <v>0.6875</v>
      </c>
      <c r="N206" s="14" t="n">
        <f aca="false">IF(AND(ISNUMBER(L206),ISNUMBER(M206)),MAX(0,(M206-L206)*24),0)</f>
        <v>8.5</v>
      </c>
      <c r="O206" s="14" t="n">
        <f aca="false">IF(NOT(U206),0,IF(K206="Vacation",IF(C206="Eve",Settings!$B$9*Settings!$B$11,W206),IF(K206="Partial Vacation",IF(AND(ISNUMBER(H206),ISNUMBER(I206)),MAX(0,(I206-H206)*24),0),0)))</f>
        <v>0</v>
      </c>
      <c r="P206" s="14" t="n">
        <f aca="false">IF(NOT(U206),0,IF(K206="Sick Leave",W206,IF(K206="Partial Sick Leave",IF(AND(ISNUMBER(H206),ISNUMBER(I206)),MAX(0,(I206-H206)*24),0),0)))</f>
        <v>0</v>
      </c>
      <c r="Q206" s="14" t="n">
        <f aca="false">IF(NOT(U206),0,IF(K206="Vacation",IF(C206="Eve",Settings!$B$11,1),IF(K206="Partial Vacation",O206/Settings!$B$9,0)))</f>
        <v>0</v>
      </c>
      <c r="R206" s="14" t="n">
        <f aca="false">IF(NOT(U206),0,IF(K206="Sick Leave",1,IF(K206="Partial Sick Leave",P206/Settings!$B$9,0)))</f>
        <v>0</v>
      </c>
      <c r="S206" s="35" t="str">
        <f aca="false">IF(AND(OR(E206="Vacation",E206="Sick Leave",E206="Partial Vacation",E206="Partial Sick Leave"),NOT(U206)),"Leave not allowed on this day",IF(AND(E206="Manual Work",OR(NOT(ISNUMBER(F206)),NOT(ISNUMBER(G206)))),"Enter start and end",IF(AND(OR(E206="Partial Vacation",E206="Partial Sick Leave"),OR(NOT(ISNUMBER(H206)),NOT(ISNUMBER(I206)))),"Enter leave from and to",IF(AND(ISNUMBER(F206),ISNUMBER(G206),G206&lt;=F206),"End is before start",IF(AND(ISNUMBER(H206),ISNUMBER(I206),I206&lt;=H206),"Leave end is before start",IF(AND(ISNUMBER(F206),ISNUMBER(G206),ISNUMBER(H206),ISNUMBER(I206),F206&lt;I206,H206&lt;G206),"Work and leave hours overlap",IF(AND(E206&lt;&gt;"",WEEKDAY(A206)=7),"Saturday - administrator only","")))))))</f>
        <v/>
      </c>
      <c r="T206" s="36" t="n">
        <f aca="false">MONTH(A206)</f>
        <v>7</v>
      </c>
      <c r="U206" s="37" t="b">
        <f aca="false">OR(C206="Workday",C206="Eve")</f>
        <v>1</v>
      </c>
      <c r="V206" s="34" t="n">
        <f aca="false">IF(C206="Eve",Settings!$B$8,Settings!$B$7)</f>
        <v>0.6875</v>
      </c>
      <c r="W206" s="14" t="n">
        <f aca="false">IF(U206,(V206-Settings!$B$6)*24,0)</f>
        <v>8.5</v>
      </c>
    </row>
    <row r="207" customFormat="false" ht="15" hidden="false" customHeight="false" outlineLevel="0" collapsed="false">
      <c r="A207" s="29" t="n">
        <v>46223</v>
      </c>
      <c r="B207" s="30" t="str">
        <f aca="false">CHOOSE(WEEKDAY(A207),"Sun","Mon","Tue","Wed","Thu","Fri","Sat")</f>
        <v>Mon</v>
      </c>
      <c r="C207" s="30" t="str">
        <f aca="false">IF(IFERROR(INDEX(Holidays!$D$5:$D$60,MATCH(A207,Holidays!$A$5:$A$60,0)),"")="Holiday","Holiday",IF(WEEKDAY(A207)&gt;=6,"Weekend",IF(IFERROR(INDEX(Holidays!$D$5:$D$60,MATCH(A207,Holidays!$A$5:$A$60,0)),"")="Eve","Eve","Workday")))</f>
        <v>Workday</v>
      </c>
      <c r="D207" s="18" t="str">
        <f aca="false">IFERROR(INDEX(Holidays!$C$5:$C$60,MATCH(A207,Holidays!$A$5:$A$60,0)),"")</f>
        <v/>
      </c>
      <c r="E207" s="31"/>
      <c r="F207" s="32"/>
      <c r="G207" s="32"/>
      <c r="H207" s="32"/>
      <c r="I207" s="32"/>
      <c r="J207" s="31"/>
      <c r="K207" s="33" t="str">
        <f aca="false">IF(E207&lt;&gt;"",E207,IF(U207,"Present",IF(C207="Holiday","Holiday","Weekend")))</f>
        <v>Present</v>
      </c>
      <c r="L207" s="34" t="n">
        <f aca="false">IF(OR(K207="Present",K207="Manual Work",K207="Partial Vacation",K207="Partial Sick Leave"),IF(ISNUMBER(F207),F207,IF(AND(K207="Present",U207),Settings!$B$6,"")),"")</f>
        <v>0.333333333333333</v>
      </c>
      <c r="M207" s="34" t="n">
        <f aca="false">IF(OR(K207="Present",K207="Manual Work",K207="Partial Vacation",K207="Partial Sick Leave"),IF(ISNUMBER(G207),G207,IF(AND(K207="Present",U207),V207,"")),"")</f>
        <v>0.6875</v>
      </c>
      <c r="N207" s="14" t="n">
        <f aca="false">IF(AND(ISNUMBER(L207),ISNUMBER(M207)),MAX(0,(M207-L207)*24),0)</f>
        <v>8.5</v>
      </c>
      <c r="O207" s="14" t="n">
        <f aca="false">IF(NOT(U207),0,IF(K207="Vacation",IF(C207="Eve",Settings!$B$9*Settings!$B$11,W207),IF(K207="Partial Vacation",IF(AND(ISNUMBER(H207),ISNUMBER(I207)),MAX(0,(I207-H207)*24),0),0)))</f>
        <v>0</v>
      </c>
      <c r="P207" s="14" t="n">
        <f aca="false">IF(NOT(U207),0,IF(K207="Sick Leave",W207,IF(K207="Partial Sick Leave",IF(AND(ISNUMBER(H207),ISNUMBER(I207)),MAX(0,(I207-H207)*24),0),0)))</f>
        <v>0</v>
      </c>
      <c r="Q207" s="14" t="n">
        <f aca="false">IF(NOT(U207),0,IF(K207="Vacation",IF(C207="Eve",Settings!$B$11,1),IF(K207="Partial Vacation",O207/Settings!$B$9,0)))</f>
        <v>0</v>
      </c>
      <c r="R207" s="14" t="n">
        <f aca="false">IF(NOT(U207),0,IF(K207="Sick Leave",1,IF(K207="Partial Sick Leave",P207/Settings!$B$9,0)))</f>
        <v>0</v>
      </c>
      <c r="S207" s="35" t="str">
        <f aca="false">IF(AND(OR(E207="Vacation",E207="Sick Leave",E207="Partial Vacation",E207="Partial Sick Leave"),NOT(U207)),"Leave not allowed on this day",IF(AND(E207="Manual Work",OR(NOT(ISNUMBER(F207)),NOT(ISNUMBER(G207)))),"Enter start and end",IF(AND(OR(E207="Partial Vacation",E207="Partial Sick Leave"),OR(NOT(ISNUMBER(H207)),NOT(ISNUMBER(I207)))),"Enter leave from and to",IF(AND(ISNUMBER(F207),ISNUMBER(G207),G207&lt;=F207),"End is before start",IF(AND(ISNUMBER(H207),ISNUMBER(I207),I207&lt;=H207),"Leave end is before start",IF(AND(ISNUMBER(F207),ISNUMBER(G207),ISNUMBER(H207),ISNUMBER(I207),F207&lt;I207,H207&lt;G207),"Work and leave hours overlap",IF(AND(E207&lt;&gt;"",WEEKDAY(A207)=7),"Saturday - administrator only","")))))))</f>
        <v/>
      </c>
      <c r="T207" s="36" t="n">
        <f aca="false">MONTH(A207)</f>
        <v>7</v>
      </c>
      <c r="U207" s="37" t="b">
        <f aca="false">OR(C207="Workday",C207="Eve")</f>
        <v>1</v>
      </c>
      <c r="V207" s="34" t="n">
        <f aca="false">IF(C207="Eve",Settings!$B$8,Settings!$B$7)</f>
        <v>0.6875</v>
      </c>
      <c r="W207" s="14" t="n">
        <f aca="false">IF(U207,(V207-Settings!$B$6)*24,0)</f>
        <v>8.5</v>
      </c>
    </row>
    <row r="208" customFormat="false" ht="15" hidden="false" customHeight="false" outlineLevel="0" collapsed="false">
      <c r="A208" s="29" t="n">
        <v>46224</v>
      </c>
      <c r="B208" s="30" t="str">
        <f aca="false">CHOOSE(WEEKDAY(A208),"Sun","Mon","Tue","Wed","Thu","Fri","Sat")</f>
        <v>Tue</v>
      </c>
      <c r="C208" s="30" t="str">
        <f aca="false">IF(IFERROR(INDEX(Holidays!$D$5:$D$60,MATCH(A208,Holidays!$A$5:$A$60,0)),"")="Holiday","Holiday",IF(WEEKDAY(A208)&gt;=6,"Weekend",IF(IFERROR(INDEX(Holidays!$D$5:$D$60,MATCH(A208,Holidays!$A$5:$A$60,0)),"")="Eve","Eve","Workday")))</f>
        <v>Workday</v>
      </c>
      <c r="D208" s="18" t="str">
        <f aca="false">IFERROR(INDEX(Holidays!$C$5:$C$60,MATCH(A208,Holidays!$A$5:$A$60,0)),"")</f>
        <v/>
      </c>
      <c r="E208" s="31"/>
      <c r="F208" s="32"/>
      <c r="G208" s="32"/>
      <c r="H208" s="32"/>
      <c r="I208" s="32"/>
      <c r="J208" s="31"/>
      <c r="K208" s="33" t="str">
        <f aca="false">IF(E208&lt;&gt;"",E208,IF(U208,"Present",IF(C208="Holiday","Holiday","Weekend")))</f>
        <v>Present</v>
      </c>
      <c r="L208" s="34" t="n">
        <f aca="false">IF(OR(K208="Present",K208="Manual Work",K208="Partial Vacation",K208="Partial Sick Leave"),IF(ISNUMBER(F208),F208,IF(AND(K208="Present",U208),Settings!$B$6,"")),"")</f>
        <v>0.333333333333333</v>
      </c>
      <c r="M208" s="34" t="n">
        <f aca="false">IF(OR(K208="Present",K208="Manual Work",K208="Partial Vacation",K208="Partial Sick Leave"),IF(ISNUMBER(G208),G208,IF(AND(K208="Present",U208),V208,"")),"")</f>
        <v>0.6875</v>
      </c>
      <c r="N208" s="14" t="n">
        <f aca="false">IF(AND(ISNUMBER(L208),ISNUMBER(M208)),MAX(0,(M208-L208)*24),0)</f>
        <v>8.5</v>
      </c>
      <c r="O208" s="14" t="n">
        <f aca="false">IF(NOT(U208),0,IF(K208="Vacation",IF(C208="Eve",Settings!$B$9*Settings!$B$11,W208),IF(K208="Partial Vacation",IF(AND(ISNUMBER(H208),ISNUMBER(I208)),MAX(0,(I208-H208)*24),0),0)))</f>
        <v>0</v>
      </c>
      <c r="P208" s="14" t="n">
        <f aca="false">IF(NOT(U208),0,IF(K208="Sick Leave",W208,IF(K208="Partial Sick Leave",IF(AND(ISNUMBER(H208),ISNUMBER(I208)),MAX(0,(I208-H208)*24),0),0)))</f>
        <v>0</v>
      </c>
      <c r="Q208" s="14" t="n">
        <f aca="false">IF(NOT(U208),0,IF(K208="Vacation",IF(C208="Eve",Settings!$B$11,1),IF(K208="Partial Vacation",O208/Settings!$B$9,0)))</f>
        <v>0</v>
      </c>
      <c r="R208" s="14" t="n">
        <f aca="false">IF(NOT(U208),0,IF(K208="Sick Leave",1,IF(K208="Partial Sick Leave",P208/Settings!$B$9,0)))</f>
        <v>0</v>
      </c>
      <c r="S208" s="35" t="str">
        <f aca="false">IF(AND(OR(E208="Vacation",E208="Sick Leave",E208="Partial Vacation",E208="Partial Sick Leave"),NOT(U208)),"Leave not allowed on this day",IF(AND(E208="Manual Work",OR(NOT(ISNUMBER(F208)),NOT(ISNUMBER(G208)))),"Enter start and end",IF(AND(OR(E208="Partial Vacation",E208="Partial Sick Leave"),OR(NOT(ISNUMBER(H208)),NOT(ISNUMBER(I208)))),"Enter leave from and to",IF(AND(ISNUMBER(F208),ISNUMBER(G208),G208&lt;=F208),"End is before start",IF(AND(ISNUMBER(H208),ISNUMBER(I208),I208&lt;=H208),"Leave end is before start",IF(AND(ISNUMBER(F208),ISNUMBER(G208),ISNUMBER(H208),ISNUMBER(I208),F208&lt;I208,H208&lt;G208),"Work and leave hours overlap",IF(AND(E208&lt;&gt;"",WEEKDAY(A208)=7),"Saturday - administrator only","")))))))</f>
        <v/>
      </c>
      <c r="T208" s="36" t="n">
        <f aca="false">MONTH(A208)</f>
        <v>7</v>
      </c>
      <c r="U208" s="37" t="b">
        <f aca="false">OR(C208="Workday",C208="Eve")</f>
        <v>1</v>
      </c>
      <c r="V208" s="34" t="n">
        <f aca="false">IF(C208="Eve",Settings!$B$8,Settings!$B$7)</f>
        <v>0.6875</v>
      </c>
      <c r="W208" s="14" t="n">
        <f aca="false">IF(U208,(V208-Settings!$B$6)*24,0)</f>
        <v>8.5</v>
      </c>
    </row>
    <row r="209" customFormat="false" ht="15" hidden="false" customHeight="false" outlineLevel="0" collapsed="false">
      <c r="A209" s="29" t="n">
        <v>46225</v>
      </c>
      <c r="B209" s="30" t="str">
        <f aca="false">CHOOSE(WEEKDAY(A209),"Sun","Mon","Tue","Wed","Thu","Fri","Sat")</f>
        <v>Wed</v>
      </c>
      <c r="C209" s="30" t="str">
        <f aca="false">IF(IFERROR(INDEX(Holidays!$D$5:$D$60,MATCH(A209,Holidays!$A$5:$A$60,0)),"")="Holiday","Holiday",IF(WEEKDAY(A209)&gt;=6,"Weekend",IF(IFERROR(INDEX(Holidays!$D$5:$D$60,MATCH(A209,Holidays!$A$5:$A$60,0)),"")="Eve","Eve","Workday")))</f>
        <v>Workday</v>
      </c>
      <c r="D209" s="18" t="str">
        <f aca="false">IFERROR(INDEX(Holidays!$C$5:$C$60,MATCH(A209,Holidays!$A$5:$A$60,0)),"")</f>
        <v/>
      </c>
      <c r="E209" s="31"/>
      <c r="F209" s="32"/>
      <c r="G209" s="32"/>
      <c r="H209" s="32"/>
      <c r="I209" s="32"/>
      <c r="J209" s="31"/>
      <c r="K209" s="33" t="str">
        <f aca="false">IF(E209&lt;&gt;"",E209,IF(U209,"Present",IF(C209="Holiday","Holiday","Weekend")))</f>
        <v>Present</v>
      </c>
      <c r="L209" s="34" t="n">
        <f aca="false">IF(OR(K209="Present",K209="Manual Work",K209="Partial Vacation",K209="Partial Sick Leave"),IF(ISNUMBER(F209),F209,IF(AND(K209="Present",U209),Settings!$B$6,"")),"")</f>
        <v>0.333333333333333</v>
      </c>
      <c r="M209" s="34" t="n">
        <f aca="false">IF(OR(K209="Present",K209="Manual Work",K209="Partial Vacation",K209="Partial Sick Leave"),IF(ISNUMBER(G209),G209,IF(AND(K209="Present",U209),V209,"")),"")</f>
        <v>0.6875</v>
      </c>
      <c r="N209" s="14" t="n">
        <f aca="false">IF(AND(ISNUMBER(L209),ISNUMBER(M209)),MAX(0,(M209-L209)*24),0)</f>
        <v>8.5</v>
      </c>
      <c r="O209" s="14" t="n">
        <f aca="false">IF(NOT(U209),0,IF(K209="Vacation",IF(C209="Eve",Settings!$B$9*Settings!$B$11,W209),IF(K209="Partial Vacation",IF(AND(ISNUMBER(H209),ISNUMBER(I209)),MAX(0,(I209-H209)*24),0),0)))</f>
        <v>0</v>
      </c>
      <c r="P209" s="14" t="n">
        <f aca="false">IF(NOT(U209),0,IF(K209="Sick Leave",W209,IF(K209="Partial Sick Leave",IF(AND(ISNUMBER(H209),ISNUMBER(I209)),MAX(0,(I209-H209)*24),0),0)))</f>
        <v>0</v>
      </c>
      <c r="Q209" s="14" t="n">
        <f aca="false">IF(NOT(U209),0,IF(K209="Vacation",IF(C209="Eve",Settings!$B$11,1),IF(K209="Partial Vacation",O209/Settings!$B$9,0)))</f>
        <v>0</v>
      </c>
      <c r="R209" s="14" t="n">
        <f aca="false">IF(NOT(U209),0,IF(K209="Sick Leave",1,IF(K209="Partial Sick Leave",P209/Settings!$B$9,0)))</f>
        <v>0</v>
      </c>
      <c r="S209" s="35" t="str">
        <f aca="false">IF(AND(OR(E209="Vacation",E209="Sick Leave",E209="Partial Vacation",E209="Partial Sick Leave"),NOT(U209)),"Leave not allowed on this day",IF(AND(E209="Manual Work",OR(NOT(ISNUMBER(F209)),NOT(ISNUMBER(G209)))),"Enter start and end",IF(AND(OR(E209="Partial Vacation",E209="Partial Sick Leave"),OR(NOT(ISNUMBER(H209)),NOT(ISNUMBER(I209)))),"Enter leave from and to",IF(AND(ISNUMBER(F209),ISNUMBER(G209),G209&lt;=F209),"End is before start",IF(AND(ISNUMBER(H209),ISNUMBER(I209),I209&lt;=H209),"Leave end is before start",IF(AND(ISNUMBER(F209),ISNUMBER(G209),ISNUMBER(H209),ISNUMBER(I209),F209&lt;I209,H209&lt;G209),"Work and leave hours overlap",IF(AND(E209&lt;&gt;"",WEEKDAY(A209)=7),"Saturday - administrator only","")))))))</f>
        <v/>
      </c>
      <c r="T209" s="36" t="n">
        <f aca="false">MONTH(A209)</f>
        <v>7</v>
      </c>
      <c r="U209" s="37" t="b">
        <f aca="false">OR(C209="Workday",C209="Eve")</f>
        <v>1</v>
      </c>
      <c r="V209" s="34" t="n">
        <f aca="false">IF(C209="Eve",Settings!$B$8,Settings!$B$7)</f>
        <v>0.6875</v>
      </c>
      <c r="W209" s="14" t="n">
        <f aca="false">IF(U209,(V209-Settings!$B$6)*24,0)</f>
        <v>8.5</v>
      </c>
    </row>
    <row r="210" customFormat="false" ht="15" hidden="false" customHeight="false" outlineLevel="0" collapsed="false">
      <c r="A210" s="29" t="n">
        <v>46226</v>
      </c>
      <c r="B210" s="30" t="str">
        <f aca="false">CHOOSE(WEEKDAY(A210),"Sun","Mon","Tue","Wed","Thu","Fri","Sat")</f>
        <v>Thu</v>
      </c>
      <c r="C210" s="30" t="str">
        <f aca="false">IF(IFERROR(INDEX(Holidays!$D$5:$D$60,MATCH(A210,Holidays!$A$5:$A$60,0)),"")="Holiday","Holiday",IF(WEEKDAY(A210)&gt;=6,"Weekend",IF(IFERROR(INDEX(Holidays!$D$5:$D$60,MATCH(A210,Holidays!$A$5:$A$60,0)),"")="Eve","Eve","Workday")))</f>
        <v>Workday</v>
      </c>
      <c r="D210" s="18" t="str">
        <f aca="false">IFERROR(INDEX(Holidays!$C$5:$C$60,MATCH(A210,Holidays!$A$5:$A$60,0)),"")</f>
        <v/>
      </c>
      <c r="E210" s="31"/>
      <c r="F210" s="32"/>
      <c r="G210" s="32"/>
      <c r="H210" s="32"/>
      <c r="I210" s="32"/>
      <c r="J210" s="31"/>
      <c r="K210" s="33" t="str">
        <f aca="false">IF(E210&lt;&gt;"",E210,IF(U210,"Present",IF(C210="Holiday","Holiday","Weekend")))</f>
        <v>Present</v>
      </c>
      <c r="L210" s="34" t="n">
        <f aca="false">IF(OR(K210="Present",K210="Manual Work",K210="Partial Vacation",K210="Partial Sick Leave"),IF(ISNUMBER(F210),F210,IF(AND(K210="Present",U210),Settings!$B$6,"")),"")</f>
        <v>0.333333333333333</v>
      </c>
      <c r="M210" s="34" t="n">
        <f aca="false">IF(OR(K210="Present",K210="Manual Work",K210="Partial Vacation",K210="Partial Sick Leave"),IF(ISNUMBER(G210),G210,IF(AND(K210="Present",U210),V210,"")),"")</f>
        <v>0.6875</v>
      </c>
      <c r="N210" s="14" t="n">
        <f aca="false">IF(AND(ISNUMBER(L210),ISNUMBER(M210)),MAX(0,(M210-L210)*24),0)</f>
        <v>8.5</v>
      </c>
      <c r="O210" s="14" t="n">
        <f aca="false">IF(NOT(U210),0,IF(K210="Vacation",IF(C210="Eve",Settings!$B$9*Settings!$B$11,W210),IF(K210="Partial Vacation",IF(AND(ISNUMBER(H210),ISNUMBER(I210)),MAX(0,(I210-H210)*24),0),0)))</f>
        <v>0</v>
      </c>
      <c r="P210" s="14" t="n">
        <f aca="false">IF(NOT(U210),0,IF(K210="Sick Leave",W210,IF(K210="Partial Sick Leave",IF(AND(ISNUMBER(H210),ISNUMBER(I210)),MAX(0,(I210-H210)*24),0),0)))</f>
        <v>0</v>
      </c>
      <c r="Q210" s="14" t="n">
        <f aca="false">IF(NOT(U210),0,IF(K210="Vacation",IF(C210="Eve",Settings!$B$11,1),IF(K210="Partial Vacation",O210/Settings!$B$9,0)))</f>
        <v>0</v>
      </c>
      <c r="R210" s="14" t="n">
        <f aca="false">IF(NOT(U210),0,IF(K210="Sick Leave",1,IF(K210="Partial Sick Leave",P210/Settings!$B$9,0)))</f>
        <v>0</v>
      </c>
      <c r="S210" s="35" t="str">
        <f aca="false">IF(AND(OR(E210="Vacation",E210="Sick Leave",E210="Partial Vacation",E210="Partial Sick Leave"),NOT(U210)),"Leave not allowed on this day",IF(AND(E210="Manual Work",OR(NOT(ISNUMBER(F210)),NOT(ISNUMBER(G210)))),"Enter start and end",IF(AND(OR(E210="Partial Vacation",E210="Partial Sick Leave"),OR(NOT(ISNUMBER(H210)),NOT(ISNUMBER(I210)))),"Enter leave from and to",IF(AND(ISNUMBER(F210),ISNUMBER(G210),G210&lt;=F210),"End is before start",IF(AND(ISNUMBER(H210),ISNUMBER(I210),I210&lt;=H210),"Leave end is before start",IF(AND(ISNUMBER(F210),ISNUMBER(G210),ISNUMBER(H210),ISNUMBER(I210),F210&lt;I210,H210&lt;G210),"Work and leave hours overlap",IF(AND(E210&lt;&gt;"",WEEKDAY(A210)=7),"Saturday - administrator only","")))))))</f>
        <v/>
      </c>
      <c r="T210" s="36" t="n">
        <f aca="false">MONTH(A210)</f>
        <v>7</v>
      </c>
      <c r="U210" s="37" t="b">
        <f aca="false">OR(C210="Workday",C210="Eve")</f>
        <v>1</v>
      </c>
      <c r="V210" s="34" t="n">
        <f aca="false">IF(C210="Eve",Settings!$B$8,Settings!$B$7)</f>
        <v>0.6875</v>
      </c>
      <c r="W210" s="14" t="n">
        <f aca="false">IF(U210,(V210-Settings!$B$6)*24,0)</f>
        <v>8.5</v>
      </c>
    </row>
    <row r="211" customFormat="false" ht="15" hidden="false" customHeight="false" outlineLevel="0" collapsed="false">
      <c r="A211" s="29" t="n">
        <v>46227</v>
      </c>
      <c r="B211" s="30" t="str">
        <f aca="false">CHOOSE(WEEKDAY(A211),"Sun","Mon","Tue","Wed","Thu","Fri","Sat")</f>
        <v>Fri</v>
      </c>
      <c r="C211" s="30" t="str">
        <f aca="false">IF(IFERROR(INDEX(Holidays!$D$5:$D$60,MATCH(A211,Holidays!$A$5:$A$60,0)),"")="Holiday","Holiday",IF(WEEKDAY(A211)&gt;=6,"Weekend",IF(IFERROR(INDEX(Holidays!$D$5:$D$60,MATCH(A211,Holidays!$A$5:$A$60,0)),"")="Eve","Eve","Workday")))</f>
        <v>Weekend</v>
      </c>
      <c r="D211" s="18" t="str">
        <f aca="false">IFERROR(INDEX(Holidays!$C$5:$C$60,MATCH(A211,Holidays!$A$5:$A$60,0)),"")</f>
        <v/>
      </c>
      <c r="E211" s="31"/>
      <c r="F211" s="32"/>
      <c r="G211" s="32"/>
      <c r="H211" s="32"/>
      <c r="I211" s="32"/>
      <c r="J211" s="31"/>
      <c r="K211" s="33" t="str">
        <f aca="false">IF(E211&lt;&gt;"",E211,IF(U211,"Present",IF(C211="Holiday","Holiday","Weekend")))</f>
        <v>Weekend</v>
      </c>
      <c r="L211" s="34" t="str">
        <f aca="false">IF(OR(K211="Present",K211="Manual Work",K211="Partial Vacation",K211="Partial Sick Leave"),IF(ISNUMBER(F211),F211,IF(AND(K211="Present",U211),Settings!$B$6,"")),"")</f>
        <v/>
      </c>
      <c r="M211" s="34" t="str">
        <f aca="false">IF(OR(K211="Present",K211="Manual Work",K211="Partial Vacation",K211="Partial Sick Leave"),IF(ISNUMBER(G211),G211,IF(AND(K211="Present",U211),V211,"")),"")</f>
        <v/>
      </c>
      <c r="N211" s="14" t="n">
        <f aca="false">IF(AND(ISNUMBER(L211),ISNUMBER(M211)),MAX(0,(M211-L211)*24),0)</f>
        <v>0</v>
      </c>
      <c r="O211" s="14" t="n">
        <f aca="false">IF(NOT(U211),0,IF(K211="Vacation",IF(C211="Eve",Settings!$B$9*Settings!$B$11,W211),IF(K211="Partial Vacation",IF(AND(ISNUMBER(H211),ISNUMBER(I211)),MAX(0,(I211-H211)*24),0),0)))</f>
        <v>0</v>
      </c>
      <c r="P211" s="14" t="n">
        <f aca="false">IF(NOT(U211),0,IF(K211="Sick Leave",W211,IF(K211="Partial Sick Leave",IF(AND(ISNUMBER(H211),ISNUMBER(I211)),MAX(0,(I211-H211)*24),0),0)))</f>
        <v>0</v>
      </c>
      <c r="Q211" s="14" t="n">
        <f aca="false">IF(NOT(U211),0,IF(K211="Vacation",IF(C211="Eve",Settings!$B$11,1),IF(K211="Partial Vacation",O211/Settings!$B$9,0)))</f>
        <v>0</v>
      </c>
      <c r="R211" s="14" t="n">
        <f aca="false">IF(NOT(U211),0,IF(K211="Sick Leave",1,IF(K211="Partial Sick Leave",P211/Settings!$B$9,0)))</f>
        <v>0</v>
      </c>
      <c r="S211" s="35" t="str">
        <f aca="false">IF(AND(OR(E211="Vacation",E211="Sick Leave",E211="Partial Vacation",E211="Partial Sick Leave"),NOT(U211)),"Leave not allowed on this day",IF(AND(E211="Manual Work",OR(NOT(ISNUMBER(F211)),NOT(ISNUMBER(G211)))),"Enter start and end",IF(AND(OR(E211="Partial Vacation",E211="Partial Sick Leave"),OR(NOT(ISNUMBER(H211)),NOT(ISNUMBER(I211)))),"Enter leave from and to",IF(AND(ISNUMBER(F211),ISNUMBER(G211),G211&lt;=F211),"End is before start",IF(AND(ISNUMBER(H211),ISNUMBER(I211),I211&lt;=H211),"Leave end is before start",IF(AND(ISNUMBER(F211),ISNUMBER(G211),ISNUMBER(H211),ISNUMBER(I211),F211&lt;I211,H211&lt;G211),"Work and leave hours overlap",IF(AND(E211&lt;&gt;"",WEEKDAY(A211)=7),"Saturday - administrator only","")))))))</f>
        <v/>
      </c>
      <c r="T211" s="36" t="n">
        <f aca="false">MONTH(A211)</f>
        <v>7</v>
      </c>
      <c r="U211" s="37" t="b">
        <f aca="false">OR(C211="Workday",C211="Eve")</f>
        <v>0</v>
      </c>
      <c r="V211" s="34" t="n">
        <f aca="false">IF(C211="Eve",Settings!$B$8,Settings!$B$7)</f>
        <v>0.6875</v>
      </c>
      <c r="W211" s="14" t="n">
        <f aca="false">IF(U211,(V211-Settings!$B$6)*24,0)</f>
        <v>0</v>
      </c>
    </row>
    <row r="212" customFormat="false" ht="15" hidden="false" customHeight="false" outlineLevel="0" collapsed="false">
      <c r="A212" s="29" t="n">
        <v>46228</v>
      </c>
      <c r="B212" s="30" t="str">
        <f aca="false">CHOOSE(WEEKDAY(A212),"Sun","Mon","Tue","Wed","Thu","Fri","Sat")</f>
        <v>Sat</v>
      </c>
      <c r="C212" s="30" t="str">
        <f aca="false">IF(IFERROR(INDEX(Holidays!$D$5:$D$60,MATCH(A212,Holidays!$A$5:$A$60,0)),"")="Holiday","Holiday",IF(WEEKDAY(A212)&gt;=6,"Weekend",IF(IFERROR(INDEX(Holidays!$D$5:$D$60,MATCH(A212,Holidays!$A$5:$A$60,0)),"")="Eve","Eve","Workday")))</f>
        <v>Weekend</v>
      </c>
      <c r="D212" s="18" t="str">
        <f aca="false">IFERROR(INDEX(Holidays!$C$5:$C$60,MATCH(A212,Holidays!$A$5:$A$60,0)),"")</f>
        <v/>
      </c>
      <c r="E212" s="31"/>
      <c r="F212" s="32"/>
      <c r="G212" s="32"/>
      <c r="H212" s="32"/>
      <c r="I212" s="32"/>
      <c r="J212" s="31"/>
      <c r="K212" s="33" t="str">
        <f aca="false">IF(E212&lt;&gt;"",E212,IF(U212,"Present",IF(C212="Holiday","Holiday","Weekend")))</f>
        <v>Weekend</v>
      </c>
      <c r="L212" s="34" t="str">
        <f aca="false">IF(OR(K212="Present",K212="Manual Work",K212="Partial Vacation",K212="Partial Sick Leave"),IF(ISNUMBER(F212),F212,IF(AND(K212="Present",U212),Settings!$B$6,"")),"")</f>
        <v/>
      </c>
      <c r="M212" s="34" t="str">
        <f aca="false">IF(OR(K212="Present",K212="Manual Work",K212="Partial Vacation",K212="Partial Sick Leave"),IF(ISNUMBER(G212),G212,IF(AND(K212="Present",U212),V212,"")),"")</f>
        <v/>
      </c>
      <c r="N212" s="14" t="n">
        <f aca="false">IF(AND(ISNUMBER(L212),ISNUMBER(M212)),MAX(0,(M212-L212)*24),0)</f>
        <v>0</v>
      </c>
      <c r="O212" s="14" t="n">
        <f aca="false">IF(NOT(U212),0,IF(K212="Vacation",IF(C212="Eve",Settings!$B$9*Settings!$B$11,W212),IF(K212="Partial Vacation",IF(AND(ISNUMBER(H212),ISNUMBER(I212)),MAX(0,(I212-H212)*24),0),0)))</f>
        <v>0</v>
      </c>
      <c r="P212" s="14" t="n">
        <f aca="false">IF(NOT(U212),0,IF(K212="Sick Leave",W212,IF(K212="Partial Sick Leave",IF(AND(ISNUMBER(H212),ISNUMBER(I212)),MAX(0,(I212-H212)*24),0),0)))</f>
        <v>0</v>
      </c>
      <c r="Q212" s="14" t="n">
        <f aca="false">IF(NOT(U212),0,IF(K212="Vacation",IF(C212="Eve",Settings!$B$11,1),IF(K212="Partial Vacation",O212/Settings!$B$9,0)))</f>
        <v>0</v>
      </c>
      <c r="R212" s="14" t="n">
        <f aca="false">IF(NOT(U212),0,IF(K212="Sick Leave",1,IF(K212="Partial Sick Leave",P212/Settings!$B$9,0)))</f>
        <v>0</v>
      </c>
      <c r="S212" s="35" t="str">
        <f aca="false">IF(AND(OR(E212="Vacation",E212="Sick Leave",E212="Partial Vacation",E212="Partial Sick Leave"),NOT(U212)),"Leave not allowed on this day",IF(AND(E212="Manual Work",OR(NOT(ISNUMBER(F212)),NOT(ISNUMBER(G212)))),"Enter start and end",IF(AND(OR(E212="Partial Vacation",E212="Partial Sick Leave"),OR(NOT(ISNUMBER(H212)),NOT(ISNUMBER(I212)))),"Enter leave from and to",IF(AND(ISNUMBER(F212),ISNUMBER(G212),G212&lt;=F212),"End is before start",IF(AND(ISNUMBER(H212),ISNUMBER(I212),I212&lt;=H212),"Leave end is before start",IF(AND(ISNUMBER(F212),ISNUMBER(G212),ISNUMBER(H212),ISNUMBER(I212),F212&lt;I212,H212&lt;G212),"Work and leave hours overlap",IF(AND(E212&lt;&gt;"",WEEKDAY(A212)=7),"Saturday - administrator only","")))))))</f>
        <v/>
      </c>
      <c r="T212" s="36" t="n">
        <f aca="false">MONTH(A212)</f>
        <v>7</v>
      </c>
      <c r="U212" s="37" t="b">
        <f aca="false">OR(C212="Workday",C212="Eve")</f>
        <v>0</v>
      </c>
      <c r="V212" s="34" t="n">
        <f aca="false">IF(C212="Eve",Settings!$B$8,Settings!$B$7)</f>
        <v>0.6875</v>
      </c>
      <c r="W212" s="14" t="n">
        <f aca="false">IF(U212,(V212-Settings!$B$6)*24,0)</f>
        <v>0</v>
      </c>
    </row>
    <row r="213" customFormat="false" ht="15" hidden="false" customHeight="false" outlineLevel="0" collapsed="false">
      <c r="A213" s="29" t="n">
        <v>46229</v>
      </c>
      <c r="B213" s="30" t="str">
        <f aca="false">CHOOSE(WEEKDAY(A213),"Sun","Mon","Tue","Wed","Thu","Fri","Sat")</f>
        <v>Sun</v>
      </c>
      <c r="C213" s="30" t="str">
        <f aca="false">IF(IFERROR(INDEX(Holidays!$D$5:$D$60,MATCH(A213,Holidays!$A$5:$A$60,0)),"")="Holiday","Holiday",IF(WEEKDAY(A213)&gt;=6,"Weekend",IF(IFERROR(INDEX(Holidays!$D$5:$D$60,MATCH(A213,Holidays!$A$5:$A$60,0)),"")="Eve","Eve","Workday")))</f>
        <v>Workday</v>
      </c>
      <c r="D213" s="18" t="str">
        <f aca="false">IFERROR(INDEX(Holidays!$C$5:$C$60,MATCH(A213,Holidays!$A$5:$A$60,0)),"")</f>
        <v/>
      </c>
      <c r="E213" s="31"/>
      <c r="F213" s="32"/>
      <c r="G213" s="32"/>
      <c r="H213" s="32"/>
      <c r="I213" s="32"/>
      <c r="J213" s="31"/>
      <c r="K213" s="33" t="str">
        <f aca="false">IF(E213&lt;&gt;"",E213,IF(U213,"Present",IF(C213="Holiday","Holiday","Weekend")))</f>
        <v>Present</v>
      </c>
      <c r="L213" s="34" t="n">
        <f aca="false">IF(OR(K213="Present",K213="Manual Work",K213="Partial Vacation",K213="Partial Sick Leave"),IF(ISNUMBER(F213),F213,IF(AND(K213="Present",U213),Settings!$B$6,"")),"")</f>
        <v>0.333333333333333</v>
      </c>
      <c r="M213" s="34" t="n">
        <f aca="false">IF(OR(K213="Present",K213="Manual Work",K213="Partial Vacation",K213="Partial Sick Leave"),IF(ISNUMBER(G213),G213,IF(AND(K213="Present",U213),V213,"")),"")</f>
        <v>0.6875</v>
      </c>
      <c r="N213" s="14" t="n">
        <f aca="false">IF(AND(ISNUMBER(L213),ISNUMBER(M213)),MAX(0,(M213-L213)*24),0)</f>
        <v>8.5</v>
      </c>
      <c r="O213" s="14" t="n">
        <f aca="false">IF(NOT(U213),0,IF(K213="Vacation",IF(C213="Eve",Settings!$B$9*Settings!$B$11,W213),IF(K213="Partial Vacation",IF(AND(ISNUMBER(H213),ISNUMBER(I213)),MAX(0,(I213-H213)*24),0),0)))</f>
        <v>0</v>
      </c>
      <c r="P213" s="14" t="n">
        <f aca="false">IF(NOT(U213),0,IF(K213="Sick Leave",W213,IF(K213="Partial Sick Leave",IF(AND(ISNUMBER(H213),ISNUMBER(I213)),MAX(0,(I213-H213)*24),0),0)))</f>
        <v>0</v>
      </c>
      <c r="Q213" s="14" t="n">
        <f aca="false">IF(NOT(U213),0,IF(K213="Vacation",IF(C213="Eve",Settings!$B$11,1),IF(K213="Partial Vacation",O213/Settings!$B$9,0)))</f>
        <v>0</v>
      </c>
      <c r="R213" s="14" t="n">
        <f aca="false">IF(NOT(U213),0,IF(K213="Sick Leave",1,IF(K213="Partial Sick Leave",P213/Settings!$B$9,0)))</f>
        <v>0</v>
      </c>
      <c r="S213" s="35" t="str">
        <f aca="false">IF(AND(OR(E213="Vacation",E213="Sick Leave",E213="Partial Vacation",E213="Partial Sick Leave"),NOT(U213)),"Leave not allowed on this day",IF(AND(E213="Manual Work",OR(NOT(ISNUMBER(F213)),NOT(ISNUMBER(G213)))),"Enter start and end",IF(AND(OR(E213="Partial Vacation",E213="Partial Sick Leave"),OR(NOT(ISNUMBER(H213)),NOT(ISNUMBER(I213)))),"Enter leave from and to",IF(AND(ISNUMBER(F213),ISNUMBER(G213),G213&lt;=F213),"End is before start",IF(AND(ISNUMBER(H213),ISNUMBER(I213),I213&lt;=H213),"Leave end is before start",IF(AND(ISNUMBER(F213),ISNUMBER(G213),ISNUMBER(H213),ISNUMBER(I213),F213&lt;I213,H213&lt;G213),"Work and leave hours overlap",IF(AND(E213&lt;&gt;"",WEEKDAY(A213)=7),"Saturday - administrator only","")))))))</f>
        <v/>
      </c>
      <c r="T213" s="36" t="n">
        <f aca="false">MONTH(A213)</f>
        <v>7</v>
      </c>
      <c r="U213" s="37" t="b">
        <f aca="false">OR(C213="Workday",C213="Eve")</f>
        <v>1</v>
      </c>
      <c r="V213" s="34" t="n">
        <f aca="false">IF(C213="Eve",Settings!$B$8,Settings!$B$7)</f>
        <v>0.6875</v>
      </c>
      <c r="W213" s="14" t="n">
        <f aca="false">IF(U213,(V213-Settings!$B$6)*24,0)</f>
        <v>8.5</v>
      </c>
    </row>
    <row r="214" customFormat="false" ht="15" hidden="false" customHeight="false" outlineLevel="0" collapsed="false">
      <c r="A214" s="29" t="n">
        <v>46230</v>
      </c>
      <c r="B214" s="30" t="str">
        <f aca="false">CHOOSE(WEEKDAY(A214),"Sun","Mon","Tue","Wed","Thu","Fri","Sat")</f>
        <v>Mon</v>
      </c>
      <c r="C214" s="30" t="str">
        <f aca="false">IF(IFERROR(INDEX(Holidays!$D$5:$D$60,MATCH(A214,Holidays!$A$5:$A$60,0)),"")="Holiday","Holiday",IF(WEEKDAY(A214)&gt;=6,"Weekend",IF(IFERROR(INDEX(Holidays!$D$5:$D$60,MATCH(A214,Holidays!$A$5:$A$60,0)),"")="Eve","Eve","Workday")))</f>
        <v>Workday</v>
      </c>
      <c r="D214" s="18" t="str">
        <f aca="false">IFERROR(INDEX(Holidays!$C$5:$C$60,MATCH(A214,Holidays!$A$5:$A$60,0)),"")</f>
        <v/>
      </c>
      <c r="E214" s="31"/>
      <c r="F214" s="32"/>
      <c r="G214" s="32"/>
      <c r="H214" s="32"/>
      <c r="I214" s="32"/>
      <c r="J214" s="31"/>
      <c r="K214" s="33" t="str">
        <f aca="false">IF(E214&lt;&gt;"",E214,IF(U214,"Present",IF(C214="Holiday","Holiday","Weekend")))</f>
        <v>Present</v>
      </c>
      <c r="L214" s="34" t="n">
        <f aca="false">IF(OR(K214="Present",K214="Manual Work",K214="Partial Vacation",K214="Partial Sick Leave"),IF(ISNUMBER(F214),F214,IF(AND(K214="Present",U214),Settings!$B$6,"")),"")</f>
        <v>0.333333333333333</v>
      </c>
      <c r="M214" s="34" t="n">
        <f aca="false">IF(OR(K214="Present",K214="Manual Work",K214="Partial Vacation",K214="Partial Sick Leave"),IF(ISNUMBER(G214),G214,IF(AND(K214="Present",U214),V214,"")),"")</f>
        <v>0.6875</v>
      </c>
      <c r="N214" s="14" t="n">
        <f aca="false">IF(AND(ISNUMBER(L214),ISNUMBER(M214)),MAX(0,(M214-L214)*24),0)</f>
        <v>8.5</v>
      </c>
      <c r="O214" s="14" t="n">
        <f aca="false">IF(NOT(U214),0,IF(K214="Vacation",IF(C214="Eve",Settings!$B$9*Settings!$B$11,W214),IF(K214="Partial Vacation",IF(AND(ISNUMBER(H214),ISNUMBER(I214)),MAX(0,(I214-H214)*24),0),0)))</f>
        <v>0</v>
      </c>
      <c r="P214" s="14" t="n">
        <f aca="false">IF(NOT(U214),0,IF(K214="Sick Leave",W214,IF(K214="Partial Sick Leave",IF(AND(ISNUMBER(H214),ISNUMBER(I214)),MAX(0,(I214-H214)*24),0),0)))</f>
        <v>0</v>
      </c>
      <c r="Q214" s="14" t="n">
        <f aca="false">IF(NOT(U214),0,IF(K214="Vacation",IF(C214="Eve",Settings!$B$11,1),IF(K214="Partial Vacation",O214/Settings!$B$9,0)))</f>
        <v>0</v>
      </c>
      <c r="R214" s="14" t="n">
        <f aca="false">IF(NOT(U214),0,IF(K214="Sick Leave",1,IF(K214="Partial Sick Leave",P214/Settings!$B$9,0)))</f>
        <v>0</v>
      </c>
      <c r="S214" s="35" t="str">
        <f aca="false">IF(AND(OR(E214="Vacation",E214="Sick Leave",E214="Partial Vacation",E214="Partial Sick Leave"),NOT(U214)),"Leave not allowed on this day",IF(AND(E214="Manual Work",OR(NOT(ISNUMBER(F214)),NOT(ISNUMBER(G214)))),"Enter start and end",IF(AND(OR(E214="Partial Vacation",E214="Partial Sick Leave"),OR(NOT(ISNUMBER(H214)),NOT(ISNUMBER(I214)))),"Enter leave from and to",IF(AND(ISNUMBER(F214),ISNUMBER(G214),G214&lt;=F214),"End is before start",IF(AND(ISNUMBER(H214),ISNUMBER(I214),I214&lt;=H214),"Leave end is before start",IF(AND(ISNUMBER(F214),ISNUMBER(G214),ISNUMBER(H214),ISNUMBER(I214),F214&lt;I214,H214&lt;G214),"Work and leave hours overlap",IF(AND(E214&lt;&gt;"",WEEKDAY(A214)=7),"Saturday - administrator only","")))))))</f>
        <v/>
      </c>
      <c r="T214" s="36" t="n">
        <f aca="false">MONTH(A214)</f>
        <v>7</v>
      </c>
      <c r="U214" s="37" t="b">
        <f aca="false">OR(C214="Workday",C214="Eve")</f>
        <v>1</v>
      </c>
      <c r="V214" s="34" t="n">
        <f aca="false">IF(C214="Eve",Settings!$B$8,Settings!$B$7)</f>
        <v>0.6875</v>
      </c>
      <c r="W214" s="14" t="n">
        <f aca="false">IF(U214,(V214-Settings!$B$6)*24,0)</f>
        <v>8.5</v>
      </c>
    </row>
    <row r="215" customFormat="false" ht="15" hidden="false" customHeight="false" outlineLevel="0" collapsed="false">
      <c r="A215" s="29" t="n">
        <v>46231</v>
      </c>
      <c r="B215" s="30" t="str">
        <f aca="false">CHOOSE(WEEKDAY(A215),"Sun","Mon","Tue","Wed","Thu","Fri","Sat")</f>
        <v>Tue</v>
      </c>
      <c r="C215" s="30" t="str">
        <f aca="false">IF(IFERROR(INDEX(Holidays!$D$5:$D$60,MATCH(A215,Holidays!$A$5:$A$60,0)),"")="Holiday","Holiday",IF(WEEKDAY(A215)&gt;=6,"Weekend",IF(IFERROR(INDEX(Holidays!$D$5:$D$60,MATCH(A215,Holidays!$A$5:$A$60,0)),"")="Eve","Eve","Workday")))</f>
        <v>Workday</v>
      </c>
      <c r="D215" s="18" t="str">
        <f aca="false">IFERROR(INDEX(Holidays!$C$5:$C$60,MATCH(A215,Holidays!$A$5:$A$60,0)),"")</f>
        <v/>
      </c>
      <c r="E215" s="31"/>
      <c r="F215" s="32"/>
      <c r="G215" s="32"/>
      <c r="H215" s="32"/>
      <c r="I215" s="32"/>
      <c r="J215" s="31"/>
      <c r="K215" s="33" t="str">
        <f aca="false">IF(E215&lt;&gt;"",E215,IF(U215,"Present",IF(C215="Holiday","Holiday","Weekend")))</f>
        <v>Present</v>
      </c>
      <c r="L215" s="34" t="n">
        <f aca="false">IF(OR(K215="Present",K215="Manual Work",K215="Partial Vacation",K215="Partial Sick Leave"),IF(ISNUMBER(F215),F215,IF(AND(K215="Present",U215),Settings!$B$6,"")),"")</f>
        <v>0.333333333333333</v>
      </c>
      <c r="M215" s="34" t="n">
        <f aca="false">IF(OR(K215="Present",K215="Manual Work",K215="Partial Vacation",K215="Partial Sick Leave"),IF(ISNUMBER(G215),G215,IF(AND(K215="Present",U215),V215,"")),"")</f>
        <v>0.6875</v>
      </c>
      <c r="N215" s="14" t="n">
        <f aca="false">IF(AND(ISNUMBER(L215),ISNUMBER(M215)),MAX(0,(M215-L215)*24),0)</f>
        <v>8.5</v>
      </c>
      <c r="O215" s="14" t="n">
        <f aca="false">IF(NOT(U215),0,IF(K215="Vacation",IF(C215="Eve",Settings!$B$9*Settings!$B$11,W215),IF(K215="Partial Vacation",IF(AND(ISNUMBER(H215),ISNUMBER(I215)),MAX(0,(I215-H215)*24),0),0)))</f>
        <v>0</v>
      </c>
      <c r="P215" s="14" t="n">
        <f aca="false">IF(NOT(U215),0,IF(K215="Sick Leave",W215,IF(K215="Partial Sick Leave",IF(AND(ISNUMBER(H215),ISNUMBER(I215)),MAX(0,(I215-H215)*24),0),0)))</f>
        <v>0</v>
      </c>
      <c r="Q215" s="14" t="n">
        <f aca="false">IF(NOT(U215),0,IF(K215="Vacation",IF(C215="Eve",Settings!$B$11,1),IF(K215="Partial Vacation",O215/Settings!$B$9,0)))</f>
        <v>0</v>
      </c>
      <c r="R215" s="14" t="n">
        <f aca="false">IF(NOT(U215),0,IF(K215="Sick Leave",1,IF(K215="Partial Sick Leave",P215/Settings!$B$9,0)))</f>
        <v>0</v>
      </c>
      <c r="S215" s="35" t="str">
        <f aca="false">IF(AND(OR(E215="Vacation",E215="Sick Leave",E215="Partial Vacation",E215="Partial Sick Leave"),NOT(U215)),"Leave not allowed on this day",IF(AND(E215="Manual Work",OR(NOT(ISNUMBER(F215)),NOT(ISNUMBER(G215)))),"Enter start and end",IF(AND(OR(E215="Partial Vacation",E215="Partial Sick Leave"),OR(NOT(ISNUMBER(H215)),NOT(ISNUMBER(I215)))),"Enter leave from and to",IF(AND(ISNUMBER(F215),ISNUMBER(G215),G215&lt;=F215),"End is before start",IF(AND(ISNUMBER(H215),ISNUMBER(I215),I215&lt;=H215),"Leave end is before start",IF(AND(ISNUMBER(F215),ISNUMBER(G215),ISNUMBER(H215),ISNUMBER(I215),F215&lt;I215,H215&lt;G215),"Work and leave hours overlap",IF(AND(E215&lt;&gt;"",WEEKDAY(A215)=7),"Saturday - administrator only","")))))))</f>
        <v/>
      </c>
      <c r="T215" s="36" t="n">
        <f aca="false">MONTH(A215)</f>
        <v>7</v>
      </c>
      <c r="U215" s="37" t="b">
        <f aca="false">OR(C215="Workday",C215="Eve")</f>
        <v>1</v>
      </c>
      <c r="V215" s="34" t="n">
        <f aca="false">IF(C215="Eve",Settings!$B$8,Settings!$B$7)</f>
        <v>0.6875</v>
      </c>
      <c r="W215" s="14" t="n">
        <f aca="false">IF(U215,(V215-Settings!$B$6)*24,0)</f>
        <v>8.5</v>
      </c>
    </row>
    <row r="216" customFormat="false" ht="15" hidden="false" customHeight="false" outlineLevel="0" collapsed="false">
      <c r="A216" s="29" t="n">
        <v>46232</v>
      </c>
      <c r="B216" s="30" t="str">
        <f aca="false">CHOOSE(WEEKDAY(A216),"Sun","Mon","Tue","Wed","Thu","Fri","Sat")</f>
        <v>Wed</v>
      </c>
      <c r="C216" s="30" t="str">
        <f aca="false">IF(IFERROR(INDEX(Holidays!$D$5:$D$60,MATCH(A216,Holidays!$A$5:$A$60,0)),"")="Holiday","Holiday",IF(WEEKDAY(A216)&gt;=6,"Weekend",IF(IFERROR(INDEX(Holidays!$D$5:$D$60,MATCH(A216,Holidays!$A$5:$A$60,0)),"")="Eve","Eve","Workday")))</f>
        <v>Workday</v>
      </c>
      <c r="D216" s="18" t="str">
        <f aca="false">IFERROR(INDEX(Holidays!$C$5:$C$60,MATCH(A216,Holidays!$A$5:$A$60,0)),"")</f>
        <v/>
      </c>
      <c r="E216" s="31"/>
      <c r="F216" s="32"/>
      <c r="G216" s="32"/>
      <c r="H216" s="32"/>
      <c r="I216" s="32"/>
      <c r="J216" s="31"/>
      <c r="K216" s="33" t="str">
        <f aca="false">IF(E216&lt;&gt;"",E216,IF(U216,"Present",IF(C216="Holiday","Holiday","Weekend")))</f>
        <v>Present</v>
      </c>
      <c r="L216" s="34" t="n">
        <f aca="false">IF(OR(K216="Present",K216="Manual Work",K216="Partial Vacation",K216="Partial Sick Leave"),IF(ISNUMBER(F216),F216,IF(AND(K216="Present",U216),Settings!$B$6,"")),"")</f>
        <v>0.333333333333333</v>
      </c>
      <c r="M216" s="34" t="n">
        <f aca="false">IF(OR(K216="Present",K216="Manual Work",K216="Partial Vacation",K216="Partial Sick Leave"),IF(ISNUMBER(G216),G216,IF(AND(K216="Present",U216),V216,"")),"")</f>
        <v>0.6875</v>
      </c>
      <c r="N216" s="14" t="n">
        <f aca="false">IF(AND(ISNUMBER(L216),ISNUMBER(M216)),MAX(0,(M216-L216)*24),0)</f>
        <v>8.5</v>
      </c>
      <c r="O216" s="14" t="n">
        <f aca="false">IF(NOT(U216),0,IF(K216="Vacation",IF(C216="Eve",Settings!$B$9*Settings!$B$11,W216),IF(K216="Partial Vacation",IF(AND(ISNUMBER(H216),ISNUMBER(I216)),MAX(0,(I216-H216)*24),0),0)))</f>
        <v>0</v>
      </c>
      <c r="P216" s="14" t="n">
        <f aca="false">IF(NOT(U216),0,IF(K216="Sick Leave",W216,IF(K216="Partial Sick Leave",IF(AND(ISNUMBER(H216),ISNUMBER(I216)),MAX(0,(I216-H216)*24),0),0)))</f>
        <v>0</v>
      </c>
      <c r="Q216" s="14" t="n">
        <f aca="false">IF(NOT(U216),0,IF(K216="Vacation",IF(C216="Eve",Settings!$B$11,1),IF(K216="Partial Vacation",O216/Settings!$B$9,0)))</f>
        <v>0</v>
      </c>
      <c r="R216" s="14" t="n">
        <f aca="false">IF(NOT(U216),0,IF(K216="Sick Leave",1,IF(K216="Partial Sick Leave",P216/Settings!$B$9,0)))</f>
        <v>0</v>
      </c>
      <c r="S216" s="35" t="str">
        <f aca="false">IF(AND(OR(E216="Vacation",E216="Sick Leave",E216="Partial Vacation",E216="Partial Sick Leave"),NOT(U216)),"Leave not allowed on this day",IF(AND(E216="Manual Work",OR(NOT(ISNUMBER(F216)),NOT(ISNUMBER(G216)))),"Enter start and end",IF(AND(OR(E216="Partial Vacation",E216="Partial Sick Leave"),OR(NOT(ISNUMBER(H216)),NOT(ISNUMBER(I216)))),"Enter leave from and to",IF(AND(ISNUMBER(F216),ISNUMBER(G216),G216&lt;=F216),"End is before start",IF(AND(ISNUMBER(H216),ISNUMBER(I216),I216&lt;=H216),"Leave end is before start",IF(AND(ISNUMBER(F216),ISNUMBER(G216),ISNUMBER(H216),ISNUMBER(I216),F216&lt;I216,H216&lt;G216),"Work and leave hours overlap",IF(AND(E216&lt;&gt;"",WEEKDAY(A216)=7),"Saturday - administrator only","")))))))</f>
        <v/>
      </c>
      <c r="T216" s="36" t="n">
        <f aca="false">MONTH(A216)</f>
        <v>7</v>
      </c>
      <c r="U216" s="37" t="b">
        <f aca="false">OR(C216="Workday",C216="Eve")</f>
        <v>1</v>
      </c>
      <c r="V216" s="34" t="n">
        <f aca="false">IF(C216="Eve",Settings!$B$8,Settings!$B$7)</f>
        <v>0.6875</v>
      </c>
      <c r="W216" s="14" t="n">
        <f aca="false">IF(U216,(V216-Settings!$B$6)*24,0)</f>
        <v>8.5</v>
      </c>
    </row>
    <row r="217" customFormat="false" ht="15" hidden="false" customHeight="false" outlineLevel="0" collapsed="false">
      <c r="A217" s="29" t="n">
        <v>46233</v>
      </c>
      <c r="B217" s="30" t="str">
        <f aca="false">CHOOSE(WEEKDAY(A217),"Sun","Mon","Tue","Wed","Thu","Fri","Sat")</f>
        <v>Thu</v>
      </c>
      <c r="C217" s="30" t="str">
        <f aca="false">IF(IFERROR(INDEX(Holidays!$D$5:$D$60,MATCH(A217,Holidays!$A$5:$A$60,0)),"")="Holiday","Holiday",IF(WEEKDAY(A217)&gt;=6,"Weekend",IF(IFERROR(INDEX(Holidays!$D$5:$D$60,MATCH(A217,Holidays!$A$5:$A$60,0)),"")="Eve","Eve","Workday")))</f>
        <v>Workday</v>
      </c>
      <c r="D217" s="18" t="str">
        <f aca="false">IFERROR(INDEX(Holidays!$C$5:$C$60,MATCH(A217,Holidays!$A$5:$A$60,0)),"")</f>
        <v/>
      </c>
      <c r="E217" s="31"/>
      <c r="F217" s="32"/>
      <c r="G217" s="32"/>
      <c r="H217" s="32"/>
      <c r="I217" s="32"/>
      <c r="J217" s="31"/>
      <c r="K217" s="33" t="str">
        <f aca="false">IF(E217&lt;&gt;"",E217,IF(U217,"Present",IF(C217="Holiday","Holiday","Weekend")))</f>
        <v>Present</v>
      </c>
      <c r="L217" s="34" t="n">
        <f aca="false">IF(OR(K217="Present",K217="Manual Work",K217="Partial Vacation",K217="Partial Sick Leave"),IF(ISNUMBER(F217),F217,IF(AND(K217="Present",U217),Settings!$B$6,"")),"")</f>
        <v>0.333333333333333</v>
      </c>
      <c r="M217" s="34" t="n">
        <f aca="false">IF(OR(K217="Present",K217="Manual Work",K217="Partial Vacation",K217="Partial Sick Leave"),IF(ISNUMBER(G217),G217,IF(AND(K217="Present",U217),V217,"")),"")</f>
        <v>0.6875</v>
      </c>
      <c r="N217" s="14" t="n">
        <f aca="false">IF(AND(ISNUMBER(L217),ISNUMBER(M217)),MAX(0,(M217-L217)*24),0)</f>
        <v>8.5</v>
      </c>
      <c r="O217" s="14" t="n">
        <f aca="false">IF(NOT(U217),0,IF(K217="Vacation",IF(C217="Eve",Settings!$B$9*Settings!$B$11,W217),IF(K217="Partial Vacation",IF(AND(ISNUMBER(H217),ISNUMBER(I217)),MAX(0,(I217-H217)*24),0),0)))</f>
        <v>0</v>
      </c>
      <c r="P217" s="14" t="n">
        <f aca="false">IF(NOT(U217),0,IF(K217="Sick Leave",W217,IF(K217="Partial Sick Leave",IF(AND(ISNUMBER(H217),ISNUMBER(I217)),MAX(0,(I217-H217)*24),0),0)))</f>
        <v>0</v>
      </c>
      <c r="Q217" s="14" t="n">
        <f aca="false">IF(NOT(U217),0,IF(K217="Vacation",IF(C217="Eve",Settings!$B$11,1),IF(K217="Partial Vacation",O217/Settings!$B$9,0)))</f>
        <v>0</v>
      </c>
      <c r="R217" s="14" t="n">
        <f aca="false">IF(NOT(U217),0,IF(K217="Sick Leave",1,IF(K217="Partial Sick Leave",P217/Settings!$B$9,0)))</f>
        <v>0</v>
      </c>
      <c r="S217" s="35" t="str">
        <f aca="false">IF(AND(OR(E217="Vacation",E217="Sick Leave",E217="Partial Vacation",E217="Partial Sick Leave"),NOT(U217)),"Leave not allowed on this day",IF(AND(E217="Manual Work",OR(NOT(ISNUMBER(F217)),NOT(ISNUMBER(G217)))),"Enter start and end",IF(AND(OR(E217="Partial Vacation",E217="Partial Sick Leave"),OR(NOT(ISNUMBER(H217)),NOT(ISNUMBER(I217)))),"Enter leave from and to",IF(AND(ISNUMBER(F217),ISNUMBER(G217),G217&lt;=F217),"End is before start",IF(AND(ISNUMBER(H217),ISNUMBER(I217),I217&lt;=H217),"Leave end is before start",IF(AND(ISNUMBER(F217),ISNUMBER(G217),ISNUMBER(H217),ISNUMBER(I217),F217&lt;I217,H217&lt;G217),"Work and leave hours overlap",IF(AND(E217&lt;&gt;"",WEEKDAY(A217)=7),"Saturday - administrator only","")))))))</f>
        <v/>
      </c>
      <c r="T217" s="36" t="n">
        <f aca="false">MONTH(A217)</f>
        <v>7</v>
      </c>
      <c r="U217" s="37" t="b">
        <f aca="false">OR(C217="Workday",C217="Eve")</f>
        <v>1</v>
      </c>
      <c r="V217" s="34" t="n">
        <f aca="false">IF(C217="Eve",Settings!$B$8,Settings!$B$7)</f>
        <v>0.6875</v>
      </c>
      <c r="W217" s="14" t="n">
        <f aca="false">IF(U217,(V217-Settings!$B$6)*24,0)</f>
        <v>8.5</v>
      </c>
    </row>
    <row r="218" customFormat="false" ht="15" hidden="false" customHeight="false" outlineLevel="0" collapsed="false">
      <c r="A218" s="29" t="n">
        <v>46234</v>
      </c>
      <c r="B218" s="30" t="str">
        <f aca="false">CHOOSE(WEEKDAY(A218),"Sun","Mon","Tue","Wed","Thu","Fri","Sat")</f>
        <v>Fri</v>
      </c>
      <c r="C218" s="30" t="str">
        <f aca="false">IF(IFERROR(INDEX(Holidays!$D$5:$D$60,MATCH(A218,Holidays!$A$5:$A$60,0)),"")="Holiday","Holiday",IF(WEEKDAY(A218)&gt;=6,"Weekend",IF(IFERROR(INDEX(Holidays!$D$5:$D$60,MATCH(A218,Holidays!$A$5:$A$60,0)),"")="Eve","Eve","Workday")))</f>
        <v>Weekend</v>
      </c>
      <c r="D218" s="18" t="str">
        <f aca="false">IFERROR(INDEX(Holidays!$C$5:$C$60,MATCH(A218,Holidays!$A$5:$A$60,0)),"")</f>
        <v/>
      </c>
      <c r="E218" s="31"/>
      <c r="F218" s="32"/>
      <c r="G218" s="32"/>
      <c r="H218" s="32"/>
      <c r="I218" s="32"/>
      <c r="J218" s="31"/>
      <c r="K218" s="33" t="str">
        <f aca="false">IF(E218&lt;&gt;"",E218,IF(U218,"Present",IF(C218="Holiday","Holiday","Weekend")))</f>
        <v>Weekend</v>
      </c>
      <c r="L218" s="34" t="str">
        <f aca="false">IF(OR(K218="Present",K218="Manual Work",K218="Partial Vacation",K218="Partial Sick Leave"),IF(ISNUMBER(F218),F218,IF(AND(K218="Present",U218),Settings!$B$6,"")),"")</f>
        <v/>
      </c>
      <c r="M218" s="34" t="str">
        <f aca="false">IF(OR(K218="Present",K218="Manual Work",K218="Partial Vacation",K218="Partial Sick Leave"),IF(ISNUMBER(G218),G218,IF(AND(K218="Present",U218),V218,"")),"")</f>
        <v/>
      </c>
      <c r="N218" s="14" t="n">
        <f aca="false">IF(AND(ISNUMBER(L218),ISNUMBER(M218)),MAX(0,(M218-L218)*24),0)</f>
        <v>0</v>
      </c>
      <c r="O218" s="14" t="n">
        <f aca="false">IF(NOT(U218),0,IF(K218="Vacation",IF(C218="Eve",Settings!$B$9*Settings!$B$11,W218),IF(K218="Partial Vacation",IF(AND(ISNUMBER(H218),ISNUMBER(I218)),MAX(0,(I218-H218)*24),0),0)))</f>
        <v>0</v>
      </c>
      <c r="P218" s="14" t="n">
        <f aca="false">IF(NOT(U218),0,IF(K218="Sick Leave",W218,IF(K218="Partial Sick Leave",IF(AND(ISNUMBER(H218),ISNUMBER(I218)),MAX(0,(I218-H218)*24),0),0)))</f>
        <v>0</v>
      </c>
      <c r="Q218" s="14" t="n">
        <f aca="false">IF(NOT(U218),0,IF(K218="Vacation",IF(C218="Eve",Settings!$B$11,1),IF(K218="Partial Vacation",O218/Settings!$B$9,0)))</f>
        <v>0</v>
      </c>
      <c r="R218" s="14" t="n">
        <f aca="false">IF(NOT(U218),0,IF(K218="Sick Leave",1,IF(K218="Partial Sick Leave",P218/Settings!$B$9,0)))</f>
        <v>0</v>
      </c>
      <c r="S218" s="35" t="str">
        <f aca="false">IF(AND(OR(E218="Vacation",E218="Sick Leave",E218="Partial Vacation",E218="Partial Sick Leave"),NOT(U218)),"Leave not allowed on this day",IF(AND(E218="Manual Work",OR(NOT(ISNUMBER(F218)),NOT(ISNUMBER(G218)))),"Enter start and end",IF(AND(OR(E218="Partial Vacation",E218="Partial Sick Leave"),OR(NOT(ISNUMBER(H218)),NOT(ISNUMBER(I218)))),"Enter leave from and to",IF(AND(ISNUMBER(F218),ISNUMBER(G218),G218&lt;=F218),"End is before start",IF(AND(ISNUMBER(H218),ISNUMBER(I218),I218&lt;=H218),"Leave end is before start",IF(AND(ISNUMBER(F218),ISNUMBER(G218),ISNUMBER(H218),ISNUMBER(I218),F218&lt;I218,H218&lt;G218),"Work and leave hours overlap",IF(AND(E218&lt;&gt;"",WEEKDAY(A218)=7),"Saturday - administrator only","")))))))</f>
        <v/>
      </c>
      <c r="T218" s="36" t="n">
        <f aca="false">MONTH(A218)</f>
        <v>7</v>
      </c>
      <c r="U218" s="37" t="b">
        <f aca="false">OR(C218="Workday",C218="Eve")</f>
        <v>0</v>
      </c>
      <c r="V218" s="34" t="n">
        <f aca="false">IF(C218="Eve",Settings!$B$8,Settings!$B$7)</f>
        <v>0.6875</v>
      </c>
      <c r="W218" s="14" t="n">
        <f aca="false">IF(U218,(V218-Settings!$B$6)*24,0)</f>
        <v>0</v>
      </c>
    </row>
    <row r="219" customFormat="false" ht="15" hidden="false" customHeight="false" outlineLevel="0" collapsed="false">
      <c r="A219" s="29" t="n">
        <v>46235</v>
      </c>
      <c r="B219" s="30" t="str">
        <f aca="false">CHOOSE(WEEKDAY(A219),"Sun","Mon","Tue","Wed","Thu","Fri","Sat")</f>
        <v>Sat</v>
      </c>
      <c r="C219" s="30" t="str">
        <f aca="false">IF(IFERROR(INDEX(Holidays!$D$5:$D$60,MATCH(A219,Holidays!$A$5:$A$60,0)),"")="Holiday","Holiday",IF(WEEKDAY(A219)&gt;=6,"Weekend",IF(IFERROR(INDEX(Holidays!$D$5:$D$60,MATCH(A219,Holidays!$A$5:$A$60,0)),"")="Eve","Eve","Workday")))</f>
        <v>Weekend</v>
      </c>
      <c r="D219" s="18" t="str">
        <f aca="false">IFERROR(INDEX(Holidays!$C$5:$C$60,MATCH(A219,Holidays!$A$5:$A$60,0)),"")</f>
        <v/>
      </c>
      <c r="E219" s="31"/>
      <c r="F219" s="32"/>
      <c r="G219" s="32"/>
      <c r="H219" s="32"/>
      <c r="I219" s="32"/>
      <c r="J219" s="31"/>
      <c r="K219" s="33" t="str">
        <f aca="false">IF(E219&lt;&gt;"",E219,IF(U219,"Present",IF(C219="Holiday","Holiday","Weekend")))</f>
        <v>Weekend</v>
      </c>
      <c r="L219" s="34" t="str">
        <f aca="false">IF(OR(K219="Present",K219="Manual Work",K219="Partial Vacation",K219="Partial Sick Leave"),IF(ISNUMBER(F219),F219,IF(AND(K219="Present",U219),Settings!$B$6,"")),"")</f>
        <v/>
      </c>
      <c r="M219" s="34" t="str">
        <f aca="false">IF(OR(K219="Present",K219="Manual Work",K219="Partial Vacation",K219="Partial Sick Leave"),IF(ISNUMBER(G219),G219,IF(AND(K219="Present",U219),V219,"")),"")</f>
        <v/>
      </c>
      <c r="N219" s="14" t="n">
        <f aca="false">IF(AND(ISNUMBER(L219),ISNUMBER(M219)),MAX(0,(M219-L219)*24),0)</f>
        <v>0</v>
      </c>
      <c r="O219" s="14" t="n">
        <f aca="false">IF(NOT(U219),0,IF(K219="Vacation",IF(C219="Eve",Settings!$B$9*Settings!$B$11,W219),IF(K219="Partial Vacation",IF(AND(ISNUMBER(H219),ISNUMBER(I219)),MAX(0,(I219-H219)*24),0),0)))</f>
        <v>0</v>
      </c>
      <c r="P219" s="14" t="n">
        <f aca="false">IF(NOT(U219),0,IF(K219="Sick Leave",W219,IF(K219="Partial Sick Leave",IF(AND(ISNUMBER(H219),ISNUMBER(I219)),MAX(0,(I219-H219)*24),0),0)))</f>
        <v>0</v>
      </c>
      <c r="Q219" s="14" t="n">
        <f aca="false">IF(NOT(U219),0,IF(K219="Vacation",IF(C219="Eve",Settings!$B$11,1),IF(K219="Partial Vacation",O219/Settings!$B$9,0)))</f>
        <v>0</v>
      </c>
      <c r="R219" s="14" t="n">
        <f aca="false">IF(NOT(U219),0,IF(K219="Sick Leave",1,IF(K219="Partial Sick Leave",P219/Settings!$B$9,0)))</f>
        <v>0</v>
      </c>
      <c r="S219" s="35" t="str">
        <f aca="false">IF(AND(OR(E219="Vacation",E219="Sick Leave",E219="Partial Vacation",E219="Partial Sick Leave"),NOT(U219)),"Leave not allowed on this day",IF(AND(E219="Manual Work",OR(NOT(ISNUMBER(F219)),NOT(ISNUMBER(G219)))),"Enter start and end",IF(AND(OR(E219="Partial Vacation",E219="Partial Sick Leave"),OR(NOT(ISNUMBER(H219)),NOT(ISNUMBER(I219)))),"Enter leave from and to",IF(AND(ISNUMBER(F219),ISNUMBER(G219),G219&lt;=F219),"End is before start",IF(AND(ISNUMBER(H219),ISNUMBER(I219),I219&lt;=H219),"Leave end is before start",IF(AND(ISNUMBER(F219),ISNUMBER(G219),ISNUMBER(H219),ISNUMBER(I219),F219&lt;I219,H219&lt;G219),"Work and leave hours overlap",IF(AND(E219&lt;&gt;"",WEEKDAY(A219)=7),"Saturday - administrator only","")))))))</f>
        <v/>
      </c>
      <c r="T219" s="36" t="n">
        <f aca="false">MONTH(A219)</f>
        <v>8</v>
      </c>
      <c r="U219" s="37" t="b">
        <f aca="false">OR(C219="Workday",C219="Eve")</f>
        <v>0</v>
      </c>
      <c r="V219" s="34" t="n">
        <f aca="false">IF(C219="Eve",Settings!$B$8,Settings!$B$7)</f>
        <v>0.6875</v>
      </c>
      <c r="W219" s="14" t="n">
        <f aca="false">IF(U219,(V219-Settings!$B$6)*24,0)</f>
        <v>0</v>
      </c>
    </row>
    <row r="220" customFormat="false" ht="15" hidden="false" customHeight="false" outlineLevel="0" collapsed="false">
      <c r="A220" s="29" t="n">
        <v>46236</v>
      </c>
      <c r="B220" s="30" t="str">
        <f aca="false">CHOOSE(WEEKDAY(A220),"Sun","Mon","Tue","Wed","Thu","Fri","Sat")</f>
        <v>Sun</v>
      </c>
      <c r="C220" s="30" t="str">
        <f aca="false">IF(IFERROR(INDEX(Holidays!$D$5:$D$60,MATCH(A220,Holidays!$A$5:$A$60,0)),"")="Holiday","Holiday",IF(WEEKDAY(A220)&gt;=6,"Weekend",IF(IFERROR(INDEX(Holidays!$D$5:$D$60,MATCH(A220,Holidays!$A$5:$A$60,0)),"")="Eve","Eve","Workday")))</f>
        <v>Workday</v>
      </c>
      <c r="D220" s="18" t="str">
        <f aca="false">IFERROR(INDEX(Holidays!$C$5:$C$60,MATCH(A220,Holidays!$A$5:$A$60,0)),"")</f>
        <v/>
      </c>
      <c r="E220" s="31"/>
      <c r="F220" s="32"/>
      <c r="G220" s="32"/>
      <c r="H220" s="32"/>
      <c r="I220" s="32"/>
      <c r="J220" s="31"/>
      <c r="K220" s="33" t="str">
        <f aca="false">IF(E220&lt;&gt;"",E220,IF(U220,"Present",IF(C220="Holiday","Holiday","Weekend")))</f>
        <v>Present</v>
      </c>
      <c r="L220" s="34" t="n">
        <f aca="false">IF(OR(K220="Present",K220="Manual Work",K220="Partial Vacation",K220="Partial Sick Leave"),IF(ISNUMBER(F220),F220,IF(AND(K220="Present",U220),Settings!$B$6,"")),"")</f>
        <v>0.333333333333333</v>
      </c>
      <c r="M220" s="34" t="n">
        <f aca="false">IF(OR(K220="Present",K220="Manual Work",K220="Partial Vacation",K220="Partial Sick Leave"),IF(ISNUMBER(G220),G220,IF(AND(K220="Present",U220),V220,"")),"")</f>
        <v>0.6875</v>
      </c>
      <c r="N220" s="14" t="n">
        <f aca="false">IF(AND(ISNUMBER(L220),ISNUMBER(M220)),MAX(0,(M220-L220)*24),0)</f>
        <v>8.5</v>
      </c>
      <c r="O220" s="14" t="n">
        <f aca="false">IF(NOT(U220),0,IF(K220="Vacation",IF(C220="Eve",Settings!$B$9*Settings!$B$11,W220),IF(K220="Partial Vacation",IF(AND(ISNUMBER(H220),ISNUMBER(I220)),MAX(0,(I220-H220)*24),0),0)))</f>
        <v>0</v>
      </c>
      <c r="P220" s="14" t="n">
        <f aca="false">IF(NOT(U220),0,IF(K220="Sick Leave",W220,IF(K220="Partial Sick Leave",IF(AND(ISNUMBER(H220),ISNUMBER(I220)),MAX(0,(I220-H220)*24),0),0)))</f>
        <v>0</v>
      </c>
      <c r="Q220" s="14" t="n">
        <f aca="false">IF(NOT(U220),0,IF(K220="Vacation",IF(C220="Eve",Settings!$B$11,1),IF(K220="Partial Vacation",O220/Settings!$B$9,0)))</f>
        <v>0</v>
      </c>
      <c r="R220" s="14" t="n">
        <f aca="false">IF(NOT(U220),0,IF(K220="Sick Leave",1,IF(K220="Partial Sick Leave",P220/Settings!$B$9,0)))</f>
        <v>0</v>
      </c>
      <c r="S220" s="35" t="str">
        <f aca="false">IF(AND(OR(E220="Vacation",E220="Sick Leave",E220="Partial Vacation",E220="Partial Sick Leave"),NOT(U220)),"Leave not allowed on this day",IF(AND(E220="Manual Work",OR(NOT(ISNUMBER(F220)),NOT(ISNUMBER(G220)))),"Enter start and end",IF(AND(OR(E220="Partial Vacation",E220="Partial Sick Leave"),OR(NOT(ISNUMBER(H220)),NOT(ISNUMBER(I220)))),"Enter leave from and to",IF(AND(ISNUMBER(F220),ISNUMBER(G220),G220&lt;=F220),"End is before start",IF(AND(ISNUMBER(H220),ISNUMBER(I220),I220&lt;=H220),"Leave end is before start",IF(AND(ISNUMBER(F220),ISNUMBER(G220),ISNUMBER(H220),ISNUMBER(I220),F220&lt;I220,H220&lt;G220),"Work and leave hours overlap",IF(AND(E220&lt;&gt;"",WEEKDAY(A220)=7),"Saturday - administrator only","")))))))</f>
        <v/>
      </c>
      <c r="T220" s="36" t="n">
        <f aca="false">MONTH(A220)</f>
        <v>8</v>
      </c>
      <c r="U220" s="37" t="b">
        <f aca="false">OR(C220="Workday",C220="Eve")</f>
        <v>1</v>
      </c>
      <c r="V220" s="34" t="n">
        <f aca="false">IF(C220="Eve",Settings!$B$8,Settings!$B$7)</f>
        <v>0.6875</v>
      </c>
      <c r="W220" s="14" t="n">
        <f aca="false">IF(U220,(V220-Settings!$B$6)*24,0)</f>
        <v>8.5</v>
      </c>
    </row>
    <row r="221" customFormat="false" ht="15" hidden="false" customHeight="false" outlineLevel="0" collapsed="false">
      <c r="A221" s="29" t="n">
        <v>46237</v>
      </c>
      <c r="B221" s="30" t="str">
        <f aca="false">CHOOSE(WEEKDAY(A221),"Sun","Mon","Tue","Wed","Thu","Fri","Sat")</f>
        <v>Mon</v>
      </c>
      <c r="C221" s="30" t="str">
        <f aca="false">IF(IFERROR(INDEX(Holidays!$D$5:$D$60,MATCH(A221,Holidays!$A$5:$A$60,0)),"")="Holiday","Holiday",IF(WEEKDAY(A221)&gt;=6,"Weekend",IF(IFERROR(INDEX(Holidays!$D$5:$D$60,MATCH(A221,Holidays!$A$5:$A$60,0)),"")="Eve","Eve","Workday")))</f>
        <v>Workday</v>
      </c>
      <c r="D221" s="18" t="str">
        <f aca="false">IFERROR(INDEX(Holidays!$C$5:$C$60,MATCH(A221,Holidays!$A$5:$A$60,0)),"")</f>
        <v/>
      </c>
      <c r="E221" s="31"/>
      <c r="F221" s="32"/>
      <c r="G221" s="32"/>
      <c r="H221" s="32"/>
      <c r="I221" s="32"/>
      <c r="J221" s="31"/>
      <c r="K221" s="33" t="str">
        <f aca="false">IF(E221&lt;&gt;"",E221,IF(U221,"Present",IF(C221="Holiday","Holiday","Weekend")))</f>
        <v>Present</v>
      </c>
      <c r="L221" s="34" t="n">
        <f aca="false">IF(OR(K221="Present",K221="Manual Work",K221="Partial Vacation",K221="Partial Sick Leave"),IF(ISNUMBER(F221),F221,IF(AND(K221="Present",U221),Settings!$B$6,"")),"")</f>
        <v>0.333333333333333</v>
      </c>
      <c r="M221" s="34" t="n">
        <f aca="false">IF(OR(K221="Present",K221="Manual Work",K221="Partial Vacation",K221="Partial Sick Leave"),IF(ISNUMBER(G221),G221,IF(AND(K221="Present",U221),V221,"")),"")</f>
        <v>0.6875</v>
      </c>
      <c r="N221" s="14" t="n">
        <f aca="false">IF(AND(ISNUMBER(L221),ISNUMBER(M221)),MAX(0,(M221-L221)*24),0)</f>
        <v>8.5</v>
      </c>
      <c r="O221" s="14" t="n">
        <f aca="false">IF(NOT(U221),0,IF(K221="Vacation",IF(C221="Eve",Settings!$B$9*Settings!$B$11,W221),IF(K221="Partial Vacation",IF(AND(ISNUMBER(H221),ISNUMBER(I221)),MAX(0,(I221-H221)*24),0),0)))</f>
        <v>0</v>
      </c>
      <c r="P221" s="14" t="n">
        <f aca="false">IF(NOT(U221),0,IF(K221="Sick Leave",W221,IF(K221="Partial Sick Leave",IF(AND(ISNUMBER(H221),ISNUMBER(I221)),MAX(0,(I221-H221)*24),0),0)))</f>
        <v>0</v>
      </c>
      <c r="Q221" s="14" t="n">
        <f aca="false">IF(NOT(U221),0,IF(K221="Vacation",IF(C221="Eve",Settings!$B$11,1),IF(K221="Partial Vacation",O221/Settings!$B$9,0)))</f>
        <v>0</v>
      </c>
      <c r="R221" s="14" t="n">
        <f aca="false">IF(NOT(U221),0,IF(K221="Sick Leave",1,IF(K221="Partial Sick Leave",P221/Settings!$B$9,0)))</f>
        <v>0</v>
      </c>
      <c r="S221" s="35" t="str">
        <f aca="false">IF(AND(OR(E221="Vacation",E221="Sick Leave",E221="Partial Vacation",E221="Partial Sick Leave"),NOT(U221)),"Leave not allowed on this day",IF(AND(E221="Manual Work",OR(NOT(ISNUMBER(F221)),NOT(ISNUMBER(G221)))),"Enter start and end",IF(AND(OR(E221="Partial Vacation",E221="Partial Sick Leave"),OR(NOT(ISNUMBER(H221)),NOT(ISNUMBER(I221)))),"Enter leave from and to",IF(AND(ISNUMBER(F221),ISNUMBER(G221),G221&lt;=F221),"End is before start",IF(AND(ISNUMBER(H221),ISNUMBER(I221),I221&lt;=H221),"Leave end is before start",IF(AND(ISNUMBER(F221),ISNUMBER(G221),ISNUMBER(H221),ISNUMBER(I221),F221&lt;I221,H221&lt;G221),"Work and leave hours overlap",IF(AND(E221&lt;&gt;"",WEEKDAY(A221)=7),"Saturday - administrator only","")))))))</f>
        <v/>
      </c>
      <c r="T221" s="36" t="n">
        <f aca="false">MONTH(A221)</f>
        <v>8</v>
      </c>
      <c r="U221" s="37" t="b">
        <f aca="false">OR(C221="Workday",C221="Eve")</f>
        <v>1</v>
      </c>
      <c r="V221" s="34" t="n">
        <f aca="false">IF(C221="Eve",Settings!$B$8,Settings!$B$7)</f>
        <v>0.6875</v>
      </c>
      <c r="W221" s="14" t="n">
        <f aca="false">IF(U221,(V221-Settings!$B$6)*24,0)</f>
        <v>8.5</v>
      </c>
    </row>
    <row r="222" customFormat="false" ht="15" hidden="false" customHeight="false" outlineLevel="0" collapsed="false">
      <c r="A222" s="29" t="n">
        <v>46238</v>
      </c>
      <c r="B222" s="30" t="str">
        <f aca="false">CHOOSE(WEEKDAY(A222),"Sun","Mon","Tue","Wed","Thu","Fri","Sat")</f>
        <v>Tue</v>
      </c>
      <c r="C222" s="30" t="str">
        <f aca="false">IF(IFERROR(INDEX(Holidays!$D$5:$D$60,MATCH(A222,Holidays!$A$5:$A$60,0)),"")="Holiday","Holiday",IF(WEEKDAY(A222)&gt;=6,"Weekend",IF(IFERROR(INDEX(Holidays!$D$5:$D$60,MATCH(A222,Holidays!$A$5:$A$60,0)),"")="Eve","Eve","Workday")))</f>
        <v>Workday</v>
      </c>
      <c r="D222" s="18" t="str">
        <f aca="false">IFERROR(INDEX(Holidays!$C$5:$C$60,MATCH(A222,Holidays!$A$5:$A$60,0)),"")</f>
        <v/>
      </c>
      <c r="E222" s="31"/>
      <c r="F222" s="32"/>
      <c r="G222" s="32"/>
      <c r="H222" s="32"/>
      <c r="I222" s="32"/>
      <c r="J222" s="31"/>
      <c r="K222" s="33" t="str">
        <f aca="false">IF(E222&lt;&gt;"",E222,IF(U222,"Present",IF(C222="Holiday","Holiday","Weekend")))</f>
        <v>Present</v>
      </c>
      <c r="L222" s="34" t="n">
        <f aca="false">IF(OR(K222="Present",K222="Manual Work",K222="Partial Vacation",K222="Partial Sick Leave"),IF(ISNUMBER(F222),F222,IF(AND(K222="Present",U222),Settings!$B$6,"")),"")</f>
        <v>0.333333333333333</v>
      </c>
      <c r="M222" s="34" t="n">
        <f aca="false">IF(OR(K222="Present",K222="Manual Work",K222="Partial Vacation",K222="Partial Sick Leave"),IF(ISNUMBER(G222),G222,IF(AND(K222="Present",U222),V222,"")),"")</f>
        <v>0.6875</v>
      </c>
      <c r="N222" s="14" t="n">
        <f aca="false">IF(AND(ISNUMBER(L222),ISNUMBER(M222)),MAX(0,(M222-L222)*24),0)</f>
        <v>8.5</v>
      </c>
      <c r="O222" s="14" t="n">
        <f aca="false">IF(NOT(U222),0,IF(K222="Vacation",IF(C222="Eve",Settings!$B$9*Settings!$B$11,W222),IF(K222="Partial Vacation",IF(AND(ISNUMBER(H222),ISNUMBER(I222)),MAX(0,(I222-H222)*24),0),0)))</f>
        <v>0</v>
      </c>
      <c r="P222" s="14" t="n">
        <f aca="false">IF(NOT(U222),0,IF(K222="Sick Leave",W222,IF(K222="Partial Sick Leave",IF(AND(ISNUMBER(H222),ISNUMBER(I222)),MAX(0,(I222-H222)*24),0),0)))</f>
        <v>0</v>
      </c>
      <c r="Q222" s="14" t="n">
        <f aca="false">IF(NOT(U222),0,IF(K222="Vacation",IF(C222="Eve",Settings!$B$11,1),IF(K222="Partial Vacation",O222/Settings!$B$9,0)))</f>
        <v>0</v>
      </c>
      <c r="R222" s="14" t="n">
        <f aca="false">IF(NOT(U222),0,IF(K222="Sick Leave",1,IF(K222="Partial Sick Leave",P222/Settings!$B$9,0)))</f>
        <v>0</v>
      </c>
      <c r="S222" s="35" t="str">
        <f aca="false">IF(AND(OR(E222="Vacation",E222="Sick Leave",E222="Partial Vacation",E222="Partial Sick Leave"),NOT(U222)),"Leave not allowed on this day",IF(AND(E222="Manual Work",OR(NOT(ISNUMBER(F222)),NOT(ISNUMBER(G222)))),"Enter start and end",IF(AND(OR(E222="Partial Vacation",E222="Partial Sick Leave"),OR(NOT(ISNUMBER(H222)),NOT(ISNUMBER(I222)))),"Enter leave from and to",IF(AND(ISNUMBER(F222),ISNUMBER(G222),G222&lt;=F222),"End is before start",IF(AND(ISNUMBER(H222),ISNUMBER(I222),I222&lt;=H222),"Leave end is before start",IF(AND(ISNUMBER(F222),ISNUMBER(G222),ISNUMBER(H222),ISNUMBER(I222),F222&lt;I222,H222&lt;G222),"Work and leave hours overlap",IF(AND(E222&lt;&gt;"",WEEKDAY(A222)=7),"Saturday - administrator only","")))))))</f>
        <v/>
      </c>
      <c r="T222" s="36" t="n">
        <f aca="false">MONTH(A222)</f>
        <v>8</v>
      </c>
      <c r="U222" s="37" t="b">
        <f aca="false">OR(C222="Workday",C222="Eve")</f>
        <v>1</v>
      </c>
      <c r="V222" s="34" t="n">
        <f aca="false">IF(C222="Eve",Settings!$B$8,Settings!$B$7)</f>
        <v>0.6875</v>
      </c>
      <c r="W222" s="14" t="n">
        <f aca="false">IF(U222,(V222-Settings!$B$6)*24,0)</f>
        <v>8.5</v>
      </c>
    </row>
    <row r="223" customFormat="false" ht="15" hidden="false" customHeight="false" outlineLevel="0" collapsed="false">
      <c r="A223" s="29" t="n">
        <v>46239</v>
      </c>
      <c r="B223" s="30" t="str">
        <f aca="false">CHOOSE(WEEKDAY(A223),"Sun","Mon","Tue","Wed","Thu","Fri","Sat")</f>
        <v>Wed</v>
      </c>
      <c r="C223" s="30" t="str">
        <f aca="false">IF(IFERROR(INDEX(Holidays!$D$5:$D$60,MATCH(A223,Holidays!$A$5:$A$60,0)),"")="Holiday","Holiday",IF(WEEKDAY(A223)&gt;=6,"Weekend",IF(IFERROR(INDEX(Holidays!$D$5:$D$60,MATCH(A223,Holidays!$A$5:$A$60,0)),"")="Eve","Eve","Workday")))</f>
        <v>Workday</v>
      </c>
      <c r="D223" s="18" t="str">
        <f aca="false">IFERROR(INDEX(Holidays!$C$5:$C$60,MATCH(A223,Holidays!$A$5:$A$60,0)),"")</f>
        <v/>
      </c>
      <c r="E223" s="31"/>
      <c r="F223" s="32"/>
      <c r="G223" s="32"/>
      <c r="H223" s="32"/>
      <c r="I223" s="32"/>
      <c r="J223" s="31"/>
      <c r="K223" s="33" t="str">
        <f aca="false">IF(E223&lt;&gt;"",E223,IF(U223,"Present",IF(C223="Holiday","Holiday","Weekend")))</f>
        <v>Present</v>
      </c>
      <c r="L223" s="34" t="n">
        <f aca="false">IF(OR(K223="Present",K223="Manual Work",K223="Partial Vacation",K223="Partial Sick Leave"),IF(ISNUMBER(F223),F223,IF(AND(K223="Present",U223),Settings!$B$6,"")),"")</f>
        <v>0.333333333333333</v>
      </c>
      <c r="M223" s="34" t="n">
        <f aca="false">IF(OR(K223="Present",K223="Manual Work",K223="Partial Vacation",K223="Partial Sick Leave"),IF(ISNUMBER(G223),G223,IF(AND(K223="Present",U223),V223,"")),"")</f>
        <v>0.6875</v>
      </c>
      <c r="N223" s="14" t="n">
        <f aca="false">IF(AND(ISNUMBER(L223),ISNUMBER(M223)),MAX(0,(M223-L223)*24),0)</f>
        <v>8.5</v>
      </c>
      <c r="O223" s="14" t="n">
        <f aca="false">IF(NOT(U223),0,IF(K223="Vacation",IF(C223="Eve",Settings!$B$9*Settings!$B$11,W223),IF(K223="Partial Vacation",IF(AND(ISNUMBER(H223),ISNUMBER(I223)),MAX(0,(I223-H223)*24),0),0)))</f>
        <v>0</v>
      </c>
      <c r="P223" s="14" t="n">
        <f aca="false">IF(NOT(U223),0,IF(K223="Sick Leave",W223,IF(K223="Partial Sick Leave",IF(AND(ISNUMBER(H223),ISNUMBER(I223)),MAX(0,(I223-H223)*24),0),0)))</f>
        <v>0</v>
      </c>
      <c r="Q223" s="14" t="n">
        <f aca="false">IF(NOT(U223),0,IF(K223="Vacation",IF(C223="Eve",Settings!$B$11,1),IF(K223="Partial Vacation",O223/Settings!$B$9,0)))</f>
        <v>0</v>
      </c>
      <c r="R223" s="14" t="n">
        <f aca="false">IF(NOT(U223),0,IF(K223="Sick Leave",1,IF(K223="Partial Sick Leave",P223/Settings!$B$9,0)))</f>
        <v>0</v>
      </c>
      <c r="S223" s="35" t="str">
        <f aca="false">IF(AND(OR(E223="Vacation",E223="Sick Leave",E223="Partial Vacation",E223="Partial Sick Leave"),NOT(U223)),"Leave not allowed on this day",IF(AND(E223="Manual Work",OR(NOT(ISNUMBER(F223)),NOT(ISNUMBER(G223)))),"Enter start and end",IF(AND(OR(E223="Partial Vacation",E223="Partial Sick Leave"),OR(NOT(ISNUMBER(H223)),NOT(ISNUMBER(I223)))),"Enter leave from and to",IF(AND(ISNUMBER(F223),ISNUMBER(G223),G223&lt;=F223),"End is before start",IF(AND(ISNUMBER(H223),ISNUMBER(I223),I223&lt;=H223),"Leave end is before start",IF(AND(ISNUMBER(F223),ISNUMBER(G223),ISNUMBER(H223),ISNUMBER(I223),F223&lt;I223,H223&lt;G223),"Work and leave hours overlap",IF(AND(E223&lt;&gt;"",WEEKDAY(A223)=7),"Saturday - administrator only","")))))))</f>
        <v/>
      </c>
      <c r="T223" s="36" t="n">
        <f aca="false">MONTH(A223)</f>
        <v>8</v>
      </c>
      <c r="U223" s="37" t="b">
        <f aca="false">OR(C223="Workday",C223="Eve")</f>
        <v>1</v>
      </c>
      <c r="V223" s="34" t="n">
        <f aca="false">IF(C223="Eve",Settings!$B$8,Settings!$B$7)</f>
        <v>0.6875</v>
      </c>
      <c r="W223" s="14" t="n">
        <f aca="false">IF(U223,(V223-Settings!$B$6)*24,0)</f>
        <v>8.5</v>
      </c>
    </row>
    <row r="224" customFormat="false" ht="15" hidden="false" customHeight="false" outlineLevel="0" collapsed="false">
      <c r="A224" s="29" t="n">
        <v>46240</v>
      </c>
      <c r="B224" s="30" t="str">
        <f aca="false">CHOOSE(WEEKDAY(A224),"Sun","Mon","Tue","Wed","Thu","Fri","Sat")</f>
        <v>Thu</v>
      </c>
      <c r="C224" s="30" t="str">
        <f aca="false">IF(IFERROR(INDEX(Holidays!$D$5:$D$60,MATCH(A224,Holidays!$A$5:$A$60,0)),"")="Holiday","Holiday",IF(WEEKDAY(A224)&gt;=6,"Weekend",IF(IFERROR(INDEX(Holidays!$D$5:$D$60,MATCH(A224,Holidays!$A$5:$A$60,0)),"")="Eve","Eve","Workday")))</f>
        <v>Workday</v>
      </c>
      <c r="D224" s="18" t="str">
        <f aca="false">IFERROR(INDEX(Holidays!$C$5:$C$60,MATCH(A224,Holidays!$A$5:$A$60,0)),"")</f>
        <v/>
      </c>
      <c r="E224" s="31"/>
      <c r="F224" s="32"/>
      <c r="G224" s="32"/>
      <c r="H224" s="32"/>
      <c r="I224" s="32"/>
      <c r="J224" s="31"/>
      <c r="K224" s="33" t="str">
        <f aca="false">IF(E224&lt;&gt;"",E224,IF(U224,"Present",IF(C224="Holiday","Holiday","Weekend")))</f>
        <v>Present</v>
      </c>
      <c r="L224" s="34" t="n">
        <f aca="false">IF(OR(K224="Present",K224="Manual Work",K224="Partial Vacation",K224="Partial Sick Leave"),IF(ISNUMBER(F224),F224,IF(AND(K224="Present",U224),Settings!$B$6,"")),"")</f>
        <v>0.333333333333333</v>
      </c>
      <c r="M224" s="34" t="n">
        <f aca="false">IF(OR(K224="Present",K224="Manual Work",K224="Partial Vacation",K224="Partial Sick Leave"),IF(ISNUMBER(G224),G224,IF(AND(K224="Present",U224),V224,"")),"")</f>
        <v>0.6875</v>
      </c>
      <c r="N224" s="14" t="n">
        <f aca="false">IF(AND(ISNUMBER(L224),ISNUMBER(M224)),MAX(0,(M224-L224)*24),0)</f>
        <v>8.5</v>
      </c>
      <c r="O224" s="14" t="n">
        <f aca="false">IF(NOT(U224),0,IF(K224="Vacation",IF(C224="Eve",Settings!$B$9*Settings!$B$11,W224),IF(K224="Partial Vacation",IF(AND(ISNUMBER(H224),ISNUMBER(I224)),MAX(0,(I224-H224)*24),0),0)))</f>
        <v>0</v>
      </c>
      <c r="P224" s="14" t="n">
        <f aca="false">IF(NOT(U224),0,IF(K224="Sick Leave",W224,IF(K224="Partial Sick Leave",IF(AND(ISNUMBER(H224),ISNUMBER(I224)),MAX(0,(I224-H224)*24),0),0)))</f>
        <v>0</v>
      </c>
      <c r="Q224" s="14" t="n">
        <f aca="false">IF(NOT(U224),0,IF(K224="Vacation",IF(C224="Eve",Settings!$B$11,1),IF(K224="Partial Vacation",O224/Settings!$B$9,0)))</f>
        <v>0</v>
      </c>
      <c r="R224" s="14" t="n">
        <f aca="false">IF(NOT(U224),0,IF(K224="Sick Leave",1,IF(K224="Partial Sick Leave",P224/Settings!$B$9,0)))</f>
        <v>0</v>
      </c>
      <c r="S224" s="35" t="str">
        <f aca="false">IF(AND(OR(E224="Vacation",E224="Sick Leave",E224="Partial Vacation",E224="Partial Sick Leave"),NOT(U224)),"Leave not allowed on this day",IF(AND(E224="Manual Work",OR(NOT(ISNUMBER(F224)),NOT(ISNUMBER(G224)))),"Enter start and end",IF(AND(OR(E224="Partial Vacation",E224="Partial Sick Leave"),OR(NOT(ISNUMBER(H224)),NOT(ISNUMBER(I224)))),"Enter leave from and to",IF(AND(ISNUMBER(F224),ISNUMBER(G224),G224&lt;=F224),"End is before start",IF(AND(ISNUMBER(H224),ISNUMBER(I224),I224&lt;=H224),"Leave end is before start",IF(AND(ISNUMBER(F224),ISNUMBER(G224),ISNUMBER(H224),ISNUMBER(I224),F224&lt;I224,H224&lt;G224),"Work and leave hours overlap",IF(AND(E224&lt;&gt;"",WEEKDAY(A224)=7),"Saturday - administrator only","")))))))</f>
        <v/>
      </c>
      <c r="T224" s="36" t="n">
        <f aca="false">MONTH(A224)</f>
        <v>8</v>
      </c>
      <c r="U224" s="37" t="b">
        <f aca="false">OR(C224="Workday",C224="Eve")</f>
        <v>1</v>
      </c>
      <c r="V224" s="34" t="n">
        <f aca="false">IF(C224="Eve",Settings!$B$8,Settings!$B$7)</f>
        <v>0.6875</v>
      </c>
      <c r="W224" s="14" t="n">
        <f aca="false">IF(U224,(V224-Settings!$B$6)*24,0)</f>
        <v>8.5</v>
      </c>
    </row>
    <row r="225" customFormat="false" ht="15" hidden="false" customHeight="false" outlineLevel="0" collapsed="false">
      <c r="A225" s="29" t="n">
        <v>46241</v>
      </c>
      <c r="B225" s="30" t="str">
        <f aca="false">CHOOSE(WEEKDAY(A225),"Sun","Mon","Tue","Wed","Thu","Fri","Sat")</f>
        <v>Fri</v>
      </c>
      <c r="C225" s="30" t="str">
        <f aca="false">IF(IFERROR(INDEX(Holidays!$D$5:$D$60,MATCH(A225,Holidays!$A$5:$A$60,0)),"")="Holiday","Holiday",IF(WEEKDAY(A225)&gt;=6,"Weekend",IF(IFERROR(INDEX(Holidays!$D$5:$D$60,MATCH(A225,Holidays!$A$5:$A$60,0)),"")="Eve","Eve","Workday")))</f>
        <v>Weekend</v>
      </c>
      <c r="D225" s="18" t="str">
        <f aca="false">IFERROR(INDEX(Holidays!$C$5:$C$60,MATCH(A225,Holidays!$A$5:$A$60,0)),"")</f>
        <v/>
      </c>
      <c r="E225" s="31"/>
      <c r="F225" s="32"/>
      <c r="G225" s="32"/>
      <c r="H225" s="32"/>
      <c r="I225" s="32"/>
      <c r="J225" s="31"/>
      <c r="K225" s="33" t="str">
        <f aca="false">IF(E225&lt;&gt;"",E225,IF(U225,"Present",IF(C225="Holiday","Holiday","Weekend")))</f>
        <v>Weekend</v>
      </c>
      <c r="L225" s="34" t="str">
        <f aca="false">IF(OR(K225="Present",K225="Manual Work",K225="Partial Vacation",K225="Partial Sick Leave"),IF(ISNUMBER(F225),F225,IF(AND(K225="Present",U225),Settings!$B$6,"")),"")</f>
        <v/>
      </c>
      <c r="M225" s="34" t="str">
        <f aca="false">IF(OR(K225="Present",K225="Manual Work",K225="Partial Vacation",K225="Partial Sick Leave"),IF(ISNUMBER(G225),G225,IF(AND(K225="Present",U225),V225,"")),"")</f>
        <v/>
      </c>
      <c r="N225" s="14" t="n">
        <f aca="false">IF(AND(ISNUMBER(L225),ISNUMBER(M225)),MAX(0,(M225-L225)*24),0)</f>
        <v>0</v>
      </c>
      <c r="O225" s="14" t="n">
        <f aca="false">IF(NOT(U225),0,IF(K225="Vacation",IF(C225="Eve",Settings!$B$9*Settings!$B$11,W225),IF(K225="Partial Vacation",IF(AND(ISNUMBER(H225),ISNUMBER(I225)),MAX(0,(I225-H225)*24),0),0)))</f>
        <v>0</v>
      </c>
      <c r="P225" s="14" t="n">
        <f aca="false">IF(NOT(U225),0,IF(K225="Sick Leave",W225,IF(K225="Partial Sick Leave",IF(AND(ISNUMBER(H225),ISNUMBER(I225)),MAX(0,(I225-H225)*24),0),0)))</f>
        <v>0</v>
      </c>
      <c r="Q225" s="14" t="n">
        <f aca="false">IF(NOT(U225),0,IF(K225="Vacation",IF(C225="Eve",Settings!$B$11,1),IF(K225="Partial Vacation",O225/Settings!$B$9,0)))</f>
        <v>0</v>
      </c>
      <c r="R225" s="14" t="n">
        <f aca="false">IF(NOT(U225),0,IF(K225="Sick Leave",1,IF(K225="Partial Sick Leave",P225/Settings!$B$9,0)))</f>
        <v>0</v>
      </c>
      <c r="S225" s="35" t="str">
        <f aca="false">IF(AND(OR(E225="Vacation",E225="Sick Leave",E225="Partial Vacation",E225="Partial Sick Leave"),NOT(U225)),"Leave not allowed on this day",IF(AND(E225="Manual Work",OR(NOT(ISNUMBER(F225)),NOT(ISNUMBER(G225)))),"Enter start and end",IF(AND(OR(E225="Partial Vacation",E225="Partial Sick Leave"),OR(NOT(ISNUMBER(H225)),NOT(ISNUMBER(I225)))),"Enter leave from and to",IF(AND(ISNUMBER(F225),ISNUMBER(G225),G225&lt;=F225),"End is before start",IF(AND(ISNUMBER(H225),ISNUMBER(I225),I225&lt;=H225),"Leave end is before start",IF(AND(ISNUMBER(F225),ISNUMBER(G225),ISNUMBER(H225),ISNUMBER(I225),F225&lt;I225,H225&lt;G225),"Work and leave hours overlap",IF(AND(E225&lt;&gt;"",WEEKDAY(A225)=7),"Saturday - administrator only","")))))))</f>
        <v/>
      </c>
      <c r="T225" s="36" t="n">
        <f aca="false">MONTH(A225)</f>
        <v>8</v>
      </c>
      <c r="U225" s="37" t="b">
        <f aca="false">OR(C225="Workday",C225="Eve")</f>
        <v>0</v>
      </c>
      <c r="V225" s="34" t="n">
        <f aca="false">IF(C225="Eve",Settings!$B$8,Settings!$B$7)</f>
        <v>0.6875</v>
      </c>
      <c r="W225" s="14" t="n">
        <f aca="false">IF(U225,(V225-Settings!$B$6)*24,0)</f>
        <v>0</v>
      </c>
    </row>
    <row r="226" customFormat="false" ht="15" hidden="false" customHeight="false" outlineLevel="0" collapsed="false">
      <c r="A226" s="29" t="n">
        <v>46242</v>
      </c>
      <c r="B226" s="30" t="str">
        <f aca="false">CHOOSE(WEEKDAY(A226),"Sun","Mon","Tue","Wed","Thu","Fri","Sat")</f>
        <v>Sat</v>
      </c>
      <c r="C226" s="30" t="str">
        <f aca="false">IF(IFERROR(INDEX(Holidays!$D$5:$D$60,MATCH(A226,Holidays!$A$5:$A$60,0)),"")="Holiday","Holiday",IF(WEEKDAY(A226)&gt;=6,"Weekend",IF(IFERROR(INDEX(Holidays!$D$5:$D$60,MATCH(A226,Holidays!$A$5:$A$60,0)),"")="Eve","Eve","Workday")))</f>
        <v>Weekend</v>
      </c>
      <c r="D226" s="18" t="str">
        <f aca="false">IFERROR(INDEX(Holidays!$C$5:$C$60,MATCH(A226,Holidays!$A$5:$A$60,0)),"")</f>
        <v/>
      </c>
      <c r="E226" s="31"/>
      <c r="F226" s="32"/>
      <c r="G226" s="32"/>
      <c r="H226" s="32"/>
      <c r="I226" s="32"/>
      <c r="J226" s="31"/>
      <c r="K226" s="33" t="str">
        <f aca="false">IF(E226&lt;&gt;"",E226,IF(U226,"Present",IF(C226="Holiday","Holiday","Weekend")))</f>
        <v>Weekend</v>
      </c>
      <c r="L226" s="34" t="str">
        <f aca="false">IF(OR(K226="Present",K226="Manual Work",K226="Partial Vacation",K226="Partial Sick Leave"),IF(ISNUMBER(F226),F226,IF(AND(K226="Present",U226),Settings!$B$6,"")),"")</f>
        <v/>
      </c>
      <c r="M226" s="34" t="str">
        <f aca="false">IF(OR(K226="Present",K226="Manual Work",K226="Partial Vacation",K226="Partial Sick Leave"),IF(ISNUMBER(G226),G226,IF(AND(K226="Present",U226),V226,"")),"")</f>
        <v/>
      </c>
      <c r="N226" s="14" t="n">
        <f aca="false">IF(AND(ISNUMBER(L226),ISNUMBER(M226)),MAX(0,(M226-L226)*24),0)</f>
        <v>0</v>
      </c>
      <c r="O226" s="14" t="n">
        <f aca="false">IF(NOT(U226),0,IF(K226="Vacation",IF(C226="Eve",Settings!$B$9*Settings!$B$11,W226),IF(K226="Partial Vacation",IF(AND(ISNUMBER(H226),ISNUMBER(I226)),MAX(0,(I226-H226)*24),0),0)))</f>
        <v>0</v>
      </c>
      <c r="P226" s="14" t="n">
        <f aca="false">IF(NOT(U226),0,IF(K226="Sick Leave",W226,IF(K226="Partial Sick Leave",IF(AND(ISNUMBER(H226),ISNUMBER(I226)),MAX(0,(I226-H226)*24),0),0)))</f>
        <v>0</v>
      </c>
      <c r="Q226" s="14" t="n">
        <f aca="false">IF(NOT(U226),0,IF(K226="Vacation",IF(C226="Eve",Settings!$B$11,1),IF(K226="Partial Vacation",O226/Settings!$B$9,0)))</f>
        <v>0</v>
      </c>
      <c r="R226" s="14" t="n">
        <f aca="false">IF(NOT(U226),0,IF(K226="Sick Leave",1,IF(K226="Partial Sick Leave",P226/Settings!$B$9,0)))</f>
        <v>0</v>
      </c>
      <c r="S226" s="35" t="str">
        <f aca="false">IF(AND(OR(E226="Vacation",E226="Sick Leave",E226="Partial Vacation",E226="Partial Sick Leave"),NOT(U226)),"Leave not allowed on this day",IF(AND(E226="Manual Work",OR(NOT(ISNUMBER(F226)),NOT(ISNUMBER(G226)))),"Enter start and end",IF(AND(OR(E226="Partial Vacation",E226="Partial Sick Leave"),OR(NOT(ISNUMBER(H226)),NOT(ISNUMBER(I226)))),"Enter leave from and to",IF(AND(ISNUMBER(F226),ISNUMBER(G226),G226&lt;=F226),"End is before start",IF(AND(ISNUMBER(H226),ISNUMBER(I226),I226&lt;=H226),"Leave end is before start",IF(AND(ISNUMBER(F226),ISNUMBER(G226),ISNUMBER(H226),ISNUMBER(I226),F226&lt;I226,H226&lt;G226),"Work and leave hours overlap",IF(AND(E226&lt;&gt;"",WEEKDAY(A226)=7),"Saturday - administrator only","")))))))</f>
        <v/>
      </c>
      <c r="T226" s="36" t="n">
        <f aca="false">MONTH(A226)</f>
        <v>8</v>
      </c>
      <c r="U226" s="37" t="b">
        <f aca="false">OR(C226="Workday",C226="Eve")</f>
        <v>0</v>
      </c>
      <c r="V226" s="34" t="n">
        <f aca="false">IF(C226="Eve",Settings!$B$8,Settings!$B$7)</f>
        <v>0.6875</v>
      </c>
      <c r="W226" s="14" t="n">
        <f aca="false">IF(U226,(V226-Settings!$B$6)*24,0)</f>
        <v>0</v>
      </c>
    </row>
    <row r="227" customFormat="false" ht="15" hidden="false" customHeight="false" outlineLevel="0" collapsed="false">
      <c r="A227" s="29" t="n">
        <v>46243</v>
      </c>
      <c r="B227" s="30" t="str">
        <f aca="false">CHOOSE(WEEKDAY(A227),"Sun","Mon","Tue","Wed","Thu","Fri","Sat")</f>
        <v>Sun</v>
      </c>
      <c r="C227" s="30" t="str">
        <f aca="false">IF(IFERROR(INDEX(Holidays!$D$5:$D$60,MATCH(A227,Holidays!$A$5:$A$60,0)),"")="Holiday","Holiday",IF(WEEKDAY(A227)&gt;=6,"Weekend",IF(IFERROR(INDEX(Holidays!$D$5:$D$60,MATCH(A227,Holidays!$A$5:$A$60,0)),"")="Eve","Eve","Workday")))</f>
        <v>Workday</v>
      </c>
      <c r="D227" s="18" t="str">
        <f aca="false">IFERROR(INDEX(Holidays!$C$5:$C$60,MATCH(A227,Holidays!$A$5:$A$60,0)),"")</f>
        <v/>
      </c>
      <c r="E227" s="31"/>
      <c r="F227" s="32"/>
      <c r="G227" s="32"/>
      <c r="H227" s="32"/>
      <c r="I227" s="32"/>
      <c r="J227" s="31"/>
      <c r="K227" s="33" t="str">
        <f aca="false">IF(E227&lt;&gt;"",E227,IF(U227,"Present",IF(C227="Holiday","Holiday","Weekend")))</f>
        <v>Present</v>
      </c>
      <c r="L227" s="34" t="n">
        <f aca="false">IF(OR(K227="Present",K227="Manual Work",K227="Partial Vacation",K227="Partial Sick Leave"),IF(ISNUMBER(F227),F227,IF(AND(K227="Present",U227),Settings!$B$6,"")),"")</f>
        <v>0.333333333333333</v>
      </c>
      <c r="M227" s="34" t="n">
        <f aca="false">IF(OR(K227="Present",K227="Manual Work",K227="Partial Vacation",K227="Partial Sick Leave"),IF(ISNUMBER(G227),G227,IF(AND(K227="Present",U227),V227,"")),"")</f>
        <v>0.6875</v>
      </c>
      <c r="N227" s="14" t="n">
        <f aca="false">IF(AND(ISNUMBER(L227),ISNUMBER(M227)),MAX(0,(M227-L227)*24),0)</f>
        <v>8.5</v>
      </c>
      <c r="O227" s="14" t="n">
        <f aca="false">IF(NOT(U227),0,IF(K227="Vacation",IF(C227="Eve",Settings!$B$9*Settings!$B$11,W227),IF(K227="Partial Vacation",IF(AND(ISNUMBER(H227),ISNUMBER(I227)),MAX(0,(I227-H227)*24),0),0)))</f>
        <v>0</v>
      </c>
      <c r="P227" s="14" t="n">
        <f aca="false">IF(NOT(U227),0,IF(K227="Sick Leave",W227,IF(K227="Partial Sick Leave",IF(AND(ISNUMBER(H227),ISNUMBER(I227)),MAX(0,(I227-H227)*24),0),0)))</f>
        <v>0</v>
      </c>
      <c r="Q227" s="14" t="n">
        <f aca="false">IF(NOT(U227),0,IF(K227="Vacation",IF(C227="Eve",Settings!$B$11,1),IF(K227="Partial Vacation",O227/Settings!$B$9,0)))</f>
        <v>0</v>
      </c>
      <c r="R227" s="14" t="n">
        <f aca="false">IF(NOT(U227),0,IF(K227="Sick Leave",1,IF(K227="Partial Sick Leave",P227/Settings!$B$9,0)))</f>
        <v>0</v>
      </c>
      <c r="S227" s="35" t="str">
        <f aca="false">IF(AND(OR(E227="Vacation",E227="Sick Leave",E227="Partial Vacation",E227="Partial Sick Leave"),NOT(U227)),"Leave not allowed on this day",IF(AND(E227="Manual Work",OR(NOT(ISNUMBER(F227)),NOT(ISNUMBER(G227)))),"Enter start and end",IF(AND(OR(E227="Partial Vacation",E227="Partial Sick Leave"),OR(NOT(ISNUMBER(H227)),NOT(ISNUMBER(I227)))),"Enter leave from and to",IF(AND(ISNUMBER(F227),ISNUMBER(G227),G227&lt;=F227),"End is before start",IF(AND(ISNUMBER(H227),ISNUMBER(I227),I227&lt;=H227),"Leave end is before start",IF(AND(ISNUMBER(F227),ISNUMBER(G227),ISNUMBER(H227),ISNUMBER(I227),F227&lt;I227,H227&lt;G227),"Work and leave hours overlap",IF(AND(E227&lt;&gt;"",WEEKDAY(A227)=7),"Saturday - administrator only","")))))))</f>
        <v/>
      </c>
      <c r="T227" s="36" t="n">
        <f aca="false">MONTH(A227)</f>
        <v>8</v>
      </c>
      <c r="U227" s="37" t="b">
        <f aca="false">OR(C227="Workday",C227="Eve")</f>
        <v>1</v>
      </c>
      <c r="V227" s="34" t="n">
        <f aca="false">IF(C227="Eve",Settings!$B$8,Settings!$B$7)</f>
        <v>0.6875</v>
      </c>
      <c r="W227" s="14" t="n">
        <f aca="false">IF(U227,(V227-Settings!$B$6)*24,0)</f>
        <v>8.5</v>
      </c>
    </row>
    <row r="228" customFormat="false" ht="15" hidden="false" customHeight="false" outlineLevel="0" collapsed="false">
      <c r="A228" s="29" t="n">
        <v>46244</v>
      </c>
      <c r="B228" s="30" t="str">
        <f aca="false">CHOOSE(WEEKDAY(A228),"Sun","Mon","Tue","Wed","Thu","Fri","Sat")</f>
        <v>Mon</v>
      </c>
      <c r="C228" s="30" t="str">
        <f aca="false">IF(IFERROR(INDEX(Holidays!$D$5:$D$60,MATCH(A228,Holidays!$A$5:$A$60,0)),"")="Holiday","Holiday",IF(WEEKDAY(A228)&gt;=6,"Weekend",IF(IFERROR(INDEX(Holidays!$D$5:$D$60,MATCH(A228,Holidays!$A$5:$A$60,0)),"")="Eve","Eve","Workday")))</f>
        <v>Workday</v>
      </c>
      <c r="D228" s="18" t="str">
        <f aca="false">IFERROR(INDEX(Holidays!$C$5:$C$60,MATCH(A228,Holidays!$A$5:$A$60,0)),"")</f>
        <v/>
      </c>
      <c r="E228" s="31"/>
      <c r="F228" s="32"/>
      <c r="G228" s="32"/>
      <c r="H228" s="32"/>
      <c r="I228" s="32"/>
      <c r="J228" s="31"/>
      <c r="K228" s="33" t="str">
        <f aca="false">IF(E228&lt;&gt;"",E228,IF(U228,"Present",IF(C228="Holiday","Holiday","Weekend")))</f>
        <v>Present</v>
      </c>
      <c r="L228" s="34" t="n">
        <f aca="false">IF(OR(K228="Present",K228="Manual Work",K228="Partial Vacation",K228="Partial Sick Leave"),IF(ISNUMBER(F228),F228,IF(AND(K228="Present",U228),Settings!$B$6,"")),"")</f>
        <v>0.333333333333333</v>
      </c>
      <c r="M228" s="34" t="n">
        <f aca="false">IF(OR(K228="Present",K228="Manual Work",K228="Partial Vacation",K228="Partial Sick Leave"),IF(ISNUMBER(G228),G228,IF(AND(K228="Present",U228),V228,"")),"")</f>
        <v>0.6875</v>
      </c>
      <c r="N228" s="14" t="n">
        <f aca="false">IF(AND(ISNUMBER(L228),ISNUMBER(M228)),MAX(0,(M228-L228)*24),0)</f>
        <v>8.5</v>
      </c>
      <c r="O228" s="14" t="n">
        <f aca="false">IF(NOT(U228),0,IF(K228="Vacation",IF(C228="Eve",Settings!$B$9*Settings!$B$11,W228),IF(K228="Partial Vacation",IF(AND(ISNUMBER(H228),ISNUMBER(I228)),MAX(0,(I228-H228)*24),0),0)))</f>
        <v>0</v>
      </c>
      <c r="P228" s="14" t="n">
        <f aca="false">IF(NOT(U228),0,IF(K228="Sick Leave",W228,IF(K228="Partial Sick Leave",IF(AND(ISNUMBER(H228),ISNUMBER(I228)),MAX(0,(I228-H228)*24),0),0)))</f>
        <v>0</v>
      </c>
      <c r="Q228" s="14" t="n">
        <f aca="false">IF(NOT(U228),0,IF(K228="Vacation",IF(C228="Eve",Settings!$B$11,1),IF(K228="Partial Vacation",O228/Settings!$B$9,0)))</f>
        <v>0</v>
      </c>
      <c r="R228" s="14" t="n">
        <f aca="false">IF(NOT(U228),0,IF(K228="Sick Leave",1,IF(K228="Partial Sick Leave",P228/Settings!$B$9,0)))</f>
        <v>0</v>
      </c>
      <c r="S228" s="35" t="str">
        <f aca="false">IF(AND(OR(E228="Vacation",E228="Sick Leave",E228="Partial Vacation",E228="Partial Sick Leave"),NOT(U228)),"Leave not allowed on this day",IF(AND(E228="Manual Work",OR(NOT(ISNUMBER(F228)),NOT(ISNUMBER(G228)))),"Enter start and end",IF(AND(OR(E228="Partial Vacation",E228="Partial Sick Leave"),OR(NOT(ISNUMBER(H228)),NOT(ISNUMBER(I228)))),"Enter leave from and to",IF(AND(ISNUMBER(F228),ISNUMBER(G228),G228&lt;=F228),"End is before start",IF(AND(ISNUMBER(H228),ISNUMBER(I228),I228&lt;=H228),"Leave end is before start",IF(AND(ISNUMBER(F228),ISNUMBER(G228),ISNUMBER(H228),ISNUMBER(I228),F228&lt;I228,H228&lt;G228),"Work and leave hours overlap",IF(AND(E228&lt;&gt;"",WEEKDAY(A228)=7),"Saturday - administrator only","")))))))</f>
        <v/>
      </c>
      <c r="T228" s="36" t="n">
        <f aca="false">MONTH(A228)</f>
        <v>8</v>
      </c>
      <c r="U228" s="37" t="b">
        <f aca="false">OR(C228="Workday",C228="Eve")</f>
        <v>1</v>
      </c>
      <c r="V228" s="34" t="n">
        <f aca="false">IF(C228="Eve",Settings!$B$8,Settings!$B$7)</f>
        <v>0.6875</v>
      </c>
      <c r="W228" s="14" t="n">
        <f aca="false">IF(U228,(V228-Settings!$B$6)*24,0)</f>
        <v>8.5</v>
      </c>
    </row>
    <row r="229" customFormat="false" ht="15" hidden="false" customHeight="false" outlineLevel="0" collapsed="false">
      <c r="A229" s="29" t="n">
        <v>46245</v>
      </c>
      <c r="B229" s="30" t="str">
        <f aca="false">CHOOSE(WEEKDAY(A229),"Sun","Mon","Tue","Wed","Thu","Fri","Sat")</f>
        <v>Tue</v>
      </c>
      <c r="C229" s="30" t="str">
        <f aca="false">IF(IFERROR(INDEX(Holidays!$D$5:$D$60,MATCH(A229,Holidays!$A$5:$A$60,0)),"")="Holiday","Holiday",IF(WEEKDAY(A229)&gt;=6,"Weekend",IF(IFERROR(INDEX(Holidays!$D$5:$D$60,MATCH(A229,Holidays!$A$5:$A$60,0)),"")="Eve","Eve","Workday")))</f>
        <v>Workday</v>
      </c>
      <c r="D229" s="18" t="str">
        <f aca="false">IFERROR(INDEX(Holidays!$C$5:$C$60,MATCH(A229,Holidays!$A$5:$A$60,0)),"")</f>
        <v/>
      </c>
      <c r="E229" s="31"/>
      <c r="F229" s="32"/>
      <c r="G229" s="32"/>
      <c r="H229" s="32"/>
      <c r="I229" s="32"/>
      <c r="J229" s="31"/>
      <c r="K229" s="33" t="str">
        <f aca="false">IF(E229&lt;&gt;"",E229,IF(U229,"Present",IF(C229="Holiday","Holiday","Weekend")))</f>
        <v>Present</v>
      </c>
      <c r="L229" s="34" t="n">
        <f aca="false">IF(OR(K229="Present",K229="Manual Work",K229="Partial Vacation",K229="Partial Sick Leave"),IF(ISNUMBER(F229),F229,IF(AND(K229="Present",U229),Settings!$B$6,"")),"")</f>
        <v>0.333333333333333</v>
      </c>
      <c r="M229" s="34" t="n">
        <f aca="false">IF(OR(K229="Present",K229="Manual Work",K229="Partial Vacation",K229="Partial Sick Leave"),IF(ISNUMBER(G229),G229,IF(AND(K229="Present",U229),V229,"")),"")</f>
        <v>0.6875</v>
      </c>
      <c r="N229" s="14" t="n">
        <f aca="false">IF(AND(ISNUMBER(L229),ISNUMBER(M229)),MAX(0,(M229-L229)*24),0)</f>
        <v>8.5</v>
      </c>
      <c r="O229" s="14" t="n">
        <f aca="false">IF(NOT(U229),0,IF(K229="Vacation",IF(C229="Eve",Settings!$B$9*Settings!$B$11,W229),IF(K229="Partial Vacation",IF(AND(ISNUMBER(H229),ISNUMBER(I229)),MAX(0,(I229-H229)*24),0),0)))</f>
        <v>0</v>
      </c>
      <c r="P229" s="14" t="n">
        <f aca="false">IF(NOT(U229),0,IF(K229="Sick Leave",W229,IF(K229="Partial Sick Leave",IF(AND(ISNUMBER(H229),ISNUMBER(I229)),MAX(0,(I229-H229)*24),0),0)))</f>
        <v>0</v>
      </c>
      <c r="Q229" s="14" t="n">
        <f aca="false">IF(NOT(U229),0,IF(K229="Vacation",IF(C229="Eve",Settings!$B$11,1),IF(K229="Partial Vacation",O229/Settings!$B$9,0)))</f>
        <v>0</v>
      </c>
      <c r="R229" s="14" t="n">
        <f aca="false">IF(NOT(U229),0,IF(K229="Sick Leave",1,IF(K229="Partial Sick Leave",P229/Settings!$B$9,0)))</f>
        <v>0</v>
      </c>
      <c r="S229" s="35" t="str">
        <f aca="false">IF(AND(OR(E229="Vacation",E229="Sick Leave",E229="Partial Vacation",E229="Partial Sick Leave"),NOT(U229)),"Leave not allowed on this day",IF(AND(E229="Manual Work",OR(NOT(ISNUMBER(F229)),NOT(ISNUMBER(G229)))),"Enter start and end",IF(AND(OR(E229="Partial Vacation",E229="Partial Sick Leave"),OR(NOT(ISNUMBER(H229)),NOT(ISNUMBER(I229)))),"Enter leave from and to",IF(AND(ISNUMBER(F229),ISNUMBER(G229),G229&lt;=F229),"End is before start",IF(AND(ISNUMBER(H229),ISNUMBER(I229),I229&lt;=H229),"Leave end is before start",IF(AND(ISNUMBER(F229),ISNUMBER(G229),ISNUMBER(H229),ISNUMBER(I229),F229&lt;I229,H229&lt;G229),"Work and leave hours overlap",IF(AND(E229&lt;&gt;"",WEEKDAY(A229)=7),"Saturday - administrator only","")))))))</f>
        <v/>
      </c>
      <c r="T229" s="36" t="n">
        <f aca="false">MONTH(A229)</f>
        <v>8</v>
      </c>
      <c r="U229" s="37" t="b">
        <f aca="false">OR(C229="Workday",C229="Eve")</f>
        <v>1</v>
      </c>
      <c r="V229" s="34" t="n">
        <f aca="false">IF(C229="Eve",Settings!$B$8,Settings!$B$7)</f>
        <v>0.6875</v>
      </c>
      <c r="W229" s="14" t="n">
        <f aca="false">IF(U229,(V229-Settings!$B$6)*24,0)</f>
        <v>8.5</v>
      </c>
    </row>
    <row r="230" customFormat="false" ht="15" hidden="false" customHeight="false" outlineLevel="0" collapsed="false">
      <c r="A230" s="29" t="n">
        <v>46246</v>
      </c>
      <c r="B230" s="30" t="str">
        <f aca="false">CHOOSE(WEEKDAY(A230),"Sun","Mon","Tue","Wed","Thu","Fri","Sat")</f>
        <v>Wed</v>
      </c>
      <c r="C230" s="30" t="str">
        <f aca="false">IF(IFERROR(INDEX(Holidays!$D$5:$D$60,MATCH(A230,Holidays!$A$5:$A$60,0)),"")="Holiday","Holiday",IF(WEEKDAY(A230)&gt;=6,"Weekend",IF(IFERROR(INDEX(Holidays!$D$5:$D$60,MATCH(A230,Holidays!$A$5:$A$60,0)),"")="Eve","Eve","Workday")))</f>
        <v>Workday</v>
      </c>
      <c r="D230" s="18" t="str">
        <f aca="false">IFERROR(INDEX(Holidays!$C$5:$C$60,MATCH(A230,Holidays!$A$5:$A$60,0)),"")</f>
        <v/>
      </c>
      <c r="E230" s="31"/>
      <c r="F230" s="32"/>
      <c r="G230" s="32"/>
      <c r="H230" s="32"/>
      <c r="I230" s="32"/>
      <c r="J230" s="31"/>
      <c r="K230" s="33" t="str">
        <f aca="false">IF(E230&lt;&gt;"",E230,IF(U230,"Present",IF(C230="Holiday","Holiday","Weekend")))</f>
        <v>Present</v>
      </c>
      <c r="L230" s="34" t="n">
        <f aca="false">IF(OR(K230="Present",K230="Manual Work",K230="Partial Vacation",K230="Partial Sick Leave"),IF(ISNUMBER(F230),F230,IF(AND(K230="Present",U230),Settings!$B$6,"")),"")</f>
        <v>0.333333333333333</v>
      </c>
      <c r="M230" s="34" t="n">
        <f aca="false">IF(OR(K230="Present",K230="Manual Work",K230="Partial Vacation",K230="Partial Sick Leave"),IF(ISNUMBER(G230),G230,IF(AND(K230="Present",U230),V230,"")),"")</f>
        <v>0.6875</v>
      </c>
      <c r="N230" s="14" t="n">
        <f aca="false">IF(AND(ISNUMBER(L230),ISNUMBER(M230)),MAX(0,(M230-L230)*24),0)</f>
        <v>8.5</v>
      </c>
      <c r="O230" s="14" t="n">
        <f aca="false">IF(NOT(U230),0,IF(K230="Vacation",IF(C230="Eve",Settings!$B$9*Settings!$B$11,W230),IF(K230="Partial Vacation",IF(AND(ISNUMBER(H230),ISNUMBER(I230)),MAX(0,(I230-H230)*24),0),0)))</f>
        <v>0</v>
      </c>
      <c r="P230" s="14" t="n">
        <f aca="false">IF(NOT(U230),0,IF(K230="Sick Leave",W230,IF(K230="Partial Sick Leave",IF(AND(ISNUMBER(H230),ISNUMBER(I230)),MAX(0,(I230-H230)*24),0),0)))</f>
        <v>0</v>
      </c>
      <c r="Q230" s="14" t="n">
        <f aca="false">IF(NOT(U230),0,IF(K230="Vacation",IF(C230="Eve",Settings!$B$11,1),IF(K230="Partial Vacation",O230/Settings!$B$9,0)))</f>
        <v>0</v>
      </c>
      <c r="R230" s="14" t="n">
        <f aca="false">IF(NOT(U230),0,IF(K230="Sick Leave",1,IF(K230="Partial Sick Leave",P230/Settings!$B$9,0)))</f>
        <v>0</v>
      </c>
      <c r="S230" s="35" t="str">
        <f aca="false">IF(AND(OR(E230="Vacation",E230="Sick Leave",E230="Partial Vacation",E230="Partial Sick Leave"),NOT(U230)),"Leave not allowed on this day",IF(AND(E230="Manual Work",OR(NOT(ISNUMBER(F230)),NOT(ISNUMBER(G230)))),"Enter start and end",IF(AND(OR(E230="Partial Vacation",E230="Partial Sick Leave"),OR(NOT(ISNUMBER(H230)),NOT(ISNUMBER(I230)))),"Enter leave from and to",IF(AND(ISNUMBER(F230),ISNUMBER(G230),G230&lt;=F230),"End is before start",IF(AND(ISNUMBER(H230),ISNUMBER(I230),I230&lt;=H230),"Leave end is before start",IF(AND(ISNUMBER(F230),ISNUMBER(G230),ISNUMBER(H230),ISNUMBER(I230),F230&lt;I230,H230&lt;G230),"Work and leave hours overlap",IF(AND(E230&lt;&gt;"",WEEKDAY(A230)=7),"Saturday - administrator only","")))))))</f>
        <v/>
      </c>
      <c r="T230" s="36" t="n">
        <f aca="false">MONTH(A230)</f>
        <v>8</v>
      </c>
      <c r="U230" s="37" t="b">
        <f aca="false">OR(C230="Workday",C230="Eve")</f>
        <v>1</v>
      </c>
      <c r="V230" s="34" t="n">
        <f aca="false">IF(C230="Eve",Settings!$B$8,Settings!$B$7)</f>
        <v>0.6875</v>
      </c>
      <c r="W230" s="14" t="n">
        <f aca="false">IF(U230,(V230-Settings!$B$6)*24,0)</f>
        <v>8.5</v>
      </c>
    </row>
    <row r="231" customFormat="false" ht="15" hidden="false" customHeight="false" outlineLevel="0" collapsed="false">
      <c r="A231" s="29" t="n">
        <v>46247</v>
      </c>
      <c r="B231" s="30" t="str">
        <f aca="false">CHOOSE(WEEKDAY(A231),"Sun","Mon","Tue","Wed","Thu","Fri","Sat")</f>
        <v>Thu</v>
      </c>
      <c r="C231" s="30" t="str">
        <f aca="false">IF(IFERROR(INDEX(Holidays!$D$5:$D$60,MATCH(A231,Holidays!$A$5:$A$60,0)),"")="Holiday","Holiday",IF(WEEKDAY(A231)&gt;=6,"Weekend",IF(IFERROR(INDEX(Holidays!$D$5:$D$60,MATCH(A231,Holidays!$A$5:$A$60,0)),"")="Eve","Eve","Workday")))</f>
        <v>Workday</v>
      </c>
      <c r="D231" s="18" t="str">
        <f aca="false">IFERROR(INDEX(Holidays!$C$5:$C$60,MATCH(A231,Holidays!$A$5:$A$60,0)),"")</f>
        <v/>
      </c>
      <c r="E231" s="31"/>
      <c r="F231" s="32"/>
      <c r="G231" s="32"/>
      <c r="H231" s="32"/>
      <c r="I231" s="32"/>
      <c r="J231" s="31"/>
      <c r="K231" s="33" t="str">
        <f aca="false">IF(E231&lt;&gt;"",E231,IF(U231,"Present",IF(C231="Holiday","Holiday","Weekend")))</f>
        <v>Present</v>
      </c>
      <c r="L231" s="34" t="n">
        <f aca="false">IF(OR(K231="Present",K231="Manual Work",K231="Partial Vacation",K231="Partial Sick Leave"),IF(ISNUMBER(F231),F231,IF(AND(K231="Present",U231),Settings!$B$6,"")),"")</f>
        <v>0.333333333333333</v>
      </c>
      <c r="M231" s="34" t="n">
        <f aca="false">IF(OR(K231="Present",K231="Manual Work",K231="Partial Vacation",K231="Partial Sick Leave"),IF(ISNUMBER(G231),G231,IF(AND(K231="Present",U231),V231,"")),"")</f>
        <v>0.6875</v>
      </c>
      <c r="N231" s="14" t="n">
        <f aca="false">IF(AND(ISNUMBER(L231),ISNUMBER(M231)),MAX(0,(M231-L231)*24),0)</f>
        <v>8.5</v>
      </c>
      <c r="O231" s="14" t="n">
        <f aca="false">IF(NOT(U231),0,IF(K231="Vacation",IF(C231="Eve",Settings!$B$9*Settings!$B$11,W231),IF(K231="Partial Vacation",IF(AND(ISNUMBER(H231),ISNUMBER(I231)),MAX(0,(I231-H231)*24),0),0)))</f>
        <v>0</v>
      </c>
      <c r="P231" s="14" t="n">
        <f aca="false">IF(NOT(U231),0,IF(K231="Sick Leave",W231,IF(K231="Partial Sick Leave",IF(AND(ISNUMBER(H231),ISNUMBER(I231)),MAX(0,(I231-H231)*24),0),0)))</f>
        <v>0</v>
      </c>
      <c r="Q231" s="14" t="n">
        <f aca="false">IF(NOT(U231),0,IF(K231="Vacation",IF(C231="Eve",Settings!$B$11,1),IF(K231="Partial Vacation",O231/Settings!$B$9,0)))</f>
        <v>0</v>
      </c>
      <c r="R231" s="14" t="n">
        <f aca="false">IF(NOT(U231),0,IF(K231="Sick Leave",1,IF(K231="Partial Sick Leave",P231/Settings!$B$9,0)))</f>
        <v>0</v>
      </c>
      <c r="S231" s="35" t="str">
        <f aca="false">IF(AND(OR(E231="Vacation",E231="Sick Leave",E231="Partial Vacation",E231="Partial Sick Leave"),NOT(U231)),"Leave not allowed on this day",IF(AND(E231="Manual Work",OR(NOT(ISNUMBER(F231)),NOT(ISNUMBER(G231)))),"Enter start and end",IF(AND(OR(E231="Partial Vacation",E231="Partial Sick Leave"),OR(NOT(ISNUMBER(H231)),NOT(ISNUMBER(I231)))),"Enter leave from and to",IF(AND(ISNUMBER(F231),ISNUMBER(G231),G231&lt;=F231),"End is before start",IF(AND(ISNUMBER(H231),ISNUMBER(I231),I231&lt;=H231),"Leave end is before start",IF(AND(ISNUMBER(F231),ISNUMBER(G231),ISNUMBER(H231),ISNUMBER(I231),F231&lt;I231,H231&lt;G231),"Work and leave hours overlap",IF(AND(E231&lt;&gt;"",WEEKDAY(A231)=7),"Saturday - administrator only","")))))))</f>
        <v/>
      </c>
      <c r="T231" s="36" t="n">
        <f aca="false">MONTH(A231)</f>
        <v>8</v>
      </c>
      <c r="U231" s="37" t="b">
        <f aca="false">OR(C231="Workday",C231="Eve")</f>
        <v>1</v>
      </c>
      <c r="V231" s="34" t="n">
        <f aca="false">IF(C231="Eve",Settings!$B$8,Settings!$B$7)</f>
        <v>0.6875</v>
      </c>
      <c r="W231" s="14" t="n">
        <f aca="false">IF(U231,(V231-Settings!$B$6)*24,0)</f>
        <v>8.5</v>
      </c>
    </row>
    <row r="232" customFormat="false" ht="15" hidden="false" customHeight="false" outlineLevel="0" collapsed="false">
      <c r="A232" s="29" t="n">
        <v>46248</v>
      </c>
      <c r="B232" s="30" t="str">
        <f aca="false">CHOOSE(WEEKDAY(A232),"Sun","Mon","Tue","Wed","Thu","Fri","Sat")</f>
        <v>Fri</v>
      </c>
      <c r="C232" s="30" t="str">
        <f aca="false">IF(IFERROR(INDEX(Holidays!$D$5:$D$60,MATCH(A232,Holidays!$A$5:$A$60,0)),"")="Holiday","Holiday",IF(WEEKDAY(A232)&gt;=6,"Weekend",IF(IFERROR(INDEX(Holidays!$D$5:$D$60,MATCH(A232,Holidays!$A$5:$A$60,0)),"")="Eve","Eve","Workday")))</f>
        <v>Weekend</v>
      </c>
      <c r="D232" s="18" t="str">
        <f aca="false">IFERROR(INDEX(Holidays!$C$5:$C$60,MATCH(A232,Holidays!$A$5:$A$60,0)),"")</f>
        <v/>
      </c>
      <c r="E232" s="31"/>
      <c r="F232" s="32"/>
      <c r="G232" s="32"/>
      <c r="H232" s="32"/>
      <c r="I232" s="32"/>
      <c r="J232" s="31"/>
      <c r="K232" s="33" t="str">
        <f aca="false">IF(E232&lt;&gt;"",E232,IF(U232,"Present",IF(C232="Holiday","Holiday","Weekend")))</f>
        <v>Weekend</v>
      </c>
      <c r="L232" s="34" t="str">
        <f aca="false">IF(OR(K232="Present",K232="Manual Work",K232="Partial Vacation",K232="Partial Sick Leave"),IF(ISNUMBER(F232),F232,IF(AND(K232="Present",U232),Settings!$B$6,"")),"")</f>
        <v/>
      </c>
      <c r="M232" s="34" t="str">
        <f aca="false">IF(OR(K232="Present",K232="Manual Work",K232="Partial Vacation",K232="Partial Sick Leave"),IF(ISNUMBER(G232),G232,IF(AND(K232="Present",U232),V232,"")),"")</f>
        <v/>
      </c>
      <c r="N232" s="14" t="n">
        <f aca="false">IF(AND(ISNUMBER(L232),ISNUMBER(M232)),MAX(0,(M232-L232)*24),0)</f>
        <v>0</v>
      </c>
      <c r="O232" s="14" t="n">
        <f aca="false">IF(NOT(U232),0,IF(K232="Vacation",IF(C232="Eve",Settings!$B$9*Settings!$B$11,W232),IF(K232="Partial Vacation",IF(AND(ISNUMBER(H232),ISNUMBER(I232)),MAX(0,(I232-H232)*24),0),0)))</f>
        <v>0</v>
      </c>
      <c r="P232" s="14" t="n">
        <f aca="false">IF(NOT(U232),0,IF(K232="Sick Leave",W232,IF(K232="Partial Sick Leave",IF(AND(ISNUMBER(H232),ISNUMBER(I232)),MAX(0,(I232-H232)*24),0),0)))</f>
        <v>0</v>
      </c>
      <c r="Q232" s="14" t="n">
        <f aca="false">IF(NOT(U232),0,IF(K232="Vacation",IF(C232="Eve",Settings!$B$11,1),IF(K232="Partial Vacation",O232/Settings!$B$9,0)))</f>
        <v>0</v>
      </c>
      <c r="R232" s="14" t="n">
        <f aca="false">IF(NOT(U232),0,IF(K232="Sick Leave",1,IF(K232="Partial Sick Leave",P232/Settings!$B$9,0)))</f>
        <v>0</v>
      </c>
      <c r="S232" s="35" t="str">
        <f aca="false">IF(AND(OR(E232="Vacation",E232="Sick Leave",E232="Partial Vacation",E232="Partial Sick Leave"),NOT(U232)),"Leave not allowed on this day",IF(AND(E232="Manual Work",OR(NOT(ISNUMBER(F232)),NOT(ISNUMBER(G232)))),"Enter start and end",IF(AND(OR(E232="Partial Vacation",E232="Partial Sick Leave"),OR(NOT(ISNUMBER(H232)),NOT(ISNUMBER(I232)))),"Enter leave from and to",IF(AND(ISNUMBER(F232),ISNUMBER(G232),G232&lt;=F232),"End is before start",IF(AND(ISNUMBER(H232),ISNUMBER(I232),I232&lt;=H232),"Leave end is before start",IF(AND(ISNUMBER(F232),ISNUMBER(G232),ISNUMBER(H232),ISNUMBER(I232),F232&lt;I232,H232&lt;G232),"Work and leave hours overlap",IF(AND(E232&lt;&gt;"",WEEKDAY(A232)=7),"Saturday - administrator only","")))))))</f>
        <v/>
      </c>
      <c r="T232" s="36" t="n">
        <f aca="false">MONTH(A232)</f>
        <v>8</v>
      </c>
      <c r="U232" s="37" t="b">
        <f aca="false">OR(C232="Workday",C232="Eve")</f>
        <v>0</v>
      </c>
      <c r="V232" s="34" t="n">
        <f aca="false">IF(C232="Eve",Settings!$B$8,Settings!$B$7)</f>
        <v>0.6875</v>
      </c>
      <c r="W232" s="14" t="n">
        <f aca="false">IF(U232,(V232-Settings!$B$6)*24,0)</f>
        <v>0</v>
      </c>
    </row>
    <row r="233" customFormat="false" ht="15" hidden="false" customHeight="false" outlineLevel="0" collapsed="false">
      <c r="A233" s="29" t="n">
        <v>46249</v>
      </c>
      <c r="B233" s="30" t="str">
        <f aca="false">CHOOSE(WEEKDAY(A233),"Sun","Mon","Tue","Wed","Thu","Fri","Sat")</f>
        <v>Sat</v>
      </c>
      <c r="C233" s="30" t="str">
        <f aca="false">IF(IFERROR(INDEX(Holidays!$D$5:$D$60,MATCH(A233,Holidays!$A$5:$A$60,0)),"")="Holiday","Holiday",IF(WEEKDAY(A233)&gt;=6,"Weekend",IF(IFERROR(INDEX(Holidays!$D$5:$D$60,MATCH(A233,Holidays!$A$5:$A$60,0)),"")="Eve","Eve","Workday")))</f>
        <v>Weekend</v>
      </c>
      <c r="D233" s="18" t="str">
        <f aca="false">IFERROR(INDEX(Holidays!$C$5:$C$60,MATCH(A233,Holidays!$A$5:$A$60,0)),"")</f>
        <v/>
      </c>
      <c r="E233" s="31"/>
      <c r="F233" s="32"/>
      <c r="G233" s="32"/>
      <c r="H233" s="32"/>
      <c r="I233" s="32"/>
      <c r="J233" s="31"/>
      <c r="K233" s="33" t="str">
        <f aca="false">IF(E233&lt;&gt;"",E233,IF(U233,"Present",IF(C233="Holiday","Holiday","Weekend")))</f>
        <v>Weekend</v>
      </c>
      <c r="L233" s="34" t="str">
        <f aca="false">IF(OR(K233="Present",K233="Manual Work",K233="Partial Vacation",K233="Partial Sick Leave"),IF(ISNUMBER(F233),F233,IF(AND(K233="Present",U233),Settings!$B$6,"")),"")</f>
        <v/>
      </c>
      <c r="M233" s="34" t="str">
        <f aca="false">IF(OR(K233="Present",K233="Manual Work",K233="Partial Vacation",K233="Partial Sick Leave"),IF(ISNUMBER(G233),G233,IF(AND(K233="Present",U233),V233,"")),"")</f>
        <v/>
      </c>
      <c r="N233" s="14" t="n">
        <f aca="false">IF(AND(ISNUMBER(L233),ISNUMBER(M233)),MAX(0,(M233-L233)*24),0)</f>
        <v>0</v>
      </c>
      <c r="O233" s="14" t="n">
        <f aca="false">IF(NOT(U233),0,IF(K233="Vacation",IF(C233="Eve",Settings!$B$9*Settings!$B$11,W233),IF(K233="Partial Vacation",IF(AND(ISNUMBER(H233),ISNUMBER(I233)),MAX(0,(I233-H233)*24),0),0)))</f>
        <v>0</v>
      </c>
      <c r="P233" s="14" t="n">
        <f aca="false">IF(NOT(U233),0,IF(K233="Sick Leave",W233,IF(K233="Partial Sick Leave",IF(AND(ISNUMBER(H233),ISNUMBER(I233)),MAX(0,(I233-H233)*24),0),0)))</f>
        <v>0</v>
      </c>
      <c r="Q233" s="14" t="n">
        <f aca="false">IF(NOT(U233),0,IF(K233="Vacation",IF(C233="Eve",Settings!$B$11,1),IF(K233="Partial Vacation",O233/Settings!$B$9,0)))</f>
        <v>0</v>
      </c>
      <c r="R233" s="14" t="n">
        <f aca="false">IF(NOT(U233),0,IF(K233="Sick Leave",1,IF(K233="Partial Sick Leave",P233/Settings!$B$9,0)))</f>
        <v>0</v>
      </c>
      <c r="S233" s="35" t="str">
        <f aca="false">IF(AND(OR(E233="Vacation",E233="Sick Leave",E233="Partial Vacation",E233="Partial Sick Leave"),NOT(U233)),"Leave not allowed on this day",IF(AND(E233="Manual Work",OR(NOT(ISNUMBER(F233)),NOT(ISNUMBER(G233)))),"Enter start and end",IF(AND(OR(E233="Partial Vacation",E233="Partial Sick Leave"),OR(NOT(ISNUMBER(H233)),NOT(ISNUMBER(I233)))),"Enter leave from and to",IF(AND(ISNUMBER(F233),ISNUMBER(G233),G233&lt;=F233),"End is before start",IF(AND(ISNUMBER(H233),ISNUMBER(I233),I233&lt;=H233),"Leave end is before start",IF(AND(ISNUMBER(F233),ISNUMBER(G233),ISNUMBER(H233),ISNUMBER(I233),F233&lt;I233,H233&lt;G233),"Work and leave hours overlap",IF(AND(E233&lt;&gt;"",WEEKDAY(A233)=7),"Saturday - administrator only","")))))))</f>
        <v/>
      </c>
      <c r="T233" s="36" t="n">
        <f aca="false">MONTH(A233)</f>
        <v>8</v>
      </c>
      <c r="U233" s="37" t="b">
        <f aca="false">OR(C233="Workday",C233="Eve")</f>
        <v>0</v>
      </c>
      <c r="V233" s="34" t="n">
        <f aca="false">IF(C233="Eve",Settings!$B$8,Settings!$B$7)</f>
        <v>0.6875</v>
      </c>
      <c r="W233" s="14" t="n">
        <f aca="false">IF(U233,(V233-Settings!$B$6)*24,0)</f>
        <v>0</v>
      </c>
    </row>
    <row r="234" customFormat="false" ht="15" hidden="false" customHeight="false" outlineLevel="0" collapsed="false">
      <c r="A234" s="29" t="n">
        <v>46250</v>
      </c>
      <c r="B234" s="30" t="str">
        <f aca="false">CHOOSE(WEEKDAY(A234),"Sun","Mon","Tue","Wed","Thu","Fri","Sat")</f>
        <v>Sun</v>
      </c>
      <c r="C234" s="30" t="str">
        <f aca="false">IF(IFERROR(INDEX(Holidays!$D$5:$D$60,MATCH(A234,Holidays!$A$5:$A$60,0)),"")="Holiday","Holiday",IF(WEEKDAY(A234)&gt;=6,"Weekend",IF(IFERROR(INDEX(Holidays!$D$5:$D$60,MATCH(A234,Holidays!$A$5:$A$60,0)),"")="Eve","Eve","Workday")))</f>
        <v>Workday</v>
      </c>
      <c r="D234" s="18" t="str">
        <f aca="false">IFERROR(INDEX(Holidays!$C$5:$C$60,MATCH(A234,Holidays!$A$5:$A$60,0)),"")</f>
        <v/>
      </c>
      <c r="E234" s="31"/>
      <c r="F234" s="32"/>
      <c r="G234" s="32"/>
      <c r="H234" s="32"/>
      <c r="I234" s="32"/>
      <c r="J234" s="31"/>
      <c r="K234" s="33" t="str">
        <f aca="false">IF(E234&lt;&gt;"",E234,IF(U234,"Present",IF(C234="Holiday","Holiday","Weekend")))</f>
        <v>Present</v>
      </c>
      <c r="L234" s="34" t="n">
        <f aca="false">IF(OR(K234="Present",K234="Manual Work",K234="Partial Vacation",K234="Partial Sick Leave"),IF(ISNUMBER(F234),F234,IF(AND(K234="Present",U234),Settings!$B$6,"")),"")</f>
        <v>0.333333333333333</v>
      </c>
      <c r="M234" s="34" t="n">
        <f aca="false">IF(OR(K234="Present",K234="Manual Work",K234="Partial Vacation",K234="Partial Sick Leave"),IF(ISNUMBER(G234),G234,IF(AND(K234="Present",U234),V234,"")),"")</f>
        <v>0.6875</v>
      </c>
      <c r="N234" s="14" t="n">
        <f aca="false">IF(AND(ISNUMBER(L234),ISNUMBER(M234)),MAX(0,(M234-L234)*24),0)</f>
        <v>8.5</v>
      </c>
      <c r="O234" s="14" t="n">
        <f aca="false">IF(NOT(U234),0,IF(K234="Vacation",IF(C234="Eve",Settings!$B$9*Settings!$B$11,W234),IF(K234="Partial Vacation",IF(AND(ISNUMBER(H234),ISNUMBER(I234)),MAX(0,(I234-H234)*24),0),0)))</f>
        <v>0</v>
      </c>
      <c r="P234" s="14" t="n">
        <f aca="false">IF(NOT(U234),0,IF(K234="Sick Leave",W234,IF(K234="Partial Sick Leave",IF(AND(ISNUMBER(H234),ISNUMBER(I234)),MAX(0,(I234-H234)*24),0),0)))</f>
        <v>0</v>
      </c>
      <c r="Q234" s="14" t="n">
        <f aca="false">IF(NOT(U234),0,IF(K234="Vacation",IF(C234="Eve",Settings!$B$11,1),IF(K234="Partial Vacation",O234/Settings!$B$9,0)))</f>
        <v>0</v>
      </c>
      <c r="R234" s="14" t="n">
        <f aca="false">IF(NOT(U234),0,IF(K234="Sick Leave",1,IF(K234="Partial Sick Leave",P234/Settings!$B$9,0)))</f>
        <v>0</v>
      </c>
      <c r="S234" s="35" t="str">
        <f aca="false">IF(AND(OR(E234="Vacation",E234="Sick Leave",E234="Partial Vacation",E234="Partial Sick Leave"),NOT(U234)),"Leave not allowed on this day",IF(AND(E234="Manual Work",OR(NOT(ISNUMBER(F234)),NOT(ISNUMBER(G234)))),"Enter start and end",IF(AND(OR(E234="Partial Vacation",E234="Partial Sick Leave"),OR(NOT(ISNUMBER(H234)),NOT(ISNUMBER(I234)))),"Enter leave from and to",IF(AND(ISNUMBER(F234),ISNUMBER(G234),G234&lt;=F234),"End is before start",IF(AND(ISNUMBER(H234),ISNUMBER(I234),I234&lt;=H234),"Leave end is before start",IF(AND(ISNUMBER(F234),ISNUMBER(G234),ISNUMBER(H234),ISNUMBER(I234),F234&lt;I234,H234&lt;G234),"Work and leave hours overlap",IF(AND(E234&lt;&gt;"",WEEKDAY(A234)=7),"Saturday - administrator only","")))))))</f>
        <v/>
      </c>
      <c r="T234" s="36" t="n">
        <f aca="false">MONTH(A234)</f>
        <v>8</v>
      </c>
      <c r="U234" s="37" t="b">
        <f aca="false">OR(C234="Workday",C234="Eve")</f>
        <v>1</v>
      </c>
      <c r="V234" s="34" t="n">
        <f aca="false">IF(C234="Eve",Settings!$B$8,Settings!$B$7)</f>
        <v>0.6875</v>
      </c>
      <c r="W234" s="14" t="n">
        <f aca="false">IF(U234,(V234-Settings!$B$6)*24,0)</f>
        <v>8.5</v>
      </c>
    </row>
    <row r="235" customFormat="false" ht="15" hidden="false" customHeight="false" outlineLevel="0" collapsed="false">
      <c r="A235" s="29" t="n">
        <v>46251</v>
      </c>
      <c r="B235" s="30" t="str">
        <f aca="false">CHOOSE(WEEKDAY(A235),"Sun","Mon","Tue","Wed","Thu","Fri","Sat")</f>
        <v>Mon</v>
      </c>
      <c r="C235" s="30" t="str">
        <f aca="false">IF(IFERROR(INDEX(Holidays!$D$5:$D$60,MATCH(A235,Holidays!$A$5:$A$60,0)),"")="Holiday","Holiday",IF(WEEKDAY(A235)&gt;=6,"Weekend",IF(IFERROR(INDEX(Holidays!$D$5:$D$60,MATCH(A235,Holidays!$A$5:$A$60,0)),"")="Eve","Eve","Workday")))</f>
        <v>Workday</v>
      </c>
      <c r="D235" s="18" t="str">
        <f aca="false">IFERROR(INDEX(Holidays!$C$5:$C$60,MATCH(A235,Holidays!$A$5:$A$60,0)),"")</f>
        <v/>
      </c>
      <c r="E235" s="31"/>
      <c r="F235" s="32"/>
      <c r="G235" s="32"/>
      <c r="H235" s="32"/>
      <c r="I235" s="32"/>
      <c r="J235" s="31"/>
      <c r="K235" s="33" t="str">
        <f aca="false">IF(E235&lt;&gt;"",E235,IF(U235,"Present",IF(C235="Holiday","Holiday","Weekend")))</f>
        <v>Present</v>
      </c>
      <c r="L235" s="34" t="n">
        <f aca="false">IF(OR(K235="Present",K235="Manual Work",K235="Partial Vacation",K235="Partial Sick Leave"),IF(ISNUMBER(F235),F235,IF(AND(K235="Present",U235),Settings!$B$6,"")),"")</f>
        <v>0.333333333333333</v>
      </c>
      <c r="M235" s="34" t="n">
        <f aca="false">IF(OR(K235="Present",K235="Manual Work",K235="Partial Vacation",K235="Partial Sick Leave"),IF(ISNUMBER(G235),G235,IF(AND(K235="Present",U235),V235,"")),"")</f>
        <v>0.6875</v>
      </c>
      <c r="N235" s="14" t="n">
        <f aca="false">IF(AND(ISNUMBER(L235),ISNUMBER(M235)),MAX(0,(M235-L235)*24),0)</f>
        <v>8.5</v>
      </c>
      <c r="O235" s="14" t="n">
        <f aca="false">IF(NOT(U235),0,IF(K235="Vacation",IF(C235="Eve",Settings!$B$9*Settings!$B$11,W235),IF(K235="Partial Vacation",IF(AND(ISNUMBER(H235),ISNUMBER(I235)),MAX(0,(I235-H235)*24),0),0)))</f>
        <v>0</v>
      </c>
      <c r="P235" s="14" t="n">
        <f aca="false">IF(NOT(U235),0,IF(K235="Sick Leave",W235,IF(K235="Partial Sick Leave",IF(AND(ISNUMBER(H235),ISNUMBER(I235)),MAX(0,(I235-H235)*24),0),0)))</f>
        <v>0</v>
      </c>
      <c r="Q235" s="14" t="n">
        <f aca="false">IF(NOT(U235),0,IF(K235="Vacation",IF(C235="Eve",Settings!$B$11,1),IF(K235="Partial Vacation",O235/Settings!$B$9,0)))</f>
        <v>0</v>
      </c>
      <c r="R235" s="14" t="n">
        <f aca="false">IF(NOT(U235),0,IF(K235="Sick Leave",1,IF(K235="Partial Sick Leave",P235/Settings!$B$9,0)))</f>
        <v>0</v>
      </c>
      <c r="S235" s="35" t="str">
        <f aca="false">IF(AND(OR(E235="Vacation",E235="Sick Leave",E235="Partial Vacation",E235="Partial Sick Leave"),NOT(U235)),"Leave not allowed on this day",IF(AND(E235="Manual Work",OR(NOT(ISNUMBER(F235)),NOT(ISNUMBER(G235)))),"Enter start and end",IF(AND(OR(E235="Partial Vacation",E235="Partial Sick Leave"),OR(NOT(ISNUMBER(H235)),NOT(ISNUMBER(I235)))),"Enter leave from and to",IF(AND(ISNUMBER(F235),ISNUMBER(G235),G235&lt;=F235),"End is before start",IF(AND(ISNUMBER(H235),ISNUMBER(I235),I235&lt;=H235),"Leave end is before start",IF(AND(ISNUMBER(F235),ISNUMBER(G235),ISNUMBER(H235),ISNUMBER(I235),F235&lt;I235,H235&lt;G235),"Work and leave hours overlap",IF(AND(E235&lt;&gt;"",WEEKDAY(A235)=7),"Saturday - administrator only","")))))))</f>
        <v/>
      </c>
      <c r="T235" s="36" t="n">
        <f aca="false">MONTH(A235)</f>
        <v>8</v>
      </c>
      <c r="U235" s="37" t="b">
        <f aca="false">OR(C235="Workday",C235="Eve")</f>
        <v>1</v>
      </c>
      <c r="V235" s="34" t="n">
        <f aca="false">IF(C235="Eve",Settings!$B$8,Settings!$B$7)</f>
        <v>0.6875</v>
      </c>
      <c r="W235" s="14" t="n">
        <f aca="false">IF(U235,(V235-Settings!$B$6)*24,0)</f>
        <v>8.5</v>
      </c>
    </row>
    <row r="236" customFormat="false" ht="15" hidden="false" customHeight="false" outlineLevel="0" collapsed="false">
      <c r="A236" s="29" t="n">
        <v>46252</v>
      </c>
      <c r="B236" s="30" t="str">
        <f aca="false">CHOOSE(WEEKDAY(A236),"Sun","Mon","Tue","Wed","Thu","Fri","Sat")</f>
        <v>Tue</v>
      </c>
      <c r="C236" s="30" t="str">
        <f aca="false">IF(IFERROR(INDEX(Holidays!$D$5:$D$60,MATCH(A236,Holidays!$A$5:$A$60,0)),"")="Holiday","Holiday",IF(WEEKDAY(A236)&gt;=6,"Weekend",IF(IFERROR(INDEX(Holidays!$D$5:$D$60,MATCH(A236,Holidays!$A$5:$A$60,0)),"")="Eve","Eve","Workday")))</f>
        <v>Workday</v>
      </c>
      <c r="D236" s="18" t="str">
        <f aca="false">IFERROR(INDEX(Holidays!$C$5:$C$60,MATCH(A236,Holidays!$A$5:$A$60,0)),"")</f>
        <v/>
      </c>
      <c r="E236" s="31"/>
      <c r="F236" s="32"/>
      <c r="G236" s="32"/>
      <c r="H236" s="32"/>
      <c r="I236" s="32"/>
      <c r="J236" s="31"/>
      <c r="K236" s="33" t="str">
        <f aca="false">IF(E236&lt;&gt;"",E236,IF(U236,"Present",IF(C236="Holiday","Holiday","Weekend")))</f>
        <v>Present</v>
      </c>
      <c r="L236" s="34" t="n">
        <f aca="false">IF(OR(K236="Present",K236="Manual Work",K236="Partial Vacation",K236="Partial Sick Leave"),IF(ISNUMBER(F236),F236,IF(AND(K236="Present",U236),Settings!$B$6,"")),"")</f>
        <v>0.333333333333333</v>
      </c>
      <c r="M236" s="34" t="n">
        <f aca="false">IF(OR(K236="Present",K236="Manual Work",K236="Partial Vacation",K236="Partial Sick Leave"),IF(ISNUMBER(G236),G236,IF(AND(K236="Present",U236),V236,"")),"")</f>
        <v>0.6875</v>
      </c>
      <c r="N236" s="14" t="n">
        <f aca="false">IF(AND(ISNUMBER(L236),ISNUMBER(M236)),MAX(0,(M236-L236)*24),0)</f>
        <v>8.5</v>
      </c>
      <c r="O236" s="14" t="n">
        <f aca="false">IF(NOT(U236),0,IF(K236="Vacation",IF(C236="Eve",Settings!$B$9*Settings!$B$11,W236),IF(K236="Partial Vacation",IF(AND(ISNUMBER(H236),ISNUMBER(I236)),MAX(0,(I236-H236)*24),0),0)))</f>
        <v>0</v>
      </c>
      <c r="P236" s="14" t="n">
        <f aca="false">IF(NOT(U236),0,IF(K236="Sick Leave",W236,IF(K236="Partial Sick Leave",IF(AND(ISNUMBER(H236),ISNUMBER(I236)),MAX(0,(I236-H236)*24),0),0)))</f>
        <v>0</v>
      </c>
      <c r="Q236" s="14" t="n">
        <f aca="false">IF(NOT(U236),0,IF(K236="Vacation",IF(C236="Eve",Settings!$B$11,1),IF(K236="Partial Vacation",O236/Settings!$B$9,0)))</f>
        <v>0</v>
      </c>
      <c r="R236" s="14" t="n">
        <f aca="false">IF(NOT(U236),0,IF(K236="Sick Leave",1,IF(K236="Partial Sick Leave",P236/Settings!$B$9,0)))</f>
        <v>0</v>
      </c>
      <c r="S236" s="35" t="str">
        <f aca="false">IF(AND(OR(E236="Vacation",E236="Sick Leave",E236="Partial Vacation",E236="Partial Sick Leave"),NOT(U236)),"Leave not allowed on this day",IF(AND(E236="Manual Work",OR(NOT(ISNUMBER(F236)),NOT(ISNUMBER(G236)))),"Enter start and end",IF(AND(OR(E236="Partial Vacation",E236="Partial Sick Leave"),OR(NOT(ISNUMBER(H236)),NOT(ISNUMBER(I236)))),"Enter leave from and to",IF(AND(ISNUMBER(F236),ISNUMBER(G236),G236&lt;=F236),"End is before start",IF(AND(ISNUMBER(H236),ISNUMBER(I236),I236&lt;=H236),"Leave end is before start",IF(AND(ISNUMBER(F236),ISNUMBER(G236),ISNUMBER(H236),ISNUMBER(I236),F236&lt;I236,H236&lt;G236),"Work and leave hours overlap",IF(AND(E236&lt;&gt;"",WEEKDAY(A236)=7),"Saturday - administrator only","")))))))</f>
        <v/>
      </c>
      <c r="T236" s="36" t="n">
        <f aca="false">MONTH(A236)</f>
        <v>8</v>
      </c>
      <c r="U236" s="37" t="b">
        <f aca="false">OR(C236="Workday",C236="Eve")</f>
        <v>1</v>
      </c>
      <c r="V236" s="34" t="n">
        <f aca="false">IF(C236="Eve",Settings!$B$8,Settings!$B$7)</f>
        <v>0.6875</v>
      </c>
      <c r="W236" s="14" t="n">
        <f aca="false">IF(U236,(V236-Settings!$B$6)*24,0)</f>
        <v>8.5</v>
      </c>
    </row>
    <row r="237" customFormat="false" ht="15" hidden="false" customHeight="false" outlineLevel="0" collapsed="false">
      <c r="A237" s="29" t="n">
        <v>46253</v>
      </c>
      <c r="B237" s="30" t="str">
        <f aca="false">CHOOSE(WEEKDAY(A237),"Sun","Mon","Tue","Wed","Thu","Fri","Sat")</f>
        <v>Wed</v>
      </c>
      <c r="C237" s="30" t="str">
        <f aca="false">IF(IFERROR(INDEX(Holidays!$D$5:$D$60,MATCH(A237,Holidays!$A$5:$A$60,0)),"")="Holiday","Holiday",IF(WEEKDAY(A237)&gt;=6,"Weekend",IF(IFERROR(INDEX(Holidays!$D$5:$D$60,MATCH(A237,Holidays!$A$5:$A$60,0)),"")="Eve","Eve","Workday")))</f>
        <v>Workday</v>
      </c>
      <c r="D237" s="18" t="str">
        <f aca="false">IFERROR(INDEX(Holidays!$C$5:$C$60,MATCH(A237,Holidays!$A$5:$A$60,0)),"")</f>
        <v/>
      </c>
      <c r="E237" s="31"/>
      <c r="F237" s="32"/>
      <c r="G237" s="32"/>
      <c r="H237" s="32"/>
      <c r="I237" s="32"/>
      <c r="J237" s="31"/>
      <c r="K237" s="33" t="str">
        <f aca="false">IF(E237&lt;&gt;"",E237,IF(U237,"Present",IF(C237="Holiday","Holiday","Weekend")))</f>
        <v>Present</v>
      </c>
      <c r="L237" s="34" t="n">
        <f aca="false">IF(OR(K237="Present",K237="Manual Work",K237="Partial Vacation",K237="Partial Sick Leave"),IF(ISNUMBER(F237),F237,IF(AND(K237="Present",U237),Settings!$B$6,"")),"")</f>
        <v>0.333333333333333</v>
      </c>
      <c r="M237" s="34" t="n">
        <f aca="false">IF(OR(K237="Present",K237="Manual Work",K237="Partial Vacation",K237="Partial Sick Leave"),IF(ISNUMBER(G237),G237,IF(AND(K237="Present",U237),V237,"")),"")</f>
        <v>0.6875</v>
      </c>
      <c r="N237" s="14" t="n">
        <f aca="false">IF(AND(ISNUMBER(L237),ISNUMBER(M237)),MAX(0,(M237-L237)*24),0)</f>
        <v>8.5</v>
      </c>
      <c r="O237" s="14" t="n">
        <f aca="false">IF(NOT(U237),0,IF(K237="Vacation",IF(C237="Eve",Settings!$B$9*Settings!$B$11,W237),IF(K237="Partial Vacation",IF(AND(ISNUMBER(H237),ISNUMBER(I237)),MAX(0,(I237-H237)*24),0),0)))</f>
        <v>0</v>
      </c>
      <c r="P237" s="14" t="n">
        <f aca="false">IF(NOT(U237),0,IF(K237="Sick Leave",W237,IF(K237="Partial Sick Leave",IF(AND(ISNUMBER(H237),ISNUMBER(I237)),MAX(0,(I237-H237)*24),0),0)))</f>
        <v>0</v>
      </c>
      <c r="Q237" s="14" t="n">
        <f aca="false">IF(NOT(U237),0,IF(K237="Vacation",IF(C237="Eve",Settings!$B$11,1),IF(K237="Partial Vacation",O237/Settings!$B$9,0)))</f>
        <v>0</v>
      </c>
      <c r="R237" s="14" t="n">
        <f aca="false">IF(NOT(U237),0,IF(K237="Sick Leave",1,IF(K237="Partial Sick Leave",P237/Settings!$B$9,0)))</f>
        <v>0</v>
      </c>
      <c r="S237" s="35" t="str">
        <f aca="false">IF(AND(OR(E237="Vacation",E237="Sick Leave",E237="Partial Vacation",E237="Partial Sick Leave"),NOT(U237)),"Leave not allowed on this day",IF(AND(E237="Manual Work",OR(NOT(ISNUMBER(F237)),NOT(ISNUMBER(G237)))),"Enter start and end",IF(AND(OR(E237="Partial Vacation",E237="Partial Sick Leave"),OR(NOT(ISNUMBER(H237)),NOT(ISNUMBER(I237)))),"Enter leave from and to",IF(AND(ISNUMBER(F237),ISNUMBER(G237),G237&lt;=F237),"End is before start",IF(AND(ISNUMBER(H237),ISNUMBER(I237),I237&lt;=H237),"Leave end is before start",IF(AND(ISNUMBER(F237),ISNUMBER(G237),ISNUMBER(H237),ISNUMBER(I237),F237&lt;I237,H237&lt;G237),"Work and leave hours overlap",IF(AND(E237&lt;&gt;"",WEEKDAY(A237)=7),"Saturday - administrator only","")))))))</f>
        <v/>
      </c>
      <c r="T237" s="36" t="n">
        <f aca="false">MONTH(A237)</f>
        <v>8</v>
      </c>
      <c r="U237" s="37" t="b">
        <f aca="false">OR(C237="Workday",C237="Eve")</f>
        <v>1</v>
      </c>
      <c r="V237" s="34" t="n">
        <f aca="false">IF(C237="Eve",Settings!$B$8,Settings!$B$7)</f>
        <v>0.6875</v>
      </c>
      <c r="W237" s="14" t="n">
        <f aca="false">IF(U237,(V237-Settings!$B$6)*24,0)</f>
        <v>8.5</v>
      </c>
    </row>
    <row r="238" customFormat="false" ht="15" hidden="false" customHeight="false" outlineLevel="0" collapsed="false">
      <c r="A238" s="29" t="n">
        <v>46254</v>
      </c>
      <c r="B238" s="30" t="str">
        <f aca="false">CHOOSE(WEEKDAY(A238),"Sun","Mon","Tue","Wed","Thu","Fri","Sat")</f>
        <v>Thu</v>
      </c>
      <c r="C238" s="30" t="str">
        <f aca="false">IF(IFERROR(INDEX(Holidays!$D$5:$D$60,MATCH(A238,Holidays!$A$5:$A$60,0)),"")="Holiday","Holiday",IF(WEEKDAY(A238)&gt;=6,"Weekend",IF(IFERROR(INDEX(Holidays!$D$5:$D$60,MATCH(A238,Holidays!$A$5:$A$60,0)),"")="Eve","Eve","Workday")))</f>
        <v>Workday</v>
      </c>
      <c r="D238" s="18" t="str">
        <f aca="false">IFERROR(INDEX(Holidays!$C$5:$C$60,MATCH(A238,Holidays!$A$5:$A$60,0)),"")</f>
        <v/>
      </c>
      <c r="E238" s="31"/>
      <c r="F238" s="32"/>
      <c r="G238" s="32"/>
      <c r="H238" s="32"/>
      <c r="I238" s="32"/>
      <c r="J238" s="31"/>
      <c r="K238" s="33" t="str">
        <f aca="false">IF(E238&lt;&gt;"",E238,IF(U238,"Present",IF(C238="Holiday","Holiday","Weekend")))</f>
        <v>Present</v>
      </c>
      <c r="L238" s="34" t="n">
        <f aca="false">IF(OR(K238="Present",K238="Manual Work",K238="Partial Vacation",K238="Partial Sick Leave"),IF(ISNUMBER(F238),F238,IF(AND(K238="Present",U238),Settings!$B$6,"")),"")</f>
        <v>0.333333333333333</v>
      </c>
      <c r="M238" s="34" t="n">
        <f aca="false">IF(OR(K238="Present",K238="Manual Work",K238="Partial Vacation",K238="Partial Sick Leave"),IF(ISNUMBER(G238),G238,IF(AND(K238="Present",U238),V238,"")),"")</f>
        <v>0.6875</v>
      </c>
      <c r="N238" s="14" t="n">
        <f aca="false">IF(AND(ISNUMBER(L238),ISNUMBER(M238)),MAX(0,(M238-L238)*24),0)</f>
        <v>8.5</v>
      </c>
      <c r="O238" s="14" t="n">
        <f aca="false">IF(NOT(U238),0,IF(K238="Vacation",IF(C238="Eve",Settings!$B$9*Settings!$B$11,W238),IF(K238="Partial Vacation",IF(AND(ISNUMBER(H238),ISNUMBER(I238)),MAX(0,(I238-H238)*24),0),0)))</f>
        <v>0</v>
      </c>
      <c r="P238" s="14" t="n">
        <f aca="false">IF(NOT(U238),0,IF(K238="Sick Leave",W238,IF(K238="Partial Sick Leave",IF(AND(ISNUMBER(H238),ISNUMBER(I238)),MAX(0,(I238-H238)*24),0),0)))</f>
        <v>0</v>
      </c>
      <c r="Q238" s="14" t="n">
        <f aca="false">IF(NOT(U238),0,IF(K238="Vacation",IF(C238="Eve",Settings!$B$11,1),IF(K238="Partial Vacation",O238/Settings!$B$9,0)))</f>
        <v>0</v>
      </c>
      <c r="R238" s="14" t="n">
        <f aca="false">IF(NOT(U238),0,IF(K238="Sick Leave",1,IF(K238="Partial Sick Leave",P238/Settings!$B$9,0)))</f>
        <v>0</v>
      </c>
      <c r="S238" s="35" t="str">
        <f aca="false">IF(AND(OR(E238="Vacation",E238="Sick Leave",E238="Partial Vacation",E238="Partial Sick Leave"),NOT(U238)),"Leave not allowed on this day",IF(AND(E238="Manual Work",OR(NOT(ISNUMBER(F238)),NOT(ISNUMBER(G238)))),"Enter start and end",IF(AND(OR(E238="Partial Vacation",E238="Partial Sick Leave"),OR(NOT(ISNUMBER(H238)),NOT(ISNUMBER(I238)))),"Enter leave from and to",IF(AND(ISNUMBER(F238),ISNUMBER(G238),G238&lt;=F238),"End is before start",IF(AND(ISNUMBER(H238),ISNUMBER(I238),I238&lt;=H238),"Leave end is before start",IF(AND(ISNUMBER(F238),ISNUMBER(G238),ISNUMBER(H238),ISNUMBER(I238),F238&lt;I238,H238&lt;G238),"Work and leave hours overlap",IF(AND(E238&lt;&gt;"",WEEKDAY(A238)=7),"Saturday - administrator only","")))))))</f>
        <v/>
      </c>
      <c r="T238" s="36" t="n">
        <f aca="false">MONTH(A238)</f>
        <v>8</v>
      </c>
      <c r="U238" s="37" t="b">
        <f aca="false">OR(C238="Workday",C238="Eve")</f>
        <v>1</v>
      </c>
      <c r="V238" s="34" t="n">
        <f aca="false">IF(C238="Eve",Settings!$B$8,Settings!$B$7)</f>
        <v>0.6875</v>
      </c>
      <c r="W238" s="14" t="n">
        <f aca="false">IF(U238,(V238-Settings!$B$6)*24,0)</f>
        <v>8.5</v>
      </c>
    </row>
    <row r="239" customFormat="false" ht="15" hidden="false" customHeight="false" outlineLevel="0" collapsed="false">
      <c r="A239" s="29" t="n">
        <v>46255</v>
      </c>
      <c r="B239" s="30" t="str">
        <f aca="false">CHOOSE(WEEKDAY(A239),"Sun","Mon","Tue","Wed","Thu","Fri","Sat")</f>
        <v>Fri</v>
      </c>
      <c r="C239" s="30" t="str">
        <f aca="false">IF(IFERROR(INDEX(Holidays!$D$5:$D$60,MATCH(A239,Holidays!$A$5:$A$60,0)),"")="Holiday","Holiday",IF(WEEKDAY(A239)&gt;=6,"Weekend",IF(IFERROR(INDEX(Holidays!$D$5:$D$60,MATCH(A239,Holidays!$A$5:$A$60,0)),"")="Eve","Eve","Workday")))</f>
        <v>Weekend</v>
      </c>
      <c r="D239" s="18" t="str">
        <f aca="false">IFERROR(INDEX(Holidays!$C$5:$C$60,MATCH(A239,Holidays!$A$5:$A$60,0)),"")</f>
        <v/>
      </c>
      <c r="E239" s="31"/>
      <c r="F239" s="32"/>
      <c r="G239" s="32"/>
      <c r="H239" s="32"/>
      <c r="I239" s="32"/>
      <c r="J239" s="31"/>
      <c r="K239" s="33" t="str">
        <f aca="false">IF(E239&lt;&gt;"",E239,IF(U239,"Present",IF(C239="Holiday","Holiday","Weekend")))</f>
        <v>Weekend</v>
      </c>
      <c r="L239" s="34" t="str">
        <f aca="false">IF(OR(K239="Present",K239="Manual Work",K239="Partial Vacation",K239="Partial Sick Leave"),IF(ISNUMBER(F239),F239,IF(AND(K239="Present",U239),Settings!$B$6,"")),"")</f>
        <v/>
      </c>
      <c r="M239" s="34" t="str">
        <f aca="false">IF(OR(K239="Present",K239="Manual Work",K239="Partial Vacation",K239="Partial Sick Leave"),IF(ISNUMBER(G239),G239,IF(AND(K239="Present",U239),V239,"")),"")</f>
        <v/>
      </c>
      <c r="N239" s="14" t="n">
        <f aca="false">IF(AND(ISNUMBER(L239),ISNUMBER(M239)),MAX(0,(M239-L239)*24),0)</f>
        <v>0</v>
      </c>
      <c r="O239" s="14" t="n">
        <f aca="false">IF(NOT(U239),0,IF(K239="Vacation",IF(C239="Eve",Settings!$B$9*Settings!$B$11,W239),IF(K239="Partial Vacation",IF(AND(ISNUMBER(H239),ISNUMBER(I239)),MAX(0,(I239-H239)*24),0),0)))</f>
        <v>0</v>
      </c>
      <c r="P239" s="14" t="n">
        <f aca="false">IF(NOT(U239),0,IF(K239="Sick Leave",W239,IF(K239="Partial Sick Leave",IF(AND(ISNUMBER(H239),ISNUMBER(I239)),MAX(0,(I239-H239)*24),0),0)))</f>
        <v>0</v>
      </c>
      <c r="Q239" s="14" t="n">
        <f aca="false">IF(NOT(U239),0,IF(K239="Vacation",IF(C239="Eve",Settings!$B$11,1),IF(K239="Partial Vacation",O239/Settings!$B$9,0)))</f>
        <v>0</v>
      </c>
      <c r="R239" s="14" t="n">
        <f aca="false">IF(NOT(U239),0,IF(K239="Sick Leave",1,IF(K239="Partial Sick Leave",P239/Settings!$B$9,0)))</f>
        <v>0</v>
      </c>
      <c r="S239" s="35" t="str">
        <f aca="false">IF(AND(OR(E239="Vacation",E239="Sick Leave",E239="Partial Vacation",E239="Partial Sick Leave"),NOT(U239)),"Leave not allowed on this day",IF(AND(E239="Manual Work",OR(NOT(ISNUMBER(F239)),NOT(ISNUMBER(G239)))),"Enter start and end",IF(AND(OR(E239="Partial Vacation",E239="Partial Sick Leave"),OR(NOT(ISNUMBER(H239)),NOT(ISNUMBER(I239)))),"Enter leave from and to",IF(AND(ISNUMBER(F239),ISNUMBER(G239),G239&lt;=F239),"End is before start",IF(AND(ISNUMBER(H239),ISNUMBER(I239),I239&lt;=H239),"Leave end is before start",IF(AND(ISNUMBER(F239),ISNUMBER(G239),ISNUMBER(H239),ISNUMBER(I239),F239&lt;I239,H239&lt;G239),"Work and leave hours overlap",IF(AND(E239&lt;&gt;"",WEEKDAY(A239)=7),"Saturday - administrator only","")))))))</f>
        <v/>
      </c>
      <c r="T239" s="36" t="n">
        <f aca="false">MONTH(A239)</f>
        <v>8</v>
      </c>
      <c r="U239" s="37" t="b">
        <f aca="false">OR(C239="Workday",C239="Eve")</f>
        <v>0</v>
      </c>
      <c r="V239" s="34" t="n">
        <f aca="false">IF(C239="Eve",Settings!$B$8,Settings!$B$7)</f>
        <v>0.6875</v>
      </c>
      <c r="W239" s="14" t="n">
        <f aca="false">IF(U239,(V239-Settings!$B$6)*24,0)</f>
        <v>0</v>
      </c>
    </row>
    <row r="240" customFormat="false" ht="15" hidden="false" customHeight="false" outlineLevel="0" collapsed="false">
      <c r="A240" s="29" t="n">
        <v>46256</v>
      </c>
      <c r="B240" s="30" t="str">
        <f aca="false">CHOOSE(WEEKDAY(A240),"Sun","Mon","Tue","Wed","Thu","Fri","Sat")</f>
        <v>Sat</v>
      </c>
      <c r="C240" s="30" t="str">
        <f aca="false">IF(IFERROR(INDEX(Holidays!$D$5:$D$60,MATCH(A240,Holidays!$A$5:$A$60,0)),"")="Holiday","Holiday",IF(WEEKDAY(A240)&gt;=6,"Weekend",IF(IFERROR(INDEX(Holidays!$D$5:$D$60,MATCH(A240,Holidays!$A$5:$A$60,0)),"")="Eve","Eve","Workday")))</f>
        <v>Weekend</v>
      </c>
      <c r="D240" s="18" t="str">
        <f aca="false">IFERROR(INDEX(Holidays!$C$5:$C$60,MATCH(A240,Holidays!$A$5:$A$60,0)),"")</f>
        <v/>
      </c>
      <c r="E240" s="31"/>
      <c r="F240" s="32"/>
      <c r="G240" s="32"/>
      <c r="H240" s="32"/>
      <c r="I240" s="32"/>
      <c r="J240" s="31"/>
      <c r="K240" s="33" t="str">
        <f aca="false">IF(E240&lt;&gt;"",E240,IF(U240,"Present",IF(C240="Holiday","Holiday","Weekend")))</f>
        <v>Weekend</v>
      </c>
      <c r="L240" s="34" t="str">
        <f aca="false">IF(OR(K240="Present",K240="Manual Work",K240="Partial Vacation",K240="Partial Sick Leave"),IF(ISNUMBER(F240),F240,IF(AND(K240="Present",U240),Settings!$B$6,"")),"")</f>
        <v/>
      </c>
      <c r="M240" s="34" t="str">
        <f aca="false">IF(OR(K240="Present",K240="Manual Work",K240="Partial Vacation",K240="Partial Sick Leave"),IF(ISNUMBER(G240),G240,IF(AND(K240="Present",U240),V240,"")),"")</f>
        <v/>
      </c>
      <c r="N240" s="14" t="n">
        <f aca="false">IF(AND(ISNUMBER(L240),ISNUMBER(M240)),MAX(0,(M240-L240)*24),0)</f>
        <v>0</v>
      </c>
      <c r="O240" s="14" t="n">
        <f aca="false">IF(NOT(U240),0,IF(K240="Vacation",IF(C240="Eve",Settings!$B$9*Settings!$B$11,W240),IF(K240="Partial Vacation",IF(AND(ISNUMBER(H240),ISNUMBER(I240)),MAX(0,(I240-H240)*24),0),0)))</f>
        <v>0</v>
      </c>
      <c r="P240" s="14" t="n">
        <f aca="false">IF(NOT(U240),0,IF(K240="Sick Leave",W240,IF(K240="Partial Sick Leave",IF(AND(ISNUMBER(H240),ISNUMBER(I240)),MAX(0,(I240-H240)*24),0),0)))</f>
        <v>0</v>
      </c>
      <c r="Q240" s="14" t="n">
        <f aca="false">IF(NOT(U240),0,IF(K240="Vacation",IF(C240="Eve",Settings!$B$11,1),IF(K240="Partial Vacation",O240/Settings!$B$9,0)))</f>
        <v>0</v>
      </c>
      <c r="R240" s="14" t="n">
        <f aca="false">IF(NOT(U240),0,IF(K240="Sick Leave",1,IF(K240="Partial Sick Leave",P240/Settings!$B$9,0)))</f>
        <v>0</v>
      </c>
      <c r="S240" s="35" t="str">
        <f aca="false">IF(AND(OR(E240="Vacation",E240="Sick Leave",E240="Partial Vacation",E240="Partial Sick Leave"),NOT(U240)),"Leave not allowed on this day",IF(AND(E240="Manual Work",OR(NOT(ISNUMBER(F240)),NOT(ISNUMBER(G240)))),"Enter start and end",IF(AND(OR(E240="Partial Vacation",E240="Partial Sick Leave"),OR(NOT(ISNUMBER(H240)),NOT(ISNUMBER(I240)))),"Enter leave from and to",IF(AND(ISNUMBER(F240),ISNUMBER(G240),G240&lt;=F240),"End is before start",IF(AND(ISNUMBER(H240),ISNUMBER(I240),I240&lt;=H240),"Leave end is before start",IF(AND(ISNUMBER(F240),ISNUMBER(G240),ISNUMBER(H240),ISNUMBER(I240),F240&lt;I240,H240&lt;G240),"Work and leave hours overlap",IF(AND(E240&lt;&gt;"",WEEKDAY(A240)=7),"Saturday - administrator only","")))))))</f>
        <v/>
      </c>
      <c r="T240" s="36" t="n">
        <f aca="false">MONTH(A240)</f>
        <v>8</v>
      </c>
      <c r="U240" s="37" t="b">
        <f aca="false">OR(C240="Workday",C240="Eve")</f>
        <v>0</v>
      </c>
      <c r="V240" s="34" t="n">
        <f aca="false">IF(C240="Eve",Settings!$B$8,Settings!$B$7)</f>
        <v>0.6875</v>
      </c>
      <c r="W240" s="14" t="n">
        <f aca="false">IF(U240,(V240-Settings!$B$6)*24,0)</f>
        <v>0</v>
      </c>
    </row>
    <row r="241" customFormat="false" ht="15" hidden="false" customHeight="false" outlineLevel="0" collapsed="false">
      <c r="A241" s="29" t="n">
        <v>46257</v>
      </c>
      <c r="B241" s="30" t="str">
        <f aca="false">CHOOSE(WEEKDAY(A241),"Sun","Mon","Tue","Wed","Thu","Fri","Sat")</f>
        <v>Sun</v>
      </c>
      <c r="C241" s="30" t="str">
        <f aca="false">IF(IFERROR(INDEX(Holidays!$D$5:$D$60,MATCH(A241,Holidays!$A$5:$A$60,0)),"")="Holiday","Holiday",IF(WEEKDAY(A241)&gt;=6,"Weekend",IF(IFERROR(INDEX(Holidays!$D$5:$D$60,MATCH(A241,Holidays!$A$5:$A$60,0)),"")="Eve","Eve","Workday")))</f>
        <v>Workday</v>
      </c>
      <c r="D241" s="18" t="str">
        <f aca="false">IFERROR(INDEX(Holidays!$C$5:$C$60,MATCH(A241,Holidays!$A$5:$A$60,0)),"")</f>
        <v/>
      </c>
      <c r="E241" s="31"/>
      <c r="F241" s="32"/>
      <c r="G241" s="32"/>
      <c r="H241" s="32"/>
      <c r="I241" s="32"/>
      <c r="J241" s="31"/>
      <c r="K241" s="33" t="str">
        <f aca="false">IF(E241&lt;&gt;"",E241,IF(U241,"Present",IF(C241="Holiday","Holiday","Weekend")))</f>
        <v>Present</v>
      </c>
      <c r="L241" s="34" t="n">
        <f aca="false">IF(OR(K241="Present",K241="Manual Work",K241="Partial Vacation",K241="Partial Sick Leave"),IF(ISNUMBER(F241),F241,IF(AND(K241="Present",U241),Settings!$B$6,"")),"")</f>
        <v>0.333333333333333</v>
      </c>
      <c r="M241" s="34" t="n">
        <f aca="false">IF(OR(K241="Present",K241="Manual Work",K241="Partial Vacation",K241="Partial Sick Leave"),IF(ISNUMBER(G241),G241,IF(AND(K241="Present",U241),V241,"")),"")</f>
        <v>0.6875</v>
      </c>
      <c r="N241" s="14" t="n">
        <f aca="false">IF(AND(ISNUMBER(L241),ISNUMBER(M241)),MAX(0,(M241-L241)*24),0)</f>
        <v>8.5</v>
      </c>
      <c r="O241" s="14" t="n">
        <f aca="false">IF(NOT(U241),0,IF(K241="Vacation",IF(C241="Eve",Settings!$B$9*Settings!$B$11,W241),IF(K241="Partial Vacation",IF(AND(ISNUMBER(H241),ISNUMBER(I241)),MAX(0,(I241-H241)*24),0),0)))</f>
        <v>0</v>
      </c>
      <c r="P241" s="14" t="n">
        <f aca="false">IF(NOT(U241),0,IF(K241="Sick Leave",W241,IF(K241="Partial Sick Leave",IF(AND(ISNUMBER(H241),ISNUMBER(I241)),MAX(0,(I241-H241)*24),0),0)))</f>
        <v>0</v>
      </c>
      <c r="Q241" s="14" t="n">
        <f aca="false">IF(NOT(U241),0,IF(K241="Vacation",IF(C241="Eve",Settings!$B$11,1),IF(K241="Partial Vacation",O241/Settings!$B$9,0)))</f>
        <v>0</v>
      </c>
      <c r="R241" s="14" t="n">
        <f aca="false">IF(NOT(U241),0,IF(K241="Sick Leave",1,IF(K241="Partial Sick Leave",P241/Settings!$B$9,0)))</f>
        <v>0</v>
      </c>
      <c r="S241" s="35" t="str">
        <f aca="false">IF(AND(OR(E241="Vacation",E241="Sick Leave",E241="Partial Vacation",E241="Partial Sick Leave"),NOT(U241)),"Leave not allowed on this day",IF(AND(E241="Manual Work",OR(NOT(ISNUMBER(F241)),NOT(ISNUMBER(G241)))),"Enter start and end",IF(AND(OR(E241="Partial Vacation",E241="Partial Sick Leave"),OR(NOT(ISNUMBER(H241)),NOT(ISNUMBER(I241)))),"Enter leave from and to",IF(AND(ISNUMBER(F241),ISNUMBER(G241),G241&lt;=F241),"End is before start",IF(AND(ISNUMBER(H241),ISNUMBER(I241),I241&lt;=H241),"Leave end is before start",IF(AND(ISNUMBER(F241),ISNUMBER(G241),ISNUMBER(H241),ISNUMBER(I241),F241&lt;I241,H241&lt;G241),"Work and leave hours overlap",IF(AND(E241&lt;&gt;"",WEEKDAY(A241)=7),"Saturday - administrator only","")))))))</f>
        <v/>
      </c>
      <c r="T241" s="36" t="n">
        <f aca="false">MONTH(A241)</f>
        <v>8</v>
      </c>
      <c r="U241" s="37" t="b">
        <f aca="false">OR(C241="Workday",C241="Eve")</f>
        <v>1</v>
      </c>
      <c r="V241" s="34" t="n">
        <f aca="false">IF(C241="Eve",Settings!$B$8,Settings!$B$7)</f>
        <v>0.6875</v>
      </c>
      <c r="W241" s="14" t="n">
        <f aca="false">IF(U241,(V241-Settings!$B$6)*24,0)</f>
        <v>8.5</v>
      </c>
    </row>
    <row r="242" customFormat="false" ht="15" hidden="false" customHeight="false" outlineLevel="0" collapsed="false">
      <c r="A242" s="29" t="n">
        <v>46258</v>
      </c>
      <c r="B242" s="30" t="str">
        <f aca="false">CHOOSE(WEEKDAY(A242),"Sun","Mon","Tue","Wed","Thu","Fri","Sat")</f>
        <v>Mon</v>
      </c>
      <c r="C242" s="30" t="str">
        <f aca="false">IF(IFERROR(INDEX(Holidays!$D$5:$D$60,MATCH(A242,Holidays!$A$5:$A$60,0)),"")="Holiday","Holiday",IF(WEEKDAY(A242)&gt;=6,"Weekend",IF(IFERROR(INDEX(Holidays!$D$5:$D$60,MATCH(A242,Holidays!$A$5:$A$60,0)),"")="Eve","Eve","Workday")))</f>
        <v>Workday</v>
      </c>
      <c r="D242" s="18" t="str">
        <f aca="false">IFERROR(INDEX(Holidays!$C$5:$C$60,MATCH(A242,Holidays!$A$5:$A$60,0)),"")</f>
        <v/>
      </c>
      <c r="E242" s="31"/>
      <c r="F242" s="32"/>
      <c r="G242" s="32"/>
      <c r="H242" s="32"/>
      <c r="I242" s="32"/>
      <c r="J242" s="31"/>
      <c r="K242" s="33" t="str">
        <f aca="false">IF(E242&lt;&gt;"",E242,IF(U242,"Present",IF(C242="Holiday","Holiday","Weekend")))</f>
        <v>Present</v>
      </c>
      <c r="L242" s="34" t="n">
        <f aca="false">IF(OR(K242="Present",K242="Manual Work",K242="Partial Vacation",K242="Partial Sick Leave"),IF(ISNUMBER(F242),F242,IF(AND(K242="Present",U242),Settings!$B$6,"")),"")</f>
        <v>0.333333333333333</v>
      </c>
      <c r="M242" s="34" t="n">
        <f aca="false">IF(OR(K242="Present",K242="Manual Work",K242="Partial Vacation",K242="Partial Sick Leave"),IF(ISNUMBER(G242),G242,IF(AND(K242="Present",U242),V242,"")),"")</f>
        <v>0.6875</v>
      </c>
      <c r="N242" s="14" t="n">
        <f aca="false">IF(AND(ISNUMBER(L242),ISNUMBER(M242)),MAX(0,(M242-L242)*24),0)</f>
        <v>8.5</v>
      </c>
      <c r="O242" s="14" t="n">
        <f aca="false">IF(NOT(U242),0,IF(K242="Vacation",IF(C242="Eve",Settings!$B$9*Settings!$B$11,W242),IF(K242="Partial Vacation",IF(AND(ISNUMBER(H242),ISNUMBER(I242)),MAX(0,(I242-H242)*24),0),0)))</f>
        <v>0</v>
      </c>
      <c r="P242" s="14" t="n">
        <f aca="false">IF(NOT(U242),0,IF(K242="Sick Leave",W242,IF(K242="Partial Sick Leave",IF(AND(ISNUMBER(H242),ISNUMBER(I242)),MAX(0,(I242-H242)*24),0),0)))</f>
        <v>0</v>
      </c>
      <c r="Q242" s="14" t="n">
        <f aca="false">IF(NOT(U242),0,IF(K242="Vacation",IF(C242="Eve",Settings!$B$11,1),IF(K242="Partial Vacation",O242/Settings!$B$9,0)))</f>
        <v>0</v>
      </c>
      <c r="R242" s="14" t="n">
        <f aca="false">IF(NOT(U242),0,IF(K242="Sick Leave",1,IF(K242="Partial Sick Leave",P242/Settings!$B$9,0)))</f>
        <v>0</v>
      </c>
      <c r="S242" s="35" t="str">
        <f aca="false">IF(AND(OR(E242="Vacation",E242="Sick Leave",E242="Partial Vacation",E242="Partial Sick Leave"),NOT(U242)),"Leave not allowed on this day",IF(AND(E242="Manual Work",OR(NOT(ISNUMBER(F242)),NOT(ISNUMBER(G242)))),"Enter start and end",IF(AND(OR(E242="Partial Vacation",E242="Partial Sick Leave"),OR(NOT(ISNUMBER(H242)),NOT(ISNUMBER(I242)))),"Enter leave from and to",IF(AND(ISNUMBER(F242),ISNUMBER(G242),G242&lt;=F242),"End is before start",IF(AND(ISNUMBER(H242),ISNUMBER(I242),I242&lt;=H242),"Leave end is before start",IF(AND(ISNUMBER(F242),ISNUMBER(G242),ISNUMBER(H242),ISNUMBER(I242),F242&lt;I242,H242&lt;G242),"Work and leave hours overlap",IF(AND(E242&lt;&gt;"",WEEKDAY(A242)=7),"Saturday - administrator only","")))))))</f>
        <v/>
      </c>
      <c r="T242" s="36" t="n">
        <f aca="false">MONTH(A242)</f>
        <v>8</v>
      </c>
      <c r="U242" s="37" t="b">
        <f aca="false">OR(C242="Workday",C242="Eve")</f>
        <v>1</v>
      </c>
      <c r="V242" s="34" t="n">
        <f aca="false">IF(C242="Eve",Settings!$B$8,Settings!$B$7)</f>
        <v>0.6875</v>
      </c>
      <c r="W242" s="14" t="n">
        <f aca="false">IF(U242,(V242-Settings!$B$6)*24,0)</f>
        <v>8.5</v>
      </c>
    </row>
    <row r="243" customFormat="false" ht="15" hidden="false" customHeight="false" outlineLevel="0" collapsed="false">
      <c r="A243" s="29" t="n">
        <v>46259</v>
      </c>
      <c r="B243" s="30" t="str">
        <f aca="false">CHOOSE(WEEKDAY(A243),"Sun","Mon","Tue","Wed","Thu","Fri","Sat")</f>
        <v>Tue</v>
      </c>
      <c r="C243" s="30" t="str">
        <f aca="false">IF(IFERROR(INDEX(Holidays!$D$5:$D$60,MATCH(A243,Holidays!$A$5:$A$60,0)),"")="Holiday","Holiday",IF(WEEKDAY(A243)&gt;=6,"Weekend",IF(IFERROR(INDEX(Holidays!$D$5:$D$60,MATCH(A243,Holidays!$A$5:$A$60,0)),"")="Eve","Eve","Workday")))</f>
        <v>Workday</v>
      </c>
      <c r="D243" s="18" t="str">
        <f aca="false">IFERROR(INDEX(Holidays!$C$5:$C$60,MATCH(A243,Holidays!$A$5:$A$60,0)),"")</f>
        <v/>
      </c>
      <c r="E243" s="31"/>
      <c r="F243" s="32"/>
      <c r="G243" s="32"/>
      <c r="H243" s="32"/>
      <c r="I243" s="32"/>
      <c r="J243" s="31"/>
      <c r="K243" s="33" t="str">
        <f aca="false">IF(E243&lt;&gt;"",E243,IF(U243,"Present",IF(C243="Holiday","Holiday","Weekend")))</f>
        <v>Present</v>
      </c>
      <c r="L243" s="34" t="n">
        <f aca="false">IF(OR(K243="Present",K243="Manual Work",K243="Partial Vacation",K243="Partial Sick Leave"),IF(ISNUMBER(F243),F243,IF(AND(K243="Present",U243),Settings!$B$6,"")),"")</f>
        <v>0.333333333333333</v>
      </c>
      <c r="M243" s="34" t="n">
        <f aca="false">IF(OR(K243="Present",K243="Manual Work",K243="Partial Vacation",K243="Partial Sick Leave"),IF(ISNUMBER(G243),G243,IF(AND(K243="Present",U243),V243,"")),"")</f>
        <v>0.6875</v>
      </c>
      <c r="N243" s="14" t="n">
        <f aca="false">IF(AND(ISNUMBER(L243),ISNUMBER(M243)),MAX(0,(M243-L243)*24),0)</f>
        <v>8.5</v>
      </c>
      <c r="O243" s="14" t="n">
        <f aca="false">IF(NOT(U243),0,IF(K243="Vacation",IF(C243="Eve",Settings!$B$9*Settings!$B$11,W243),IF(K243="Partial Vacation",IF(AND(ISNUMBER(H243),ISNUMBER(I243)),MAX(0,(I243-H243)*24),0),0)))</f>
        <v>0</v>
      </c>
      <c r="P243" s="14" t="n">
        <f aca="false">IF(NOT(U243),0,IF(K243="Sick Leave",W243,IF(K243="Partial Sick Leave",IF(AND(ISNUMBER(H243),ISNUMBER(I243)),MAX(0,(I243-H243)*24),0),0)))</f>
        <v>0</v>
      </c>
      <c r="Q243" s="14" t="n">
        <f aca="false">IF(NOT(U243),0,IF(K243="Vacation",IF(C243="Eve",Settings!$B$11,1),IF(K243="Partial Vacation",O243/Settings!$B$9,0)))</f>
        <v>0</v>
      </c>
      <c r="R243" s="14" t="n">
        <f aca="false">IF(NOT(U243),0,IF(K243="Sick Leave",1,IF(K243="Partial Sick Leave",P243/Settings!$B$9,0)))</f>
        <v>0</v>
      </c>
      <c r="S243" s="35" t="str">
        <f aca="false">IF(AND(OR(E243="Vacation",E243="Sick Leave",E243="Partial Vacation",E243="Partial Sick Leave"),NOT(U243)),"Leave not allowed on this day",IF(AND(E243="Manual Work",OR(NOT(ISNUMBER(F243)),NOT(ISNUMBER(G243)))),"Enter start and end",IF(AND(OR(E243="Partial Vacation",E243="Partial Sick Leave"),OR(NOT(ISNUMBER(H243)),NOT(ISNUMBER(I243)))),"Enter leave from and to",IF(AND(ISNUMBER(F243),ISNUMBER(G243),G243&lt;=F243),"End is before start",IF(AND(ISNUMBER(H243),ISNUMBER(I243),I243&lt;=H243),"Leave end is before start",IF(AND(ISNUMBER(F243),ISNUMBER(G243),ISNUMBER(H243),ISNUMBER(I243),F243&lt;I243,H243&lt;G243),"Work and leave hours overlap",IF(AND(E243&lt;&gt;"",WEEKDAY(A243)=7),"Saturday - administrator only","")))))))</f>
        <v/>
      </c>
      <c r="T243" s="36" t="n">
        <f aca="false">MONTH(A243)</f>
        <v>8</v>
      </c>
      <c r="U243" s="37" t="b">
        <f aca="false">OR(C243="Workday",C243="Eve")</f>
        <v>1</v>
      </c>
      <c r="V243" s="34" t="n">
        <f aca="false">IF(C243="Eve",Settings!$B$8,Settings!$B$7)</f>
        <v>0.6875</v>
      </c>
      <c r="W243" s="14" t="n">
        <f aca="false">IF(U243,(V243-Settings!$B$6)*24,0)</f>
        <v>8.5</v>
      </c>
    </row>
    <row r="244" customFormat="false" ht="15" hidden="false" customHeight="false" outlineLevel="0" collapsed="false">
      <c r="A244" s="29" t="n">
        <v>46260</v>
      </c>
      <c r="B244" s="30" t="str">
        <f aca="false">CHOOSE(WEEKDAY(A244),"Sun","Mon","Tue","Wed","Thu","Fri","Sat")</f>
        <v>Wed</v>
      </c>
      <c r="C244" s="30" t="str">
        <f aca="false">IF(IFERROR(INDEX(Holidays!$D$5:$D$60,MATCH(A244,Holidays!$A$5:$A$60,0)),"")="Holiday","Holiday",IF(WEEKDAY(A244)&gt;=6,"Weekend",IF(IFERROR(INDEX(Holidays!$D$5:$D$60,MATCH(A244,Holidays!$A$5:$A$60,0)),"")="Eve","Eve","Workday")))</f>
        <v>Workday</v>
      </c>
      <c r="D244" s="18" t="str">
        <f aca="false">IFERROR(INDEX(Holidays!$C$5:$C$60,MATCH(A244,Holidays!$A$5:$A$60,0)),"")</f>
        <v/>
      </c>
      <c r="E244" s="31"/>
      <c r="F244" s="32"/>
      <c r="G244" s="32"/>
      <c r="H244" s="32"/>
      <c r="I244" s="32"/>
      <c r="J244" s="31"/>
      <c r="K244" s="33" t="str">
        <f aca="false">IF(E244&lt;&gt;"",E244,IF(U244,"Present",IF(C244="Holiday","Holiday","Weekend")))</f>
        <v>Present</v>
      </c>
      <c r="L244" s="34" t="n">
        <f aca="false">IF(OR(K244="Present",K244="Manual Work",K244="Partial Vacation",K244="Partial Sick Leave"),IF(ISNUMBER(F244),F244,IF(AND(K244="Present",U244),Settings!$B$6,"")),"")</f>
        <v>0.333333333333333</v>
      </c>
      <c r="M244" s="34" t="n">
        <f aca="false">IF(OR(K244="Present",K244="Manual Work",K244="Partial Vacation",K244="Partial Sick Leave"),IF(ISNUMBER(G244),G244,IF(AND(K244="Present",U244),V244,"")),"")</f>
        <v>0.6875</v>
      </c>
      <c r="N244" s="14" t="n">
        <f aca="false">IF(AND(ISNUMBER(L244),ISNUMBER(M244)),MAX(0,(M244-L244)*24),0)</f>
        <v>8.5</v>
      </c>
      <c r="O244" s="14" t="n">
        <f aca="false">IF(NOT(U244),0,IF(K244="Vacation",IF(C244="Eve",Settings!$B$9*Settings!$B$11,W244),IF(K244="Partial Vacation",IF(AND(ISNUMBER(H244),ISNUMBER(I244)),MAX(0,(I244-H244)*24),0),0)))</f>
        <v>0</v>
      </c>
      <c r="P244" s="14" t="n">
        <f aca="false">IF(NOT(U244),0,IF(K244="Sick Leave",W244,IF(K244="Partial Sick Leave",IF(AND(ISNUMBER(H244),ISNUMBER(I244)),MAX(0,(I244-H244)*24),0),0)))</f>
        <v>0</v>
      </c>
      <c r="Q244" s="14" t="n">
        <f aca="false">IF(NOT(U244),0,IF(K244="Vacation",IF(C244="Eve",Settings!$B$11,1),IF(K244="Partial Vacation",O244/Settings!$B$9,0)))</f>
        <v>0</v>
      </c>
      <c r="R244" s="14" t="n">
        <f aca="false">IF(NOT(U244),0,IF(K244="Sick Leave",1,IF(K244="Partial Sick Leave",P244/Settings!$B$9,0)))</f>
        <v>0</v>
      </c>
      <c r="S244" s="35" t="str">
        <f aca="false">IF(AND(OR(E244="Vacation",E244="Sick Leave",E244="Partial Vacation",E244="Partial Sick Leave"),NOT(U244)),"Leave not allowed on this day",IF(AND(E244="Manual Work",OR(NOT(ISNUMBER(F244)),NOT(ISNUMBER(G244)))),"Enter start and end",IF(AND(OR(E244="Partial Vacation",E244="Partial Sick Leave"),OR(NOT(ISNUMBER(H244)),NOT(ISNUMBER(I244)))),"Enter leave from and to",IF(AND(ISNUMBER(F244),ISNUMBER(G244),G244&lt;=F244),"End is before start",IF(AND(ISNUMBER(H244),ISNUMBER(I244),I244&lt;=H244),"Leave end is before start",IF(AND(ISNUMBER(F244),ISNUMBER(G244),ISNUMBER(H244),ISNUMBER(I244),F244&lt;I244,H244&lt;G244),"Work and leave hours overlap",IF(AND(E244&lt;&gt;"",WEEKDAY(A244)=7),"Saturday - administrator only","")))))))</f>
        <v/>
      </c>
      <c r="T244" s="36" t="n">
        <f aca="false">MONTH(A244)</f>
        <v>8</v>
      </c>
      <c r="U244" s="37" t="b">
        <f aca="false">OR(C244="Workday",C244="Eve")</f>
        <v>1</v>
      </c>
      <c r="V244" s="34" t="n">
        <f aca="false">IF(C244="Eve",Settings!$B$8,Settings!$B$7)</f>
        <v>0.6875</v>
      </c>
      <c r="W244" s="14" t="n">
        <f aca="false">IF(U244,(V244-Settings!$B$6)*24,0)</f>
        <v>8.5</v>
      </c>
    </row>
    <row r="245" customFormat="false" ht="15" hidden="false" customHeight="false" outlineLevel="0" collapsed="false">
      <c r="A245" s="29" t="n">
        <v>46261</v>
      </c>
      <c r="B245" s="30" t="str">
        <f aca="false">CHOOSE(WEEKDAY(A245),"Sun","Mon","Tue","Wed","Thu","Fri","Sat")</f>
        <v>Thu</v>
      </c>
      <c r="C245" s="30" t="str">
        <f aca="false">IF(IFERROR(INDEX(Holidays!$D$5:$D$60,MATCH(A245,Holidays!$A$5:$A$60,0)),"")="Holiday","Holiday",IF(WEEKDAY(A245)&gt;=6,"Weekend",IF(IFERROR(INDEX(Holidays!$D$5:$D$60,MATCH(A245,Holidays!$A$5:$A$60,0)),"")="Eve","Eve","Workday")))</f>
        <v>Workday</v>
      </c>
      <c r="D245" s="18" t="str">
        <f aca="false">IFERROR(INDEX(Holidays!$C$5:$C$60,MATCH(A245,Holidays!$A$5:$A$60,0)),"")</f>
        <v/>
      </c>
      <c r="E245" s="31"/>
      <c r="F245" s="32"/>
      <c r="G245" s="32"/>
      <c r="H245" s="32"/>
      <c r="I245" s="32"/>
      <c r="J245" s="31"/>
      <c r="K245" s="33" t="str">
        <f aca="false">IF(E245&lt;&gt;"",E245,IF(U245,"Present",IF(C245="Holiday","Holiday","Weekend")))</f>
        <v>Present</v>
      </c>
      <c r="L245" s="34" t="n">
        <f aca="false">IF(OR(K245="Present",K245="Manual Work",K245="Partial Vacation",K245="Partial Sick Leave"),IF(ISNUMBER(F245),F245,IF(AND(K245="Present",U245),Settings!$B$6,"")),"")</f>
        <v>0.333333333333333</v>
      </c>
      <c r="M245" s="34" t="n">
        <f aca="false">IF(OR(K245="Present",K245="Manual Work",K245="Partial Vacation",K245="Partial Sick Leave"),IF(ISNUMBER(G245),G245,IF(AND(K245="Present",U245),V245,"")),"")</f>
        <v>0.6875</v>
      </c>
      <c r="N245" s="14" t="n">
        <f aca="false">IF(AND(ISNUMBER(L245),ISNUMBER(M245)),MAX(0,(M245-L245)*24),0)</f>
        <v>8.5</v>
      </c>
      <c r="O245" s="14" t="n">
        <f aca="false">IF(NOT(U245),0,IF(K245="Vacation",IF(C245="Eve",Settings!$B$9*Settings!$B$11,W245),IF(K245="Partial Vacation",IF(AND(ISNUMBER(H245),ISNUMBER(I245)),MAX(0,(I245-H245)*24),0),0)))</f>
        <v>0</v>
      </c>
      <c r="P245" s="14" t="n">
        <f aca="false">IF(NOT(U245),0,IF(K245="Sick Leave",W245,IF(K245="Partial Sick Leave",IF(AND(ISNUMBER(H245),ISNUMBER(I245)),MAX(0,(I245-H245)*24),0),0)))</f>
        <v>0</v>
      </c>
      <c r="Q245" s="14" t="n">
        <f aca="false">IF(NOT(U245),0,IF(K245="Vacation",IF(C245="Eve",Settings!$B$11,1),IF(K245="Partial Vacation",O245/Settings!$B$9,0)))</f>
        <v>0</v>
      </c>
      <c r="R245" s="14" t="n">
        <f aca="false">IF(NOT(U245),0,IF(K245="Sick Leave",1,IF(K245="Partial Sick Leave",P245/Settings!$B$9,0)))</f>
        <v>0</v>
      </c>
      <c r="S245" s="35" t="str">
        <f aca="false">IF(AND(OR(E245="Vacation",E245="Sick Leave",E245="Partial Vacation",E245="Partial Sick Leave"),NOT(U245)),"Leave not allowed on this day",IF(AND(E245="Manual Work",OR(NOT(ISNUMBER(F245)),NOT(ISNUMBER(G245)))),"Enter start and end",IF(AND(OR(E245="Partial Vacation",E245="Partial Sick Leave"),OR(NOT(ISNUMBER(H245)),NOT(ISNUMBER(I245)))),"Enter leave from and to",IF(AND(ISNUMBER(F245),ISNUMBER(G245),G245&lt;=F245),"End is before start",IF(AND(ISNUMBER(H245),ISNUMBER(I245),I245&lt;=H245),"Leave end is before start",IF(AND(ISNUMBER(F245),ISNUMBER(G245),ISNUMBER(H245),ISNUMBER(I245),F245&lt;I245,H245&lt;G245),"Work and leave hours overlap",IF(AND(E245&lt;&gt;"",WEEKDAY(A245)=7),"Saturday - administrator only","")))))))</f>
        <v/>
      </c>
      <c r="T245" s="36" t="n">
        <f aca="false">MONTH(A245)</f>
        <v>8</v>
      </c>
      <c r="U245" s="37" t="b">
        <f aca="false">OR(C245="Workday",C245="Eve")</f>
        <v>1</v>
      </c>
      <c r="V245" s="34" t="n">
        <f aca="false">IF(C245="Eve",Settings!$B$8,Settings!$B$7)</f>
        <v>0.6875</v>
      </c>
      <c r="W245" s="14" t="n">
        <f aca="false">IF(U245,(V245-Settings!$B$6)*24,0)</f>
        <v>8.5</v>
      </c>
    </row>
    <row r="246" customFormat="false" ht="15" hidden="false" customHeight="false" outlineLevel="0" collapsed="false">
      <c r="A246" s="29" t="n">
        <v>46262</v>
      </c>
      <c r="B246" s="30" t="str">
        <f aca="false">CHOOSE(WEEKDAY(A246),"Sun","Mon","Tue","Wed","Thu","Fri","Sat")</f>
        <v>Fri</v>
      </c>
      <c r="C246" s="30" t="str">
        <f aca="false">IF(IFERROR(INDEX(Holidays!$D$5:$D$60,MATCH(A246,Holidays!$A$5:$A$60,0)),"")="Holiday","Holiday",IF(WEEKDAY(A246)&gt;=6,"Weekend",IF(IFERROR(INDEX(Holidays!$D$5:$D$60,MATCH(A246,Holidays!$A$5:$A$60,0)),"")="Eve","Eve","Workday")))</f>
        <v>Weekend</v>
      </c>
      <c r="D246" s="18" t="str">
        <f aca="false">IFERROR(INDEX(Holidays!$C$5:$C$60,MATCH(A246,Holidays!$A$5:$A$60,0)),"")</f>
        <v/>
      </c>
      <c r="E246" s="31"/>
      <c r="F246" s="32"/>
      <c r="G246" s="32"/>
      <c r="H246" s="32"/>
      <c r="I246" s="32"/>
      <c r="J246" s="31"/>
      <c r="K246" s="33" t="str">
        <f aca="false">IF(E246&lt;&gt;"",E246,IF(U246,"Present",IF(C246="Holiday","Holiday","Weekend")))</f>
        <v>Weekend</v>
      </c>
      <c r="L246" s="34" t="str">
        <f aca="false">IF(OR(K246="Present",K246="Manual Work",K246="Partial Vacation",K246="Partial Sick Leave"),IF(ISNUMBER(F246),F246,IF(AND(K246="Present",U246),Settings!$B$6,"")),"")</f>
        <v/>
      </c>
      <c r="M246" s="34" t="str">
        <f aca="false">IF(OR(K246="Present",K246="Manual Work",K246="Partial Vacation",K246="Partial Sick Leave"),IF(ISNUMBER(G246),G246,IF(AND(K246="Present",U246),V246,"")),"")</f>
        <v/>
      </c>
      <c r="N246" s="14" t="n">
        <f aca="false">IF(AND(ISNUMBER(L246),ISNUMBER(M246)),MAX(0,(M246-L246)*24),0)</f>
        <v>0</v>
      </c>
      <c r="O246" s="14" t="n">
        <f aca="false">IF(NOT(U246),0,IF(K246="Vacation",IF(C246="Eve",Settings!$B$9*Settings!$B$11,W246),IF(K246="Partial Vacation",IF(AND(ISNUMBER(H246),ISNUMBER(I246)),MAX(0,(I246-H246)*24),0),0)))</f>
        <v>0</v>
      </c>
      <c r="P246" s="14" t="n">
        <f aca="false">IF(NOT(U246),0,IF(K246="Sick Leave",W246,IF(K246="Partial Sick Leave",IF(AND(ISNUMBER(H246),ISNUMBER(I246)),MAX(0,(I246-H246)*24),0),0)))</f>
        <v>0</v>
      </c>
      <c r="Q246" s="14" t="n">
        <f aca="false">IF(NOT(U246),0,IF(K246="Vacation",IF(C246="Eve",Settings!$B$11,1),IF(K246="Partial Vacation",O246/Settings!$B$9,0)))</f>
        <v>0</v>
      </c>
      <c r="R246" s="14" t="n">
        <f aca="false">IF(NOT(U246),0,IF(K246="Sick Leave",1,IF(K246="Partial Sick Leave",P246/Settings!$B$9,0)))</f>
        <v>0</v>
      </c>
      <c r="S246" s="35" t="str">
        <f aca="false">IF(AND(OR(E246="Vacation",E246="Sick Leave",E246="Partial Vacation",E246="Partial Sick Leave"),NOT(U246)),"Leave not allowed on this day",IF(AND(E246="Manual Work",OR(NOT(ISNUMBER(F246)),NOT(ISNUMBER(G246)))),"Enter start and end",IF(AND(OR(E246="Partial Vacation",E246="Partial Sick Leave"),OR(NOT(ISNUMBER(H246)),NOT(ISNUMBER(I246)))),"Enter leave from and to",IF(AND(ISNUMBER(F246),ISNUMBER(G246),G246&lt;=F246),"End is before start",IF(AND(ISNUMBER(H246),ISNUMBER(I246),I246&lt;=H246),"Leave end is before start",IF(AND(ISNUMBER(F246),ISNUMBER(G246),ISNUMBER(H246),ISNUMBER(I246),F246&lt;I246,H246&lt;G246),"Work and leave hours overlap",IF(AND(E246&lt;&gt;"",WEEKDAY(A246)=7),"Saturday - administrator only","")))))))</f>
        <v/>
      </c>
      <c r="T246" s="36" t="n">
        <f aca="false">MONTH(A246)</f>
        <v>8</v>
      </c>
      <c r="U246" s="37" t="b">
        <f aca="false">OR(C246="Workday",C246="Eve")</f>
        <v>0</v>
      </c>
      <c r="V246" s="34" t="n">
        <f aca="false">IF(C246="Eve",Settings!$B$8,Settings!$B$7)</f>
        <v>0.6875</v>
      </c>
      <c r="W246" s="14" t="n">
        <f aca="false">IF(U246,(V246-Settings!$B$6)*24,0)</f>
        <v>0</v>
      </c>
    </row>
    <row r="247" customFormat="false" ht="15" hidden="false" customHeight="false" outlineLevel="0" collapsed="false">
      <c r="A247" s="29" t="n">
        <v>46263</v>
      </c>
      <c r="B247" s="30" t="str">
        <f aca="false">CHOOSE(WEEKDAY(A247),"Sun","Mon","Tue","Wed","Thu","Fri","Sat")</f>
        <v>Sat</v>
      </c>
      <c r="C247" s="30" t="str">
        <f aca="false">IF(IFERROR(INDEX(Holidays!$D$5:$D$60,MATCH(A247,Holidays!$A$5:$A$60,0)),"")="Holiday","Holiday",IF(WEEKDAY(A247)&gt;=6,"Weekend",IF(IFERROR(INDEX(Holidays!$D$5:$D$60,MATCH(A247,Holidays!$A$5:$A$60,0)),"")="Eve","Eve","Workday")))</f>
        <v>Weekend</v>
      </c>
      <c r="D247" s="18" t="str">
        <f aca="false">IFERROR(INDEX(Holidays!$C$5:$C$60,MATCH(A247,Holidays!$A$5:$A$60,0)),"")</f>
        <v/>
      </c>
      <c r="E247" s="31"/>
      <c r="F247" s="32"/>
      <c r="G247" s="32"/>
      <c r="H247" s="32"/>
      <c r="I247" s="32"/>
      <c r="J247" s="31"/>
      <c r="K247" s="33" t="str">
        <f aca="false">IF(E247&lt;&gt;"",E247,IF(U247,"Present",IF(C247="Holiday","Holiday","Weekend")))</f>
        <v>Weekend</v>
      </c>
      <c r="L247" s="34" t="str">
        <f aca="false">IF(OR(K247="Present",K247="Manual Work",K247="Partial Vacation",K247="Partial Sick Leave"),IF(ISNUMBER(F247),F247,IF(AND(K247="Present",U247),Settings!$B$6,"")),"")</f>
        <v/>
      </c>
      <c r="M247" s="34" t="str">
        <f aca="false">IF(OR(K247="Present",K247="Manual Work",K247="Partial Vacation",K247="Partial Sick Leave"),IF(ISNUMBER(G247),G247,IF(AND(K247="Present",U247),V247,"")),"")</f>
        <v/>
      </c>
      <c r="N247" s="14" t="n">
        <f aca="false">IF(AND(ISNUMBER(L247),ISNUMBER(M247)),MAX(0,(M247-L247)*24),0)</f>
        <v>0</v>
      </c>
      <c r="O247" s="14" t="n">
        <f aca="false">IF(NOT(U247),0,IF(K247="Vacation",IF(C247="Eve",Settings!$B$9*Settings!$B$11,W247),IF(K247="Partial Vacation",IF(AND(ISNUMBER(H247),ISNUMBER(I247)),MAX(0,(I247-H247)*24),0),0)))</f>
        <v>0</v>
      </c>
      <c r="P247" s="14" t="n">
        <f aca="false">IF(NOT(U247),0,IF(K247="Sick Leave",W247,IF(K247="Partial Sick Leave",IF(AND(ISNUMBER(H247),ISNUMBER(I247)),MAX(0,(I247-H247)*24),0),0)))</f>
        <v>0</v>
      </c>
      <c r="Q247" s="14" t="n">
        <f aca="false">IF(NOT(U247),0,IF(K247="Vacation",IF(C247="Eve",Settings!$B$11,1),IF(K247="Partial Vacation",O247/Settings!$B$9,0)))</f>
        <v>0</v>
      </c>
      <c r="R247" s="14" t="n">
        <f aca="false">IF(NOT(U247),0,IF(K247="Sick Leave",1,IF(K247="Partial Sick Leave",P247/Settings!$B$9,0)))</f>
        <v>0</v>
      </c>
      <c r="S247" s="35" t="str">
        <f aca="false">IF(AND(OR(E247="Vacation",E247="Sick Leave",E247="Partial Vacation",E247="Partial Sick Leave"),NOT(U247)),"Leave not allowed on this day",IF(AND(E247="Manual Work",OR(NOT(ISNUMBER(F247)),NOT(ISNUMBER(G247)))),"Enter start and end",IF(AND(OR(E247="Partial Vacation",E247="Partial Sick Leave"),OR(NOT(ISNUMBER(H247)),NOT(ISNUMBER(I247)))),"Enter leave from and to",IF(AND(ISNUMBER(F247),ISNUMBER(G247),G247&lt;=F247),"End is before start",IF(AND(ISNUMBER(H247),ISNUMBER(I247),I247&lt;=H247),"Leave end is before start",IF(AND(ISNUMBER(F247),ISNUMBER(G247),ISNUMBER(H247),ISNUMBER(I247),F247&lt;I247,H247&lt;G247),"Work and leave hours overlap",IF(AND(E247&lt;&gt;"",WEEKDAY(A247)=7),"Saturday - administrator only","")))))))</f>
        <v/>
      </c>
      <c r="T247" s="36" t="n">
        <f aca="false">MONTH(A247)</f>
        <v>8</v>
      </c>
      <c r="U247" s="37" t="b">
        <f aca="false">OR(C247="Workday",C247="Eve")</f>
        <v>0</v>
      </c>
      <c r="V247" s="34" t="n">
        <f aca="false">IF(C247="Eve",Settings!$B$8,Settings!$B$7)</f>
        <v>0.6875</v>
      </c>
      <c r="W247" s="14" t="n">
        <f aca="false">IF(U247,(V247-Settings!$B$6)*24,0)</f>
        <v>0</v>
      </c>
    </row>
    <row r="248" customFormat="false" ht="15" hidden="false" customHeight="false" outlineLevel="0" collapsed="false">
      <c r="A248" s="29" t="n">
        <v>46264</v>
      </c>
      <c r="B248" s="30" t="str">
        <f aca="false">CHOOSE(WEEKDAY(A248),"Sun","Mon","Tue","Wed","Thu","Fri","Sat")</f>
        <v>Sun</v>
      </c>
      <c r="C248" s="30" t="str">
        <f aca="false">IF(IFERROR(INDEX(Holidays!$D$5:$D$60,MATCH(A248,Holidays!$A$5:$A$60,0)),"")="Holiday","Holiday",IF(WEEKDAY(A248)&gt;=6,"Weekend",IF(IFERROR(INDEX(Holidays!$D$5:$D$60,MATCH(A248,Holidays!$A$5:$A$60,0)),"")="Eve","Eve","Workday")))</f>
        <v>Workday</v>
      </c>
      <c r="D248" s="18" t="str">
        <f aca="false">IFERROR(INDEX(Holidays!$C$5:$C$60,MATCH(A248,Holidays!$A$5:$A$60,0)),"")</f>
        <v/>
      </c>
      <c r="E248" s="31"/>
      <c r="F248" s="32"/>
      <c r="G248" s="32"/>
      <c r="H248" s="32"/>
      <c r="I248" s="32"/>
      <c r="J248" s="31"/>
      <c r="K248" s="33" t="str">
        <f aca="false">IF(E248&lt;&gt;"",E248,IF(U248,"Present",IF(C248="Holiday","Holiday","Weekend")))</f>
        <v>Present</v>
      </c>
      <c r="L248" s="34" t="n">
        <f aca="false">IF(OR(K248="Present",K248="Manual Work",K248="Partial Vacation",K248="Partial Sick Leave"),IF(ISNUMBER(F248),F248,IF(AND(K248="Present",U248),Settings!$B$6,"")),"")</f>
        <v>0.333333333333333</v>
      </c>
      <c r="M248" s="34" t="n">
        <f aca="false">IF(OR(K248="Present",K248="Manual Work",K248="Partial Vacation",K248="Partial Sick Leave"),IF(ISNUMBER(G248),G248,IF(AND(K248="Present",U248),V248,"")),"")</f>
        <v>0.6875</v>
      </c>
      <c r="N248" s="14" t="n">
        <f aca="false">IF(AND(ISNUMBER(L248),ISNUMBER(M248)),MAX(0,(M248-L248)*24),0)</f>
        <v>8.5</v>
      </c>
      <c r="O248" s="14" t="n">
        <f aca="false">IF(NOT(U248),0,IF(K248="Vacation",IF(C248="Eve",Settings!$B$9*Settings!$B$11,W248),IF(K248="Partial Vacation",IF(AND(ISNUMBER(H248),ISNUMBER(I248)),MAX(0,(I248-H248)*24),0),0)))</f>
        <v>0</v>
      </c>
      <c r="P248" s="14" t="n">
        <f aca="false">IF(NOT(U248),0,IF(K248="Sick Leave",W248,IF(K248="Partial Sick Leave",IF(AND(ISNUMBER(H248),ISNUMBER(I248)),MAX(0,(I248-H248)*24),0),0)))</f>
        <v>0</v>
      </c>
      <c r="Q248" s="14" t="n">
        <f aca="false">IF(NOT(U248),0,IF(K248="Vacation",IF(C248="Eve",Settings!$B$11,1),IF(K248="Partial Vacation",O248/Settings!$B$9,0)))</f>
        <v>0</v>
      </c>
      <c r="R248" s="14" t="n">
        <f aca="false">IF(NOT(U248),0,IF(K248="Sick Leave",1,IF(K248="Partial Sick Leave",P248/Settings!$B$9,0)))</f>
        <v>0</v>
      </c>
      <c r="S248" s="35" t="str">
        <f aca="false">IF(AND(OR(E248="Vacation",E248="Sick Leave",E248="Partial Vacation",E248="Partial Sick Leave"),NOT(U248)),"Leave not allowed on this day",IF(AND(E248="Manual Work",OR(NOT(ISNUMBER(F248)),NOT(ISNUMBER(G248)))),"Enter start and end",IF(AND(OR(E248="Partial Vacation",E248="Partial Sick Leave"),OR(NOT(ISNUMBER(H248)),NOT(ISNUMBER(I248)))),"Enter leave from and to",IF(AND(ISNUMBER(F248),ISNUMBER(G248),G248&lt;=F248),"End is before start",IF(AND(ISNUMBER(H248),ISNUMBER(I248),I248&lt;=H248),"Leave end is before start",IF(AND(ISNUMBER(F248),ISNUMBER(G248),ISNUMBER(H248),ISNUMBER(I248),F248&lt;I248,H248&lt;G248),"Work and leave hours overlap",IF(AND(E248&lt;&gt;"",WEEKDAY(A248)=7),"Saturday - administrator only","")))))))</f>
        <v/>
      </c>
      <c r="T248" s="36" t="n">
        <f aca="false">MONTH(A248)</f>
        <v>8</v>
      </c>
      <c r="U248" s="37" t="b">
        <f aca="false">OR(C248="Workday",C248="Eve")</f>
        <v>1</v>
      </c>
      <c r="V248" s="34" t="n">
        <f aca="false">IF(C248="Eve",Settings!$B$8,Settings!$B$7)</f>
        <v>0.6875</v>
      </c>
      <c r="W248" s="14" t="n">
        <f aca="false">IF(U248,(V248-Settings!$B$6)*24,0)</f>
        <v>8.5</v>
      </c>
    </row>
    <row r="249" customFormat="false" ht="15" hidden="false" customHeight="false" outlineLevel="0" collapsed="false">
      <c r="A249" s="29" t="n">
        <v>46265</v>
      </c>
      <c r="B249" s="30" t="str">
        <f aca="false">CHOOSE(WEEKDAY(A249),"Sun","Mon","Tue","Wed","Thu","Fri","Sat")</f>
        <v>Mon</v>
      </c>
      <c r="C249" s="30" t="str">
        <f aca="false">IF(IFERROR(INDEX(Holidays!$D$5:$D$60,MATCH(A249,Holidays!$A$5:$A$60,0)),"")="Holiday","Holiday",IF(WEEKDAY(A249)&gt;=6,"Weekend",IF(IFERROR(INDEX(Holidays!$D$5:$D$60,MATCH(A249,Holidays!$A$5:$A$60,0)),"")="Eve","Eve","Workday")))</f>
        <v>Workday</v>
      </c>
      <c r="D249" s="18" t="str">
        <f aca="false">IFERROR(INDEX(Holidays!$C$5:$C$60,MATCH(A249,Holidays!$A$5:$A$60,0)),"")</f>
        <v/>
      </c>
      <c r="E249" s="31"/>
      <c r="F249" s="32"/>
      <c r="G249" s="32"/>
      <c r="H249" s="32"/>
      <c r="I249" s="32"/>
      <c r="J249" s="31"/>
      <c r="K249" s="33" t="str">
        <f aca="false">IF(E249&lt;&gt;"",E249,IF(U249,"Present",IF(C249="Holiday","Holiday","Weekend")))</f>
        <v>Present</v>
      </c>
      <c r="L249" s="34" t="n">
        <f aca="false">IF(OR(K249="Present",K249="Manual Work",K249="Partial Vacation",K249="Partial Sick Leave"),IF(ISNUMBER(F249),F249,IF(AND(K249="Present",U249),Settings!$B$6,"")),"")</f>
        <v>0.333333333333333</v>
      </c>
      <c r="M249" s="34" t="n">
        <f aca="false">IF(OR(K249="Present",K249="Manual Work",K249="Partial Vacation",K249="Partial Sick Leave"),IF(ISNUMBER(G249),G249,IF(AND(K249="Present",U249),V249,"")),"")</f>
        <v>0.6875</v>
      </c>
      <c r="N249" s="14" t="n">
        <f aca="false">IF(AND(ISNUMBER(L249),ISNUMBER(M249)),MAX(0,(M249-L249)*24),0)</f>
        <v>8.5</v>
      </c>
      <c r="O249" s="14" t="n">
        <f aca="false">IF(NOT(U249),0,IF(K249="Vacation",IF(C249="Eve",Settings!$B$9*Settings!$B$11,W249),IF(K249="Partial Vacation",IF(AND(ISNUMBER(H249),ISNUMBER(I249)),MAX(0,(I249-H249)*24),0),0)))</f>
        <v>0</v>
      </c>
      <c r="P249" s="14" t="n">
        <f aca="false">IF(NOT(U249),0,IF(K249="Sick Leave",W249,IF(K249="Partial Sick Leave",IF(AND(ISNUMBER(H249),ISNUMBER(I249)),MAX(0,(I249-H249)*24),0),0)))</f>
        <v>0</v>
      </c>
      <c r="Q249" s="14" t="n">
        <f aca="false">IF(NOT(U249),0,IF(K249="Vacation",IF(C249="Eve",Settings!$B$11,1),IF(K249="Partial Vacation",O249/Settings!$B$9,0)))</f>
        <v>0</v>
      </c>
      <c r="R249" s="14" t="n">
        <f aca="false">IF(NOT(U249),0,IF(K249="Sick Leave",1,IF(K249="Partial Sick Leave",P249/Settings!$B$9,0)))</f>
        <v>0</v>
      </c>
      <c r="S249" s="35" t="str">
        <f aca="false">IF(AND(OR(E249="Vacation",E249="Sick Leave",E249="Partial Vacation",E249="Partial Sick Leave"),NOT(U249)),"Leave not allowed on this day",IF(AND(E249="Manual Work",OR(NOT(ISNUMBER(F249)),NOT(ISNUMBER(G249)))),"Enter start and end",IF(AND(OR(E249="Partial Vacation",E249="Partial Sick Leave"),OR(NOT(ISNUMBER(H249)),NOT(ISNUMBER(I249)))),"Enter leave from and to",IF(AND(ISNUMBER(F249),ISNUMBER(G249),G249&lt;=F249),"End is before start",IF(AND(ISNUMBER(H249),ISNUMBER(I249),I249&lt;=H249),"Leave end is before start",IF(AND(ISNUMBER(F249),ISNUMBER(G249),ISNUMBER(H249),ISNUMBER(I249),F249&lt;I249,H249&lt;G249),"Work and leave hours overlap",IF(AND(E249&lt;&gt;"",WEEKDAY(A249)=7),"Saturday - administrator only","")))))))</f>
        <v/>
      </c>
      <c r="T249" s="36" t="n">
        <f aca="false">MONTH(A249)</f>
        <v>8</v>
      </c>
      <c r="U249" s="37" t="b">
        <f aca="false">OR(C249="Workday",C249="Eve")</f>
        <v>1</v>
      </c>
      <c r="V249" s="34" t="n">
        <f aca="false">IF(C249="Eve",Settings!$B$8,Settings!$B$7)</f>
        <v>0.6875</v>
      </c>
      <c r="W249" s="14" t="n">
        <f aca="false">IF(U249,(V249-Settings!$B$6)*24,0)</f>
        <v>8.5</v>
      </c>
    </row>
    <row r="250" customFormat="false" ht="15" hidden="false" customHeight="false" outlineLevel="0" collapsed="false">
      <c r="A250" s="29" t="n">
        <v>46266</v>
      </c>
      <c r="B250" s="30" t="str">
        <f aca="false">CHOOSE(WEEKDAY(A250),"Sun","Mon","Tue","Wed","Thu","Fri","Sat")</f>
        <v>Tue</v>
      </c>
      <c r="C250" s="30" t="str">
        <f aca="false">IF(IFERROR(INDEX(Holidays!$D$5:$D$60,MATCH(A250,Holidays!$A$5:$A$60,0)),"")="Holiday","Holiday",IF(WEEKDAY(A250)&gt;=6,"Weekend",IF(IFERROR(INDEX(Holidays!$D$5:$D$60,MATCH(A250,Holidays!$A$5:$A$60,0)),"")="Eve","Eve","Workday")))</f>
        <v>Workday</v>
      </c>
      <c r="D250" s="18" t="str">
        <f aca="false">IFERROR(INDEX(Holidays!$C$5:$C$60,MATCH(A250,Holidays!$A$5:$A$60,0)),"")</f>
        <v/>
      </c>
      <c r="E250" s="31"/>
      <c r="F250" s="32"/>
      <c r="G250" s="32"/>
      <c r="H250" s="32"/>
      <c r="I250" s="32"/>
      <c r="J250" s="31"/>
      <c r="K250" s="33" t="str">
        <f aca="false">IF(E250&lt;&gt;"",E250,IF(U250,"Present",IF(C250="Holiday","Holiday","Weekend")))</f>
        <v>Present</v>
      </c>
      <c r="L250" s="34" t="n">
        <f aca="false">IF(OR(K250="Present",K250="Manual Work",K250="Partial Vacation",K250="Partial Sick Leave"),IF(ISNUMBER(F250),F250,IF(AND(K250="Present",U250),Settings!$B$6,"")),"")</f>
        <v>0.333333333333333</v>
      </c>
      <c r="M250" s="34" t="n">
        <f aca="false">IF(OR(K250="Present",K250="Manual Work",K250="Partial Vacation",K250="Partial Sick Leave"),IF(ISNUMBER(G250),G250,IF(AND(K250="Present",U250),V250,"")),"")</f>
        <v>0.6875</v>
      </c>
      <c r="N250" s="14" t="n">
        <f aca="false">IF(AND(ISNUMBER(L250),ISNUMBER(M250)),MAX(0,(M250-L250)*24),0)</f>
        <v>8.5</v>
      </c>
      <c r="O250" s="14" t="n">
        <f aca="false">IF(NOT(U250),0,IF(K250="Vacation",IF(C250="Eve",Settings!$B$9*Settings!$B$11,W250),IF(K250="Partial Vacation",IF(AND(ISNUMBER(H250),ISNUMBER(I250)),MAX(0,(I250-H250)*24),0),0)))</f>
        <v>0</v>
      </c>
      <c r="P250" s="14" t="n">
        <f aca="false">IF(NOT(U250),0,IF(K250="Sick Leave",W250,IF(K250="Partial Sick Leave",IF(AND(ISNUMBER(H250),ISNUMBER(I250)),MAX(0,(I250-H250)*24),0),0)))</f>
        <v>0</v>
      </c>
      <c r="Q250" s="14" t="n">
        <f aca="false">IF(NOT(U250),0,IF(K250="Vacation",IF(C250="Eve",Settings!$B$11,1),IF(K250="Partial Vacation",O250/Settings!$B$9,0)))</f>
        <v>0</v>
      </c>
      <c r="R250" s="14" t="n">
        <f aca="false">IF(NOT(U250),0,IF(K250="Sick Leave",1,IF(K250="Partial Sick Leave",P250/Settings!$B$9,0)))</f>
        <v>0</v>
      </c>
      <c r="S250" s="35" t="str">
        <f aca="false">IF(AND(OR(E250="Vacation",E250="Sick Leave",E250="Partial Vacation",E250="Partial Sick Leave"),NOT(U250)),"Leave not allowed on this day",IF(AND(E250="Manual Work",OR(NOT(ISNUMBER(F250)),NOT(ISNUMBER(G250)))),"Enter start and end",IF(AND(OR(E250="Partial Vacation",E250="Partial Sick Leave"),OR(NOT(ISNUMBER(H250)),NOT(ISNUMBER(I250)))),"Enter leave from and to",IF(AND(ISNUMBER(F250),ISNUMBER(G250),G250&lt;=F250),"End is before start",IF(AND(ISNUMBER(H250),ISNUMBER(I250),I250&lt;=H250),"Leave end is before start",IF(AND(ISNUMBER(F250),ISNUMBER(G250),ISNUMBER(H250),ISNUMBER(I250),F250&lt;I250,H250&lt;G250),"Work and leave hours overlap",IF(AND(E250&lt;&gt;"",WEEKDAY(A250)=7),"Saturday - administrator only","")))))))</f>
        <v/>
      </c>
      <c r="T250" s="36" t="n">
        <f aca="false">MONTH(A250)</f>
        <v>9</v>
      </c>
      <c r="U250" s="37" t="b">
        <f aca="false">OR(C250="Workday",C250="Eve")</f>
        <v>1</v>
      </c>
      <c r="V250" s="34" t="n">
        <f aca="false">IF(C250="Eve",Settings!$B$8,Settings!$B$7)</f>
        <v>0.6875</v>
      </c>
      <c r="W250" s="14" t="n">
        <f aca="false">IF(U250,(V250-Settings!$B$6)*24,0)</f>
        <v>8.5</v>
      </c>
    </row>
    <row r="251" customFormat="false" ht="15" hidden="false" customHeight="false" outlineLevel="0" collapsed="false">
      <c r="A251" s="29" t="n">
        <v>46267</v>
      </c>
      <c r="B251" s="30" t="str">
        <f aca="false">CHOOSE(WEEKDAY(A251),"Sun","Mon","Tue","Wed","Thu","Fri","Sat")</f>
        <v>Wed</v>
      </c>
      <c r="C251" s="30" t="str">
        <f aca="false">IF(IFERROR(INDEX(Holidays!$D$5:$D$60,MATCH(A251,Holidays!$A$5:$A$60,0)),"")="Holiday","Holiday",IF(WEEKDAY(A251)&gt;=6,"Weekend",IF(IFERROR(INDEX(Holidays!$D$5:$D$60,MATCH(A251,Holidays!$A$5:$A$60,0)),"")="Eve","Eve","Workday")))</f>
        <v>Workday</v>
      </c>
      <c r="D251" s="18" t="str">
        <f aca="false">IFERROR(INDEX(Holidays!$C$5:$C$60,MATCH(A251,Holidays!$A$5:$A$60,0)),"")</f>
        <v/>
      </c>
      <c r="E251" s="31"/>
      <c r="F251" s="32"/>
      <c r="G251" s="32"/>
      <c r="H251" s="32"/>
      <c r="I251" s="32"/>
      <c r="J251" s="31"/>
      <c r="K251" s="33" t="str">
        <f aca="false">IF(E251&lt;&gt;"",E251,IF(U251,"Present",IF(C251="Holiday","Holiday","Weekend")))</f>
        <v>Present</v>
      </c>
      <c r="L251" s="34" t="n">
        <f aca="false">IF(OR(K251="Present",K251="Manual Work",K251="Partial Vacation",K251="Partial Sick Leave"),IF(ISNUMBER(F251),F251,IF(AND(K251="Present",U251),Settings!$B$6,"")),"")</f>
        <v>0.333333333333333</v>
      </c>
      <c r="M251" s="34" t="n">
        <f aca="false">IF(OR(K251="Present",K251="Manual Work",K251="Partial Vacation",K251="Partial Sick Leave"),IF(ISNUMBER(G251),G251,IF(AND(K251="Present",U251),V251,"")),"")</f>
        <v>0.6875</v>
      </c>
      <c r="N251" s="14" t="n">
        <f aca="false">IF(AND(ISNUMBER(L251),ISNUMBER(M251)),MAX(0,(M251-L251)*24),0)</f>
        <v>8.5</v>
      </c>
      <c r="O251" s="14" t="n">
        <f aca="false">IF(NOT(U251),0,IF(K251="Vacation",IF(C251="Eve",Settings!$B$9*Settings!$B$11,W251),IF(K251="Partial Vacation",IF(AND(ISNUMBER(H251),ISNUMBER(I251)),MAX(0,(I251-H251)*24),0),0)))</f>
        <v>0</v>
      </c>
      <c r="P251" s="14" t="n">
        <f aca="false">IF(NOT(U251),0,IF(K251="Sick Leave",W251,IF(K251="Partial Sick Leave",IF(AND(ISNUMBER(H251),ISNUMBER(I251)),MAX(0,(I251-H251)*24),0),0)))</f>
        <v>0</v>
      </c>
      <c r="Q251" s="14" t="n">
        <f aca="false">IF(NOT(U251),0,IF(K251="Vacation",IF(C251="Eve",Settings!$B$11,1),IF(K251="Partial Vacation",O251/Settings!$B$9,0)))</f>
        <v>0</v>
      </c>
      <c r="R251" s="14" t="n">
        <f aca="false">IF(NOT(U251),0,IF(K251="Sick Leave",1,IF(K251="Partial Sick Leave",P251/Settings!$B$9,0)))</f>
        <v>0</v>
      </c>
      <c r="S251" s="35" t="str">
        <f aca="false">IF(AND(OR(E251="Vacation",E251="Sick Leave",E251="Partial Vacation",E251="Partial Sick Leave"),NOT(U251)),"Leave not allowed on this day",IF(AND(E251="Manual Work",OR(NOT(ISNUMBER(F251)),NOT(ISNUMBER(G251)))),"Enter start and end",IF(AND(OR(E251="Partial Vacation",E251="Partial Sick Leave"),OR(NOT(ISNUMBER(H251)),NOT(ISNUMBER(I251)))),"Enter leave from and to",IF(AND(ISNUMBER(F251),ISNUMBER(G251),G251&lt;=F251),"End is before start",IF(AND(ISNUMBER(H251),ISNUMBER(I251),I251&lt;=H251),"Leave end is before start",IF(AND(ISNUMBER(F251),ISNUMBER(G251),ISNUMBER(H251),ISNUMBER(I251),F251&lt;I251,H251&lt;G251),"Work and leave hours overlap",IF(AND(E251&lt;&gt;"",WEEKDAY(A251)=7),"Saturday - administrator only","")))))))</f>
        <v/>
      </c>
      <c r="T251" s="36" t="n">
        <f aca="false">MONTH(A251)</f>
        <v>9</v>
      </c>
      <c r="U251" s="37" t="b">
        <f aca="false">OR(C251="Workday",C251="Eve")</f>
        <v>1</v>
      </c>
      <c r="V251" s="34" t="n">
        <f aca="false">IF(C251="Eve",Settings!$B$8,Settings!$B$7)</f>
        <v>0.6875</v>
      </c>
      <c r="W251" s="14" t="n">
        <f aca="false">IF(U251,(V251-Settings!$B$6)*24,0)</f>
        <v>8.5</v>
      </c>
    </row>
    <row r="252" customFormat="false" ht="15" hidden="false" customHeight="false" outlineLevel="0" collapsed="false">
      <c r="A252" s="29" t="n">
        <v>46268</v>
      </c>
      <c r="B252" s="30" t="str">
        <f aca="false">CHOOSE(WEEKDAY(A252),"Sun","Mon","Tue","Wed","Thu","Fri","Sat")</f>
        <v>Thu</v>
      </c>
      <c r="C252" s="30" t="str">
        <f aca="false">IF(IFERROR(INDEX(Holidays!$D$5:$D$60,MATCH(A252,Holidays!$A$5:$A$60,0)),"")="Holiday","Holiday",IF(WEEKDAY(A252)&gt;=6,"Weekend",IF(IFERROR(INDEX(Holidays!$D$5:$D$60,MATCH(A252,Holidays!$A$5:$A$60,0)),"")="Eve","Eve","Workday")))</f>
        <v>Workday</v>
      </c>
      <c r="D252" s="18" t="str">
        <f aca="false">IFERROR(INDEX(Holidays!$C$5:$C$60,MATCH(A252,Holidays!$A$5:$A$60,0)),"")</f>
        <v/>
      </c>
      <c r="E252" s="31"/>
      <c r="F252" s="32"/>
      <c r="G252" s="32"/>
      <c r="H252" s="32"/>
      <c r="I252" s="32"/>
      <c r="J252" s="31"/>
      <c r="K252" s="33" t="str">
        <f aca="false">IF(E252&lt;&gt;"",E252,IF(U252,"Present",IF(C252="Holiday","Holiday","Weekend")))</f>
        <v>Present</v>
      </c>
      <c r="L252" s="34" t="n">
        <f aca="false">IF(OR(K252="Present",K252="Manual Work",K252="Partial Vacation",K252="Partial Sick Leave"),IF(ISNUMBER(F252),F252,IF(AND(K252="Present",U252),Settings!$B$6,"")),"")</f>
        <v>0.333333333333333</v>
      </c>
      <c r="M252" s="34" t="n">
        <f aca="false">IF(OR(K252="Present",K252="Manual Work",K252="Partial Vacation",K252="Partial Sick Leave"),IF(ISNUMBER(G252),G252,IF(AND(K252="Present",U252),V252,"")),"")</f>
        <v>0.6875</v>
      </c>
      <c r="N252" s="14" t="n">
        <f aca="false">IF(AND(ISNUMBER(L252),ISNUMBER(M252)),MAX(0,(M252-L252)*24),0)</f>
        <v>8.5</v>
      </c>
      <c r="O252" s="14" t="n">
        <f aca="false">IF(NOT(U252),0,IF(K252="Vacation",IF(C252="Eve",Settings!$B$9*Settings!$B$11,W252),IF(K252="Partial Vacation",IF(AND(ISNUMBER(H252),ISNUMBER(I252)),MAX(0,(I252-H252)*24),0),0)))</f>
        <v>0</v>
      </c>
      <c r="P252" s="14" t="n">
        <f aca="false">IF(NOT(U252),0,IF(K252="Sick Leave",W252,IF(K252="Partial Sick Leave",IF(AND(ISNUMBER(H252),ISNUMBER(I252)),MAX(0,(I252-H252)*24),0),0)))</f>
        <v>0</v>
      </c>
      <c r="Q252" s="14" t="n">
        <f aca="false">IF(NOT(U252),0,IF(K252="Vacation",IF(C252="Eve",Settings!$B$11,1),IF(K252="Partial Vacation",O252/Settings!$B$9,0)))</f>
        <v>0</v>
      </c>
      <c r="R252" s="14" t="n">
        <f aca="false">IF(NOT(U252),0,IF(K252="Sick Leave",1,IF(K252="Partial Sick Leave",P252/Settings!$B$9,0)))</f>
        <v>0</v>
      </c>
      <c r="S252" s="35" t="str">
        <f aca="false">IF(AND(OR(E252="Vacation",E252="Sick Leave",E252="Partial Vacation",E252="Partial Sick Leave"),NOT(U252)),"Leave not allowed on this day",IF(AND(E252="Manual Work",OR(NOT(ISNUMBER(F252)),NOT(ISNUMBER(G252)))),"Enter start and end",IF(AND(OR(E252="Partial Vacation",E252="Partial Sick Leave"),OR(NOT(ISNUMBER(H252)),NOT(ISNUMBER(I252)))),"Enter leave from and to",IF(AND(ISNUMBER(F252),ISNUMBER(G252),G252&lt;=F252),"End is before start",IF(AND(ISNUMBER(H252),ISNUMBER(I252),I252&lt;=H252),"Leave end is before start",IF(AND(ISNUMBER(F252),ISNUMBER(G252),ISNUMBER(H252),ISNUMBER(I252),F252&lt;I252,H252&lt;G252),"Work and leave hours overlap",IF(AND(E252&lt;&gt;"",WEEKDAY(A252)=7),"Saturday - administrator only","")))))))</f>
        <v/>
      </c>
      <c r="T252" s="36" t="n">
        <f aca="false">MONTH(A252)</f>
        <v>9</v>
      </c>
      <c r="U252" s="37" t="b">
        <f aca="false">OR(C252="Workday",C252="Eve")</f>
        <v>1</v>
      </c>
      <c r="V252" s="34" t="n">
        <f aca="false">IF(C252="Eve",Settings!$B$8,Settings!$B$7)</f>
        <v>0.6875</v>
      </c>
      <c r="W252" s="14" t="n">
        <f aca="false">IF(U252,(V252-Settings!$B$6)*24,0)</f>
        <v>8.5</v>
      </c>
    </row>
    <row r="253" customFormat="false" ht="15" hidden="false" customHeight="false" outlineLevel="0" collapsed="false">
      <c r="A253" s="29" t="n">
        <v>46269</v>
      </c>
      <c r="B253" s="30" t="str">
        <f aca="false">CHOOSE(WEEKDAY(A253),"Sun","Mon","Tue","Wed","Thu","Fri","Sat")</f>
        <v>Fri</v>
      </c>
      <c r="C253" s="30" t="str">
        <f aca="false">IF(IFERROR(INDEX(Holidays!$D$5:$D$60,MATCH(A253,Holidays!$A$5:$A$60,0)),"")="Holiday","Holiday",IF(WEEKDAY(A253)&gt;=6,"Weekend",IF(IFERROR(INDEX(Holidays!$D$5:$D$60,MATCH(A253,Holidays!$A$5:$A$60,0)),"")="Eve","Eve","Workday")))</f>
        <v>Weekend</v>
      </c>
      <c r="D253" s="18" t="str">
        <f aca="false">IFERROR(INDEX(Holidays!$C$5:$C$60,MATCH(A253,Holidays!$A$5:$A$60,0)),"")</f>
        <v/>
      </c>
      <c r="E253" s="31"/>
      <c r="F253" s="32"/>
      <c r="G253" s="32"/>
      <c r="H253" s="32"/>
      <c r="I253" s="32"/>
      <c r="J253" s="31"/>
      <c r="K253" s="33" t="str">
        <f aca="false">IF(E253&lt;&gt;"",E253,IF(U253,"Present",IF(C253="Holiday","Holiday","Weekend")))</f>
        <v>Weekend</v>
      </c>
      <c r="L253" s="34" t="str">
        <f aca="false">IF(OR(K253="Present",K253="Manual Work",K253="Partial Vacation",K253="Partial Sick Leave"),IF(ISNUMBER(F253),F253,IF(AND(K253="Present",U253),Settings!$B$6,"")),"")</f>
        <v/>
      </c>
      <c r="M253" s="34" t="str">
        <f aca="false">IF(OR(K253="Present",K253="Manual Work",K253="Partial Vacation",K253="Partial Sick Leave"),IF(ISNUMBER(G253),G253,IF(AND(K253="Present",U253),V253,"")),"")</f>
        <v/>
      </c>
      <c r="N253" s="14" t="n">
        <f aca="false">IF(AND(ISNUMBER(L253),ISNUMBER(M253)),MAX(0,(M253-L253)*24),0)</f>
        <v>0</v>
      </c>
      <c r="O253" s="14" t="n">
        <f aca="false">IF(NOT(U253),0,IF(K253="Vacation",IF(C253="Eve",Settings!$B$9*Settings!$B$11,W253),IF(K253="Partial Vacation",IF(AND(ISNUMBER(H253),ISNUMBER(I253)),MAX(0,(I253-H253)*24),0),0)))</f>
        <v>0</v>
      </c>
      <c r="P253" s="14" t="n">
        <f aca="false">IF(NOT(U253),0,IF(K253="Sick Leave",W253,IF(K253="Partial Sick Leave",IF(AND(ISNUMBER(H253),ISNUMBER(I253)),MAX(0,(I253-H253)*24),0),0)))</f>
        <v>0</v>
      </c>
      <c r="Q253" s="14" t="n">
        <f aca="false">IF(NOT(U253),0,IF(K253="Vacation",IF(C253="Eve",Settings!$B$11,1),IF(K253="Partial Vacation",O253/Settings!$B$9,0)))</f>
        <v>0</v>
      </c>
      <c r="R253" s="14" t="n">
        <f aca="false">IF(NOT(U253),0,IF(K253="Sick Leave",1,IF(K253="Partial Sick Leave",P253/Settings!$B$9,0)))</f>
        <v>0</v>
      </c>
      <c r="S253" s="35" t="str">
        <f aca="false">IF(AND(OR(E253="Vacation",E253="Sick Leave",E253="Partial Vacation",E253="Partial Sick Leave"),NOT(U253)),"Leave not allowed on this day",IF(AND(E253="Manual Work",OR(NOT(ISNUMBER(F253)),NOT(ISNUMBER(G253)))),"Enter start and end",IF(AND(OR(E253="Partial Vacation",E253="Partial Sick Leave"),OR(NOT(ISNUMBER(H253)),NOT(ISNUMBER(I253)))),"Enter leave from and to",IF(AND(ISNUMBER(F253),ISNUMBER(G253),G253&lt;=F253),"End is before start",IF(AND(ISNUMBER(H253),ISNUMBER(I253),I253&lt;=H253),"Leave end is before start",IF(AND(ISNUMBER(F253),ISNUMBER(G253),ISNUMBER(H253),ISNUMBER(I253),F253&lt;I253,H253&lt;G253),"Work and leave hours overlap",IF(AND(E253&lt;&gt;"",WEEKDAY(A253)=7),"Saturday - administrator only","")))))))</f>
        <v/>
      </c>
      <c r="T253" s="36" t="n">
        <f aca="false">MONTH(A253)</f>
        <v>9</v>
      </c>
      <c r="U253" s="37" t="b">
        <f aca="false">OR(C253="Workday",C253="Eve")</f>
        <v>0</v>
      </c>
      <c r="V253" s="34" t="n">
        <f aca="false">IF(C253="Eve",Settings!$B$8,Settings!$B$7)</f>
        <v>0.6875</v>
      </c>
      <c r="W253" s="14" t="n">
        <f aca="false">IF(U253,(V253-Settings!$B$6)*24,0)</f>
        <v>0</v>
      </c>
    </row>
    <row r="254" customFormat="false" ht="15" hidden="false" customHeight="false" outlineLevel="0" collapsed="false">
      <c r="A254" s="29" t="n">
        <v>46270</v>
      </c>
      <c r="B254" s="30" t="str">
        <f aca="false">CHOOSE(WEEKDAY(A254),"Sun","Mon","Tue","Wed","Thu","Fri","Sat")</f>
        <v>Sat</v>
      </c>
      <c r="C254" s="30" t="str">
        <f aca="false">IF(IFERROR(INDEX(Holidays!$D$5:$D$60,MATCH(A254,Holidays!$A$5:$A$60,0)),"")="Holiday","Holiday",IF(WEEKDAY(A254)&gt;=6,"Weekend",IF(IFERROR(INDEX(Holidays!$D$5:$D$60,MATCH(A254,Holidays!$A$5:$A$60,0)),"")="Eve","Eve","Workday")))</f>
        <v>Weekend</v>
      </c>
      <c r="D254" s="18" t="str">
        <f aca="false">IFERROR(INDEX(Holidays!$C$5:$C$60,MATCH(A254,Holidays!$A$5:$A$60,0)),"")</f>
        <v/>
      </c>
      <c r="E254" s="31"/>
      <c r="F254" s="32"/>
      <c r="G254" s="32"/>
      <c r="H254" s="32"/>
      <c r="I254" s="32"/>
      <c r="J254" s="31"/>
      <c r="K254" s="33" t="str">
        <f aca="false">IF(E254&lt;&gt;"",E254,IF(U254,"Present",IF(C254="Holiday","Holiday","Weekend")))</f>
        <v>Weekend</v>
      </c>
      <c r="L254" s="34" t="str">
        <f aca="false">IF(OR(K254="Present",K254="Manual Work",K254="Partial Vacation",K254="Partial Sick Leave"),IF(ISNUMBER(F254),F254,IF(AND(K254="Present",U254),Settings!$B$6,"")),"")</f>
        <v/>
      </c>
      <c r="M254" s="34" t="str">
        <f aca="false">IF(OR(K254="Present",K254="Manual Work",K254="Partial Vacation",K254="Partial Sick Leave"),IF(ISNUMBER(G254),G254,IF(AND(K254="Present",U254),V254,"")),"")</f>
        <v/>
      </c>
      <c r="N254" s="14" t="n">
        <f aca="false">IF(AND(ISNUMBER(L254),ISNUMBER(M254)),MAX(0,(M254-L254)*24),0)</f>
        <v>0</v>
      </c>
      <c r="O254" s="14" t="n">
        <f aca="false">IF(NOT(U254),0,IF(K254="Vacation",IF(C254="Eve",Settings!$B$9*Settings!$B$11,W254),IF(K254="Partial Vacation",IF(AND(ISNUMBER(H254),ISNUMBER(I254)),MAX(0,(I254-H254)*24),0),0)))</f>
        <v>0</v>
      </c>
      <c r="P254" s="14" t="n">
        <f aca="false">IF(NOT(U254),0,IF(K254="Sick Leave",W254,IF(K254="Partial Sick Leave",IF(AND(ISNUMBER(H254),ISNUMBER(I254)),MAX(0,(I254-H254)*24),0),0)))</f>
        <v>0</v>
      </c>
      <c r="Q254" s="14" t="n">
        <f aca="false">IF(NOT(U254),0,IF(K254="Vacation",IF(C254="Eve",Settings!$B$11,1),IF(K254="Partial Vacation",O254/Settings!$B$9,0)))</f>
        <v>0</v>
      </c>
      <c r="R254" s="14" t="n">
        <f aca="false">IF(NOT(U254),0,IF(K254="Sick Leave",1,IF(K254="Partial Sick Leave",P254/Settings!$B$9,0)))</f>
        <v>0</v>
      </c>
      <c r="S254" s="35" t="str">
        <f aca="false">IF(AND(OR(E254="Vacation",E254="Sick Leave",E254="Partial Vacation",E254="Partial Sick Leave"),NOT(U254)),"Leave not allowed on this day",IF(AND(E254="Manual Work",OR(NOT(ISNUMBER(F254)),NOT(ISNUMBER(G254)))),"Enter start and end",IF(AND(OR(E254="Partial Vacation",E254="Partial Sick Leave"),OR(NOT(ISNUMBER(H254)),NOT(ISNUMBER(I254)))),"Enter leave from and to",IF(AND(ISNUMBER(F254),ISNUMBER(G254),G254&lt;=F254),"End is before start",IF(AND(ISNUMBER(H254),ISNUMBER(I254),I254&lt;=H254),"Leave end is before start",IF(AND(ISNUMBER(F254),ISNUMBER(G254),ISNUMBER(H254),ISNUMBER(I254),F254&lt;I254,H254&lt;G254),"Work and leave hours overlap",IF(AND(E254&lt;&gt;"",WEEKDAY(A254)=7),"Saturday - administrator only","")))))))</f>
        <v/>
      </c>
      <c r="T254" s="36" t="n">
        <f aca="false">MONTH(A254)</f>
        <v>9</v>
      </c>
      <c r="U254" s="37" t="b">
        <f aca="false">OR(C254="Workday",C254="Eve")</f>
        <v>0</v>
      </c>
      <c r="V254" s="34" t="n">
        <f aca="false">IF(C254="Eve",Settings!$B$8,Settings!$B$7)</f>
        <v>0.6875</v>
      </c>
      <c r="W254" s="14" t="n">
        <f aca="false">IF(U254,(V254-Settings!$B$6)*24,0)</f>
        <v>0</v>
      </c>
    </row>
    <row r="255" customFormat="false" ht="15" hidden="false" customHeight="false" outlineLevel="0" collapsed="false">
      <c r="A255" s="29" t="n">
        <v>46271</v>
      </c>
      <c r="B255" s="30" t="str">
        <f aca="false">CHOOSE(WEEKDAY(A255),"Sun","Mon","Tue","Wed","Thu","Fri","Sat")</f>
        <v>Sun</v>
      </c>
      <c r="C255" s="30" t="str">
        <f aca="false">IF(IFERROR(INDEX(Holidays!$D$5:$D$60,MATCH(A255,Holidays!$A$5:$A$60,0)),"")="Holiday","Holiday",IF(WEEKDAY(A255)&gt;=6,"Weekend",IF(IFERROR(INDEX(Holidays!$D$5:$D$60,MATCH(A255,Holidays!$A$5:$A$60,0)),"")="Eve","Eve","Workday")))</f>
        <v>Workday</v>
      </c>
      <c r="D255" s="18" t="str">
        <f aca="false">IFERROR(INDEX(Holidays!$C$5:$C$60,MATCH(A255,Holidays!$A$5:$A$60,0)),"")</f>
        <v/>
      </c>
      <c r="E255" s="31"/>
      <c r="F255" s="32"/>
      <c r="G255" s="32"/>
      <c r="H255" s="32"/>
      <c r="I255" s="32"/>
      <c r="J255" s="31"/>
      <c r="K255" s="33" t="str">
        <f aca="false">IF(E255&lt;&gt;"",E255,IF(U255,"Present",IF(C255="Holiday","Holiday","Weekend")))</f>
        <v>Present</v>
      </c>
      <c r="L255" s="34" t="n">
        <f aca="false">IF(OR(K255="Present",K255="Manual Work",K255="Partial Vacation",K255="Partial Sick Leave"),IF(ISNUMBER(F255),F255,IF(AND(K255="Present",U255),Settings!$B$6,"")),"")</f>
        <v>0.333333333333333</v>
      </c>
      <c r="M255" s="34" t="n">
        <f aca="false">IF(OR(K255="Present",K255="Manual Work",K255="Partial Vacation",K255="Partial Sick Leave"),IF(ISNUMBER(G255),G255,IF(AND(K255="Present",U255),V255,"")),"")</f>
        <v>0.6875</v>
      </c>
      <c r="N255" s="14" t="n">
        <f aca="false">IF(AND(ISNUMBER(L255),ISNUMBER(M255)),MAX(0,(M255-L255)*24),0)</f>
        <v>8.5</v>
      </c>
      <c r="O255" s="14" t="n">
        <f aca="false">IF(NOT(U255),0,IF(K255="Vacation",IF(C255="Eve",Settings!$B$9*Settings!$B$11,W255),IF(K255="Partial Vacation",IF(AND(ISNUMBER(H255),ISNUMBER(I255)),MAX(0,(I255-H255)*24),0),0)))</f>
        <v>0</v>
      </c>
      <c r="P255" s="14" t="n">
        <f aca="false">IF(NOT(U255),0,IF(K255="Sick Leave",W255,IF(K255="Partial Sick Leave",IF(AND(ISNUMBER(H255),ISNUMBER(I255)),MAX(0,(I255-H255)*24),0),0)))</f>
        <v>0</v>
      </c>
      <c r="Q255" s="14" t="n">
        <f aca="false">IF(NOT(U255),0,IF(K255="Vacation",IF(C255="Eve",Settings!$B$11,1),IF(K255="Partial Vacation",O255/Settings!$B$9,0)))</f>
        <v>0</v>
      </c>
      <c r="R255" s="14" t="n">
        <f aca="false">IF(NOT(U255),0,IF(K255="Sick Leave",1,IF(K255="Partial Sick Leave",P255/Settings!$B$9,0)))</f>
        <v>0</v>
      </c>
      <c r="S255" s="35" t="str">
        <f aca="false">IF(AND(OR(E255="Vacation",E255="Sick Leave",E255="Partial Vacation",E255="Partial Sick Leave"),NOT(U255)),"Leave not allowed on this day",IF(AND(E255="Manual Work",OR(NOT(ISNUMBER(F255)),NOT(ISNUMBER(G255)))),"Enter start and end",IF(AND(OR(E255="Partial Vacation",E255="Partial Sick Leave"),OR(NOT(ISNUMBER(H255)),NOT(ISNUMBER(I255)))),"Enter leave from and to",IF(AND(ISNUMBER(F255),ISNUMBER(G255),G255&lt;=F255),"End is before start",IF(AND(ISNUMBER(H255),ISNUMBER(I255),I255&lt;=H255),"Leave end is before start",IF(AND(ISNUMBER(F255),ISNUMBER(G255),ISNUMBER(H255),ISNUMBER(I255),F255&lt;I255,H255&lt;G255),"Work and leave hours overlap",IF(AND(E255&lt;&gt;"",WEEKDAY(A255)=7),"Saturday - administrator only","")))))))</f>
        <v/>
      </c>
      <c r="T255" s="36" t="n">
        <f aca="false">MONTH(A255)</f>
        <v>9</v>
      </c>
      <c r="U255" s="37" t="b">
        <f aca="false">OR(C255="Workday",C255="Eve")</f>
        <v>1</v>
      </c>
      <c r="V255" s="34" t="n">
        <f aca="false">IF(C255="Eve",Settings!$B$8,Settings!$B$7)</f>
        <v>0.6875</v>
      </c>
      <c r="W255" s="14" t="n">
        <f aca="false">IF(U255,(V255-Settings!$B$6)*24,0)</f>
        <v>8.5</v>
      </c>
    </row>
    <row r="256" customFormat="false" ht="15" hidden="false" customHeight="false" outlineLevel="0" collapsed="false">
      <c r="A256" s="29" t="n">
        <v>46272</v>
      </c>
      <c r="B256" s="30" t="str">
        <f aca="false">CHOOSE(WEEKDAY(A256),"Sun","Mon","Tue","Wed","Thu","Fri","Sat")</f>
        <v>Mon</v>
      </c>
      <c r="C256" s="30" t="str">
        <f aca="false">IF(IFERROR(INDEX(Holidays!$D$5:$D$60,MATCH(A256,Holidays!$A$5:$A$60,0)),"")="Holiday","Holiday",IF(WEEKDAY(A256)&gt;=6,"Weekend",IF(IFERROR(INDEX(Holidays!$D$5:$D$60,MATCH(A256,Holidays!$A$5:$A$60,0)),"")="Eve","Eve","Workday")))</f>
        <v>Workday</v>
      </c>
      <c r="D256" s="18" t="str">
        <f aca="false">IFERROR(INDEX(Holidays!$C$5:$C$60,MATCH(A256,Holidays!$A$5:$A$60,0)),"")</f>
        <v/>
      </c>
      <c r="E256" s="31"/>
      <c r="F256" s="32"/>
      <c r="G256" s="32"/>
      <c r="H256" s="32"/>
      <c r="I256" s="32"/>
      <c r="J256" s="31"/>
      <c r="K256" s="33" t="str">
        <f aca="false">IF(E256&lt;&gt;"",E256,IF(U256,"Present",IF(C256="Holiday","Holiday","Weekend")))</f>
        <v>Present</v>
      </c>
      <c r="L256" s="34" t="n">
        <f aca="false">IF(OR(K256="Present",K256="Manual Work",K256="Partial Vacation",K256="Partial Sick Leave"),IF(ISNUMBER(F256),F256,IF(AND(K256="Present",U256),Settings!$B$6,"")),"")</f>
        <v>0.333333333333333</v>
      </c>
      <c r="M256" s="34" t="n">
        <f aca="false">IF(OR(K256="Present",K256="Manual Work",K256="Partial Vacation",K256="Partial Sick Leave"),IF(ISNUMBER(G256),G256,IF(AND(K256="Present",U256),V256,"")),"")</f>
        <v>0.6875</v>
      </c>
      <c r="N256" s="14" t="n">
        <f aca="false">IF(AND(ISNUMBER(L256),ISNUMBER(M256)),MAX(0,(M256-L256)*24),0)</f>
        <v>8.5</v>
      </c>
      <c r="O256" s="14" t="n">
        <f aca="false">IF(NOT(U256),0,IF(K256="Vacation",IF(C256="Eve",Settings!$B$9*Settings!$B$11,W256),IF(K256="Partial Vacation",IF(AND(ISNUMBER(H256),ISNUMBER(I256)),MAX(0,(I256-H256)*24),0),0)))</f>
        <v>0</v>
      </c>
      <c r="P256" s="14" t="n">
        <f aca="false">IF(NOT(U256),0,IF(K256="Sick Leave",W256,IF(K256="Partial Sick Leave",IF(AND(ISNUMBER(H256),ISNUMBER(I256)),MAX(0,(I256-H256)*24),0),0)))</f>
        <v>0</v>
      </c>
      <c r="Q256" s="14" t="n">
        <f aca="false">IF(NOT(U256),0,IF(K256="Vacation",IF(C256="Eve",Settings!$B$11,1),IF(K256="Partial Vacation",O256/Settings!$B$9,0)))</f>
        <v>0</v>
      </c>
      <c r="R256" s="14" t="n">
        <f aca="false">IF(NOT(U256),0,IF(K256="Sick Leave",1,IF(K256="Partial Sick Leave",P256/Settings!$B$9,0)))</f>
        <v>0</v>
      </c>
      <c r="S256" s="35" t="str">
        <f aca="false">IF(AND(OR(E256="Vacation",E256="Sick Leave",E256="Partial Vacation",E256="Partial Sick Leave"),NOT(U256)),"Leave not allowed on this day",IF(AND(E256="Manual Work",OR(NOT(ISNUMBER(F256)),NOT(ISNUMBER(G256)))),"Enter start and end",IF(AND(OR(E256="Partial Vacation",E256="Partial Sick Leave"),OR(NOT(ISNUMBER(H256)),NOT(ISNUMBER(I256)))),"Enter leave from and to",IF(AND(ISNUMBER(F256),ISNUMBER(G256),G256&lt;=F256),"End is before start",IF(AND(ISNUMBER(H256),ISNUMBER(I256),I256&lt;=H256),"Leave end is before start",IF(AND(ISNUMBER(F256),ISNUMBER(G256),ISNUMBER(H256),ISNUMBER(I256),F256&lt;I256,H256&lt;G256),"Work and leave hours overlap",IF(AND(E256&lt;&gt;"",WEEKDAY(A256)=7),"Saturday - administrator only","")))))))</f>
        <v/>
      </c>
      <c r="T256" s="36" t="n">
        <f aca="false">MONTH(A256)</f>
        <v>9</v>
      </c>
      <c r="U256" s="37" t="b">
        <f aca="false">OR(C256="Workday",C256="Eve")</f>
        <v>1</v>
      </c>
      <c r="V256" s="34" t="n">
        <f aca="false">IF(C256="Eve",Settings!$B$8,Settings!$B$7)</f>
        <v>0.6875</v>
      </c>
      <c r="W256" s="14" t="n">
        <f aca="false">IF(U256,(V256-Settings!$B$6)*24,0)</f>
        <v>8.5</v>
      </c>
    </row>
    <row r="257" customFormat="false" ht="15" hidden="false" customHeight="false" outlineLevel="0" collapsed="false">
      <c r="A257" s="29" t="n">
        <v>46273</v>
      </c>
      <c r="B257" s="30" t="str">
        <f aca="false">CHOOSE(WEEKDAY(A257),"Sun","Mon","Tue","Wed","Thu","Fri","Sat")</f>
        <v>Tue</v>
      </c>
      <c r="C257" s="30" t="str">
        <f aca="false">IF(IFERROR(INDEX(Holidays!$D$5:$D$60,MATCH(A257,Holidays!$A$5:$A$60,0)),"")="Holiday","Holiday",IF(WEEKDAY(A257)&gt;=6,"Weekend",IF(IFERROR(INDEX(Holidays!$D$5:$D$60,MATCH(A257,Holidays!$A$5:$A$60,0)),"")="Eve","Eve","Workday")))</f>
        <v>Workday</v>
      </c>
      <c r="D257" s="18" t="str">
        <f aca="false">IFERROR(INDEX(Holidays!$C$5:$C$60,MATCH(A257,Holidays!$A$5:$A$60,0)),"")</f>
        <v/>
      </c>
      <c r="E257" s="31"/>
      <c r="F257" s="32"/>
      <c r="G257" s="32"/>
      <c r="H257" s="32"/>
      <c r="I257" s="32"/>
      <c r="J257" s="31"/>
      <c r="K257" s="33" t="str">
        <f aca="false">IF(E257&lt;&gt;"",E257,IF(U257,"Present",IF(C257="Holiday","Holiday","Weekend")))</f>
        <v>Present</v>
      </c>
      <c r="L257" s="34" t="n">
        <f aca="false">IF(OR(K257="Present",K257="Manual Work",K257="Partial Vacation",K257="Partial Sick Leave"),IF(ISNUMBER(F257),F257,IF(AND(K257="Present",U257),Settings!$B$6,"")),"")</f>
        <v>0.333333333333333</v>
      </c>
      <c r="M257" s="34" t="n">
        <f aca="false">IF(OR(K257="Present",K257="Manual Work",K257="Partial Vacation",K257="Partial Sick Leave"),IF(ISNUMBER(G257),G257,IF(AND(K257="Present",U257),V257,"")),"")</f>
        <v>0.6875</v>
      </c>
      <c r="N257" s="14" t="n">
        <f aca="false">IF(AND(ISNUMBER(L257),ISNUMBER(M257)),MAX(0,(M257-L257)*24),0)</f>
        <v>8.5</v>
      </c>
      <c r="O257" s="14" t="n">
        <f aca="false">IF(NOT(U257),0,IF(K257="Vacation",IF(C257="Eve",Settings!$B$9*Settings!$B$11,W257),IF(K257="Partial Vacation",IF(AND(ISNUMBER(H257),ISNUMBER(I257)),MAX(0,(I257-H257)*24),0),0)))</f>
        <v>0</v>
      </c>
      <c r="P257" s="14" t="n">
        <f aca="false">IF(NOT(U257),0,IF(K257="Sick Leave",W257,IF(K257="Partial Sick Leave",IF(AND(ISNUMBER(H257),ISNUMBER(I257)),MAX(0,(I257-H257)*24),0),0)))</f>
        <v>0</v>
      </c>
      <c r="Q257" s="14" t="n">
        <f aca="false">IF(NOT(U257),0,IF(K257="Vacation",IF(C257="Eve",Settings!$B$11,1),IF(K257="Partial Vacation",O257/Settings!$B$9,0)))</f>
        <v>0</v>
      </c>
      <c r="R257" s="14" t="n">
        <f aca="false">IF(NOT(U257),0,IF(K257="Sick Leave",1,IF(K257="Partial Sick Leave",P257/Settings!$B$9,0)))</f>
        <v>0</v>
      </c>
      <c r="S257" s="35" t="str">
        <f aca="false">IF(AND(OR(E257="Vacation",E257="Sick Leave",E257="Partial Vacation",E257="Partial Sick Leave"),NOT(U257)),"Leave not allowed on this day",IF(AND(E257="Manual Work",OR(NOT(ISNUMBER(F257)),NOT(ISNUMBER(G257)))),"Enter start and end",IF(AND(OR(E257="Partial Vacation",E257="Partial Sick Leave"),OR(NOT(ISNUMBER(H257)),NOT(ISNUMBER(I257)))),"Enter leave from and to",IF(AND(ISNUMBER(F257),ISNUMBER(G257),G257&lt;=F257),"End is before start",IF(AND(ISNUMBER(H257),ISNUMBER(I257),I257&lt;=H257),"Leave end is before start",IF(AND(ISNUMBER(F257),ISNUMBER(G257),ISNUMBER(H257),ISNUMBER(I257),F257&lt;I257,H257&lt;G257),"Work and leave hours overlap",IF(AND(E257&lt;&gt;"",WEEKDAY(A257)=7),"Saturday - administrator only","")))))))</f>
        <v/>
      </c>
      <c r="T257" s="36" t="n">
        <f aca="false">MONTH(A257)</f>
        <v>9</v>
      </c>
      <c r="U257" s="37" t="b">
        <f aca="false">OR(C257="Workday",C257="Eve")</f>
        <v>1</v>
      </c>
      <c r="V257" s="34" t="n">
        <f aca="false">IF(C257="Eve",Settings!$B$8,Settings!$B$7)</f>
        <v>0.6875</v>
      </c>
      <c r="W257" s="14" t="n">
        <f aca="false">IF(U257,(V257-Settings!$B$6)*24,0)</f>
        <v>8.5</v>
      </c>
    </row>
    <row r="258" customFormat="false" ht="15" hidden="false" customHeight="false" outlineLevel="0" collapsed="false">
      <c r="A258" s="29" t="n">
        <v>46274</v>
      </c>
      <c r="B258" s="30" t="str">
        <f aca="false">CHOOSE(WEEKDAY(A258),"Sun","Mon","Tue","Wed","Thu","Fri","Sat")</f>
        <v>Wed</v>
      </c>
      <c r="C258" s="30" t="str">
        <f aca="false">IF(IFERROR(INDEX(Holidays!$D$5:$D$60,MATCH(A258,Holidays!$A$5:$A$60,0)),"")="Holiday","Holiday",IF(WEEKDAY(A258)&gt;=6,"Weekend",IF(IFERROR(INDEX(Holidays!$D$5:$D$60,MATCH(A258,Holidays!$A$5:$A$60,0)),"")="Eve","Eve","Workday")))</f>
        <v>Workday</v>
      </c>
      <c r="D258" s="18" t="str">
        <f aca="false">IFERROR(INDEX(Holidays!$C$5:$C$60,MATCH(A258,Holidays!$A$5:$A$60,0)),"")</f>
        <v/>
      </c>
      <c r="E258" s="31"/>
      <c r="F258" s="32"/>
      <c r="G258" s="32"/>
      <c r="H258" s="32"/>
      <c r="I258" s="32"/>
      <c r="J258" s="31"/>
      <c r="K258" s="33" t="str">
        <f aca="false">IF(E258&lt;&gt;"",E258,IF(U258,"Present",IF(C258="Holiday","Holiday","Weekend")))</f>
        <v>Present</v>
      </c>
      <c r="L258" s="34" t="n">
        <f aca="false">IF(OR(K258="Present",K258="Manual Work",K258="Partial Vacation",K258="Partial Sick Leave"),IF(ISNUMBER(F258),F258,IF(AND(K258="Present",U258),Settings!$B$6,"")),"")</f>
        <v>0.333333333333333</v>
      </c>
      <c r="M258" s="34" t="n">
        <f aca="false">IF(OR(K258="Present",K258="Manual Work",K258="Partial Vacation",K258="Partial Sick Leave"),IF(ISNUMBER(G258),G258,IF(AND(K258="Present",U258),V258,"")),"")</f>
        <v>0.6875</v>
      </c>
      <c r="N258" s="14" t="n">
        <f aca="false">IF(AND(ISNUMBER(L258),ISNUMBER(M258)),MAX(0,(M258-L258)*24),0)</f>
        <v>8.5</v>
      </c>
      <c r="O258" s="14" t="n">
        <f aca="false">IF(NOT(U258),0,IF(K258="Vacation",IF(C258="Eve",Settings!$B$9*Settings!$B$11,W258),IF(K258="Partial Vacation",IF(AND(ISNUMBER(H258),ISNUMBER(I258)),MAX(0,(I258-H258)*24),0),0)))</f>
        <v>0</v>
      </c>
      <c r="P258" s="14" t="n">
        <f aca="false">IF(NOT(U258),0,IF(K258="Sick Leave",W258,IF(K258="Partial Sick Leave",IF(AND(ISNUMBER(H258),ISNUMBER(I258)),MAX(0,(I258-H258)*24),0),0)))</f>
        <v>0</v>
      </c>
      <c r="Q258" s="14" t="n">
        <f aca="false">IF(NOT(U258),0,IF(K258="Vacation",IF(C258="Eve",Settings!$B$11,1),IF(K258="Partial Vacation",O258/Settings!$B$9,0)))</f>
        <v>0</v>
      </c>
      <c r="R258" s="14" t="n">
        <f aca="false">IF(NOT(U258),0,IF(K258="Sick Leave",1,IF(K258="Partial Sick Leave",P258/Settings!$B$9,0)))</f>
        <v>0</v>
      </c>
      <c r="S258" s="35" t="str">
        <f aca="false">IF(AND(OR(E258="Vacation",E258="Sick Leave",E258="Partial Vacation",E258="Partial Sick Leave"),NOT(U258)),"Leave not allowed on this day",IF(AND(E258="Manual Work",OR(NOT(ISNUMBER(F258)),NOT(ISNUMBER(G258)))),"Enter start and end",IF(AND(OR(E258="Partial Vacation",E258="Partial Sick Leave"),OR(NOT(ISNUMBER(H258)),NOT(ISNUMBER(I258)))),"Enter leave from and to",IF(AND(ISNUMBER(F258),ISNUMBER(G258),G258&lt;=F258),"End is before start",IF(AND(ISNUMBER(H258),ISNUMBER(I258),I258&lt;=H258),"Leave end is before start",IF(AND(ISNUMBER(F258),ISNUMBER(G258),ISNUMBER(H258),ISNUMBER(I258),F258&lt;I258,H258&lt;G258),"Work and leave hours overlap",IF(AND(E258&lt;&gt;"",WEEKDAY(A258)=7),"Saturday - administrator only","")))))))</f>
        <v/>
      </c>
      <c r="T258" s="36" t="n">
        <f aca="false">MONTH(A258)</f>
        <v>9</v>
      </c>
      <c r="U258" s="37" t="b">
        <f aca="false">OR(C258="Workday",C258="Eve")</f>
        <v>1</v>
      </c>
      <c r="V258" s="34" t="n">
        <f aca="false">IF(C258="Eve",Settings!$B$8,Settings!$B$7)</f>
        <v>0.6875</v>
      </c>
      <c r="W258" s="14" t="n">
        <f aca="false">IF(U258,(V258-Settings!$B$6)*24,0)</f>
        <v>8.5</v>
      </c>
    </row>
    <row r="259" customFormat="false" ht="15" hidden="false" customHeight="false" outlineLevel="0" collapsed="false">
      <c r="A259" s="29" t="n">
        <v>46275</v>
      </c>
      <c r="B259" s="30" t="str">
        <f aca="false">CHOOSE(WEEKDAY(A259),"Sun","Mon","Tue","Wed","Thu","Fri","Sat")</f>
        <v>Thu</v>
      </c>
      <c r="C259" s="30" t="str">
        <f aca="false">IF(IFERROR(INDEX(Holidays!$D$5:$D$60,MATCH(A259,Holidays!$A$5:$A$60,0)),"")="Holiday","Holiday",IF(WEEKDAY(A259)&gt;=6,"Weekend",IF(IFERROR(INDEX(Holidays!$D$5:$D$60,MATCH(A259,Holidays!$A$5:$A$60,0)),"")="Eve","Eve","Workday")))</f>
        <v>Workday</v>
      </c>
      <c r="D259" s="18" t="str">
        <f aca="false">IFERROR(INDEX(Holidays!$C$5:$C$60,MATCH(A259,Holidays!$A$5:$A$60,0)),"")</f>
        <v/>
      </c>
      <c r="E259" s="31"/>
      <c r="F259" s="32"/>
      <c r="G259" s="32"/>
      <c r="H259" s="32"/>
      <c r="I259" s="32"/>
      <c r="J259" s="31"/>
      <c r="K259" s="33" t="str">
        <f aca="false">IF(E259&lt;&gt;"",E259,IF(U259,"Present",IF(C259="Holiday","Holiday","Weekend")))</f>
        <v>Present</v>
      </c>
      <c r="L259" s="34" t="n">
        <f aca="false">IF(OR(K259="Present",K259="Manual Work",K259="Partial Vacation",K259="Partial Sick Leave"),IF(ISNUMBER(F259),F259,IF(AND(K259="Present",U259),Settings!$B$6,"")),"")</f>
        <v>0.333333333333333</v>
      </c>
      <c r="M259" s="34" t="n">
        <f aca="false">IF(OR(K259="Present",K259="Manual Work",K259="Partial Vacation",K259="Partial Sick Leave"),IF(ISNUMBER(G259),G259,IF(AND(K259="Present",U259),V259,"")),"")</f>
        <v>0.6875</v>
      </c>
      <c r="N259" s="14" t="n">
        <f aca="false">IF(AND(ISNUMBER(L259),ISNUMBER(M259)),MAX(0,(M259-L259)*24),0)</f>
        <v>8.5</v>
      </c>
      <c r="O259" s="14" t="n">
        <f aca="false">IF(NOT(U259),0,IF(K259="Vacation",IF(C259="Eve",Settings!$B$9*Settings!$B$11,W259),IF(K259="Partial Vacation",IF(AND(ISNUMBER(H259),ISNUMBER(I259)),MAX(0,(I259-H259)*24),0),0)))</f>
        <v>0</v>
      </c>
      <c r="P259" s="14" t="n">
        <f aca="false">IF(NOT(U259),0,IF(K259="Sick Leave",W259,IF(K259="Partial Sick Leave",IF(AND(ISNUMBER(H259),ISNUMBER(I259)),MAX(0,(I259-H259)*24),0),0)))</f>
        <v>0</v>
      </c>
      <c r="Q259" s="14" t="n">
        <f aca="false">IF(NOT(U259),0,IF(K259="Vacation",IF(C259="Eve",Settings!$B$11,1),IF(K259="Partial Vacation",O259/Settings!$B$9,0)))</f>
        <v>0</v>
      </c>
      <c r="R259" s="14" t="n">
        <f aca="false">IF(NOT(U259),0,IF(K259="Sick Leave",1,IF(K259="Partial Sick Leave",P259/Settings!$B$9,0)))</f>
        <v>0</v>
      </c>
      <c r="S259" s="35" t="str">
        <f aca="false">IF(AND(OR(E259="Vacation",E259="Sick Leave",E259="Partial Vacation",E259="Partial Sick Leave"),NOT(U259)),"Leave not allowed on this day",IF(AND(E259="Manual Work",OR(NOT(ISNUMBER(F259)),NOT(ISNUMBER(G259)))),"Enter start and end",IF(AND(OR(E259="Partial Vacation",E259="Partial Sick Leave"),OR(NOT(ISNUMBER(H259)),NOT(ISNUMBER(I259)))),"Enter leave from and to",IF(AND(ISNUMBER(F259),ISNUMBER(G259),G259&lt;=F259),"End is before start",IF(AND(ISNUMBER(H259),ISNUMBER(I259),I259&lt;=H259),"Leave end is before start",IF(AND(ISNUMBER(F259),ISNUMBER(G259),ISNUMBER(H259),ISNUMBER(I259),F259&lt;I259,H259&lt;G259),"Work and leave hours overlap",IF(AND(E259&lt;&gt;"",WEEKDAY(A259)=7),"Saturday - administrator only","")))))))</f>
        <v/>
      </c>
      <c r="T259" s="36" t="n">
        <f aca="false">MONTH(A259)</f>
        <v>9</v>
      </c>
      <c r="U259" s="37" t="b">
        <f aca="false">OR(C259="Workday",C259="Eve")</f>
        <v>1</v>
      </c>
      <c r="V259" s="34" t="n">
        <f aca="false">IF(C259="Eve",Settings!$B$8,Settings!$B$7)</f>
        <v>0.6875</v>
      </c>
      <c r="W259" s="14" t="n">
        <f aca="false">IF(U259,(V259-Settings!$B$6)*24,0)</f>
        <v>8.5</v>
      </c>
    </row>
    <row r="260" customFormat="false" ht="15" hidden="false" customHeight="false" outlineLevel="0" collapsed="false">
      <c r="A260" s="29" t="n">
        <v>46276</v>
      </c>
      <c r="B260" s="30" t="str">
        <f aca="false">CHOOSE(WEEKDAY(A260),"Sun","Mon","Tue","Wed","Thu","Fri","Sat")</f>
        <v>Fri</v>
      </c>
      <c r="C260" s="30" t="str">
        <f aca="false">IF(IFERROR(INDEX(Holidays!$D$5:$D$60,MATCH(A260,Holidays!$A$5:$A$60,0)),"")="Holiday","Holiday",IF(WEEKDAY(A260)&gt;=6,"Weekend",IF(IFERROR(INDEX(Holidays!$D$5:$D$60,MATCH(A260,Holidays!$A$5:$A$60,0)),"")="Eve","Eve","Workday")))</f>
        <v>Weekend</v>
      </c>
      <c r="D260" s="18" t="str">
        <f aca="false">IFERROR(INDEX(Holidays!$C$5:$C$60,MATCH(A260,Holidays!$A$5:$A$60,0)),"")</f>
        <v>Erev Rosh Hashana</v>
      </c>
      <c r="E260" s="31"/>
      <c r="F260" s="32"/>
      <c r="G260" s="32"/>
      <c r="H260" s="32"/>
      <c r="I260" s="32"/>
      <c r="J260" s="31"/>
      <c r="K260" s="33" t="str">
        <f aca="false">IF(E260&lt;&gt;"",E260,IF(U260,"Present",IF(C260="Holiday","Holiday","Weekend")))</f>
        <v>Weekend</v>
      </c>
      <c r="L260" s="34" t="str">
        <f aca="false">IF(OR(K260="Present",K260="Manual Work",K260="Partial Vacation",K260="Partial Sick Leave"),IF(ISNUMBER(F260),F260,IF(AND(K260="Present",U260),Settings!$B$6,"")),"")</f>
        <v/>
      </c>
      <c r="M260" s="34" t="str">
        <f aca="false">IF(OR(K260="Present",K260="Manual Work",K260="Partial Vacation",K260="Partial Sick Leave"),IF(ISNUMBER(G260),G260,IF(AND(K260="Present",U260),V260,"")),"")</f>
        <v/>
      </c>
      <c r="N260" s="14" t="n">
        <f aca="false">IF(AND(ISNUMBER(L260),ISNUMBER(M260)),MAX(0,(M260-L260)*24),0)</f>
        <v>0</v>
      </c>
      <c r="O260" s="14" t="n">
        <f aca="false">IF(NOT(U260),0,IF(K260="Vacation",IF(C260="Eve",Settings!$B$9*Settings!$B$11,W260),IF(K260="Partial Vacation",IF(AND(ISNUMBER(H260),ISNUMBER(I260)),MAX(0,(I260-H260)*24),0),0)))</f>
        <v>0</v>
      </c>
      <c r="P260" s="14" t="n">
        <f aca="false">IF(NOT(U260),0,IF(K260="Sick Leave",W260,IF(K260="Partial Sick Leave",IF(AND(ISNUMBER(H260),ISNUMBER(I260)),MAX(0,(I260-H260)*24),0),0)))</f>
        <v>0</v>
      </c>
      <c r="Q260" s="14" t="n">
        <f aca="false">IF(NOT(U260),0,IF(K260="Vacation",IF(C260="Eve",Settings!$B$11,1),IF(K260="Partial Vacation",O260/Settings!$B$9,0)))</f>
        <v>0</v>
      </c>
      <c r="R260" s="14" t="n">
        <f aca="false">IF(NOT(U260),0,IF(K260="Sick Leave",1,IF(K260="Partial Sick Leave",P260/Settings!$B$9,0)))</f>
        <v>0</v>
      </c>
      <c r="S260" s="35" t="str">
        <f aca="false">IF(AND(OR(E260="Vacation",E260="Sick Leave",E260="Partial Vacation",E260="Partial Sick Leave"),NOT(U260)),"Leave not allowed on this day",IF(AND(E260="Manual Work",OR(NOT(ISNUMBER(F260)),NOT(ISNUMBER(G260)))),"Enter start and end",IF(AND(OR(E260="Partial Vacation",E260="Partial Sick Leave"),OR(NOT(ISNUMBER(H260)),NOT(ISNUMBER(I260)))),"Enter leave from and to",IF(AND(ISNUMBER(F260),ISNUMBER(G260),G260&lt;=F260),"End is before start",IF(AND(ISNUMBER(H260),ISNUMBER(I260),I260&lt;=H260),"Leave end is before start",IF(AND(ISNUMBER(F260),ISNUMBER(G260),ISNUMBER(H260),ISNUMBER(I260),F260&lt;I260,H260&lt;G260),"Work and leave hours overlap",IF(AND(E260&lt;&gt;"",WEEKDAY(A260)=7),"Saturday - administrator only","")))))))</f>
        <v/>
      </c>
      <c r="T260" s="36" t="n">
        <f aca="false">MONTH(A260)</f>
        <v>9</v>
      </c>
      <c r="U260" s="37" t="b">
        <f aca="false">OR(C260="Workday",C260="Eve")</f>
        <v>0</v>
      </c>
      <c r="V260" s="34" t="n">
        <f aca="false">IF(C260="Eve",Settings!$B$8,Settings!$B$7)</f>
        <v>0.6875</v>
      </c>
      <c r="W260" s="14" t="n">
        <f aca="false">IF(U260,(V260-Settings!$B$6)*24,0)</f>
        <v>0</v>
      </c>
    </row>
    <row r="261" customFormat="false" ht="15" hidden="false" customHeight="false" outlineLevel="0" collapsed="false">
      <c r="A261" s="29" t="n">
        <v>46277</v>
      </c>
      <c r="B261" s="30" t="str">
        <f aca="false">CHOOSE(WEEKDAY(A261),"Sun","Mon","Tue","Wed","Thu","Fri","Sat")</f>
        <v>Sat</v>
      </c>
      <c r="C261" s="30" t="str">
        <f aca="false">IF(IFERROR(INDEX(Holidays!$D$5:$D$60,MATCH(A261,Holidays!$A$5:$A$60,0)),"")="Holiday","Holiday",IF(WEEKDAY(A261)&gt;=6,"Weekend",IF(IFERROR(INDEX(Holidays!$D$5:$D$60,MATCH(A261,Holidays!$A$5:$A$60,0)),"")="Eve","Eve","Workday")))</f>
        <v>Holiday</v>
      </c>
      <c r="D261" s="18" t="str">
        <f aca="false">IFERROR(INDEX(Holidays!$C$5:$C$60,MATCH(A261,Holidays!$A$5:$A$60,0)),"")</f>
        <v>Rosh Hashana</v>
      </c>
      <c r="E261" s="31"/>
      <c r="F261" s="32"/>
      <c r="G261" s="32"/>
      <c r="H261" s="32"/>
      <c r="I261" s="32"/>
      <c r="J261" s="31"/>
      <c r="K261" s="33" t="str">
        <f aca="false">IF(E261&lt;&gt;"",E261,IF(U261,"Present",IF(C261="Holiday","Holiday","Weekend")))</f>
        <v>Holiday</v>
      </c>
      <c r="L261" s="34" t="str">
        <f aca="false">IF(OR(K261="Present",K261="Manual Work",K261="Partial Vacation",K261="Partial Sick Leave"),IF(ISNUMBER(F261),F261,IF(AND(K261="Present",U261),Settings!$B$6,"")),"")</f>
        <v/>
      </c>
      <c r="M261" s="34" t="str">
        <f aca="false">IF(OR(K261="Present",K261="Manual Work",K261="Partial Vacation",K261="Partial Sick Leave"),IF(ISNUMBER(G261),G261,IF(AND(K261="Present",U261),V261,"")),"")</f>
        <v/>
      </c>
      <c r="N261" s="14" t="n">
        <f aca="false">IF(AND(ISNUMBER(L261),ISNUMBER(M261)),MAX(0,(M261-L261)*24),0)</f>
        <v>0</v>
      </c>
      <c r="O261" s="14" t="n">
        <f aca="false">IF(NOT(U261),0,IF(K261="Vacation",IF(C261="Eve",Settings!$B$9*Settings!$B$11,W261),IF(K261="Partial Vacation",IF(AND(ISNUMBER(H261),ISNUMBER(I261)),MAX(0,(I261-H261)*24),0),0)))</f>
        <v>0</v>
      </c>
      <c r="P261" s="14" t="n">
        <f aca="false">IF(NOT(U261),0,IF(K261="Sick Leave",W261,IF(K261="Partial Sick Leave",IF(AND(ISNUMBER(H261),ISNUMBER(I261)),MAX(0,(I261-H261)*24),0),0)))</f>
        <v>0</v>
      </c>
      <c r="Q261" s="14" t="n">
        <f aca="false">IF(NOT(U261),0,IF(K261="Vacation",IF(C261="Eve",Settings!$B$11,1),IF(K261="Partial Vacation",O261/Settings!$B$9,0)))</f>
        <v>0</v>
      </c>
      <c r="R261" s="14" t="n">
        <f aca="false">IF(NOT(U261),0,IF(K261="Sick Leave",1,IF(K261="Partial Sick Leave",P261/Settings!$B$9,0)))</f>
        <v>0</v>
      </c>
      <c r="S261" s="35" t="str">
        <f aca="false">IF(AND(OR(E261="Vacation",E261="Sick Leave",E261="Partial Vacation",E261="Partial Sick Leave"),NOT(U261)),"Leave not allowed on this day",IF(AND(E261="Manual Work",OR(NOT(ISNUMBER(F261)),NOT(ISNUMBER(G261)))),"Enter start and end",IF(AND(OR(E261="Partial Vacation",E261="Partial Sick Leave"),OR(NOT(ISNUMBER(H261)),NOT(ISNUMBER(I261)))),"Enter leave from and to",IF(AND(ISNUMBER(F261),ISNUMBER(G261),G261&lt;=F261),"End is before start",IF(AND(ISNUMBER(H261),ISNUMBER(I261),I261&lt;=H261),"Leave end is before start",IF(AND(ISNUMBER(F261),ISNUMBER(G261),ISNUMBER(H261),ISNUMBER(I261),F261&lt;I261,H261&lt;G261),"Work and leave hours overlap",IF(AND(E261&lt;&gt;"",WEEKDAY(A261)=7),"Saturday - administrator only","")))))))</f>
        <v/>
      </c>
      <c r="T261" s="36" t="n">
        <f aca="false">MONTH(A261)</f>
        <v>9</v>
      </c>
      <c r="U261" s="37" t="b">
        <f aca="false">OR(C261="Workday",C261="Eve")</f>
        <v>0</v>
      </c>
      <c r="V261" s="34" t="n">
        <f aca="false">IF(C261="Eve",Settings!$B$8,Settings!$B$7)</f>
        <v>0.6875</v>
      </c>
      <c r="W261" s="14" t="n">
        <f aca="false">IF(U261,(V261-Settings!$B$6)*24,0)</f>
        <v>0</v>
      </c>
    </row>
    <row r="262" customFormat="false" ht="15" hidden="false" customHeight="false" outlineLevel="0" collapsed="false">
      <c r="A262" s="29" t="n">
        <v>46278</v>
      </c>
      <c r="B262" s="30" t="str">
        <f aca="false">CHOOSE(WEEKDAY(A262),"Sun","Mon","Tue","Wed","Thu","Fri","Sat")</f>
        <v>Sun</v>
      </c>
      <c r="C262" s="30" t="str">
        <f aca="false">IF(IFERROR(INDEX(Holidays!$D$5:$D$60,MATCH(A262,Holidays!$A$5:$A$60,0)),"")="Holiday","Holiday",IF(WEEKDAY(A262)&gt;=6,"Weekend",IF(IFERROR(INDEX(Holidays!$D$5:$D$60,MATCH(A262,Holidays!$A$5:$A$60,0)),"")="Eve","Eve","Workday")))</f>
        <v>Holiday</v>
      </c>
      <c r="D262" s="18" t="str">
        <f aca="false">IFERROR(INDEX(Holidays!$C$5:$C$60,MATCH(A262,Holidays!$A$5:$A$60,0)),"")</f>
        <v>Rosh Hashana (second day)</v>
      </c>
      <c r="E262" s="31"/>
      <c r="F262" s="32"/>
      <c r="G262" s="32"/>
      <c r="H262" s="32"/>
      <c r="I262" s="32"/>
      <c r="J262" s="31"/>
      <c r="K262" s="33" t="str">
        <f aca="false">IF(E262&lt;&gt;"",E262,IF(U262,"Present",IF(C262="Holiday","Holiday","Weekend")))</f>
        <v>Holiday</v>
      </c>
      <c r="L262" s="34" t="str">
        <f aca="false">IF(OR(K262="Present",K262="Manual Work",K262="Partial Vacation",K262="Partial Sick Leave"),IF(ISNUMBER(F262),F262,IF(AND(K262="Present",U262),Settings!$B$6,"")),"")</f>
        <v/>
      </c>
      <c r="M262" s="34" t="str">
        <f aca="false">IF(OR(K262="Present",K262="Manual Work",K262="Partial Vacation",K262="Partial Sick Leave"),IF(ISNUMBER(G262),G262,IF(AND(K262="Present",U262),V262,"")),"")</f>
        <v/>
      </c>
      <c r="N262" s="14" t="n">
        <f aca="false">IF(AND(ISNUMBER(L262),ISNUMBER(M262)),MAX(0,(M262-L262)*24),0)</f>
        <v>0</v>
      </c>
      <c r="O262" s="14" t="n">
        <f aca="false">IF(NOT(U262),0,IF(K262="Vacation",IF(C262="Eve",Settings!$B$9*Settings!$B$11,W262),IF(K262="Partial Vacation",IF(AND(ISNUMBER(H262),ISNUMBER(I262)),MAX(0,(I262-H262)*24),0),0)))</f>
        <v>0</v>
      </c>
      <c r="P262" s="14" t="n">
        <f aca="false">IF(NOT(U262),0,IF(K262="Sick Leave",W262,IF(K262="Partial Sick Leave",IF(AND(ISNUMBER(H262),ISNUMBER(I262)),MAX(0,(I262-H262)*24),0),0)))</f>
        <v>0</v>
      </c>
      <c r="Q262" s="14" t="n">
        <f aca="false">IF(NOT(U262),0,IF(K262="Vacation",IF(C262="Eve",Settings!$B$11,1),IF(K262="Partial Vacation",O262/Settings!$B$9,0)))</f>
        <v>0</v>
      </c>
      <c r="R262" s="14" t="n">
        <f aca="false">IF(NOT(U262),0,IF(K262="Sick Leave",1,IF(K262="Partial Sick Leave",P262/Settings!$B$9,0)))</f>
        <v>0</v>
      </c>
      <c r="S262" s="35" t="str">
        <f aca="false">IF(AND(OR(E262="Vacation",E262="Sick Leave",E262="Partial Vacation",E262="Partial Sick Leave"),NOT(U262)),"Leave not allowed on this day",IF(AND(E262="Manual Work",OR(NOT(ISNUMBER(F262)),NOT(ISNUMBER(G262)))),"Enter start and end",IF(AND(OR(E262="Partial Vacation",E262="Partial Sick Leave"),OR(NOT(ISNUMBER(H262)),NOT(ISNUMBER(I262)))),"Enter leave from and to",IF(AND(ISNUMBER(F262),ISNUMBER(G262),G262&lt;=F262),"End is before start",IF(AND(ISNUMBER(H262),ISNUMBER(I262),I262&lt;=H262),"Leave end is before start",IF(AND(ISNUMBER(F262),ISNUMBER(G262),ISNUMBER(H262),ISNUMBER(I262),F262&lt;I262,H262&lt;G262),"Work and leave hours overlap",IF(AND(E262&lt;&gt;"",WEEKDAY(A262)=7),"Saturday - administrator only","")))))))</f>
        <v/>
      </c>
      <c r="T262" s="36" t="n">
        <f aca="false">MONTH(A262)</f>
        <v>9</v>
      </c>
      <c r="U262" s="37" t="b">
        <f aca="false">OR(C262="Workday",C262="Eve")</f>
        <v>0</v>
      </c>
      <c r="V262" s="34" t="n">
        <f aca="false">IF(C262="Eve",Settings!$B$8,Settings!$B$7)</f>
        <v>0.6875</v>
      </c>
      <c r="W262" s="14" t="n">
        <f aca="false">IF(U262,(V262-Settings!$B$6)*24,0)</f>
        <v>0</v>
      </c>
    </row>
    <row r="263" customFormat="false" ht="15" hidden="false" customHeight="false" outlineLevel="0" collapsed="false">
      <c r="A263" s="29" t="n">
        <v>46279</v>
      </c>
      <c r="B263" s="30" t="str">
        <f aca="false">CHOOSE(WEEKDAY(A263),"Sun","Mon","Tue","Wed","Thu","Fri","Sat")</f>
        <v>Mon</v>
      </c>
      <c r="C263" s="30" t="str">
        <f aca="false">IF(IFERROR(INDEX(Holidays!$D$5:$D$60,MATCH(A263,Holidays!$A$5:$A$60,0)),"")="Holiday","Holiday",IF(WEEKDAY(A263)&gt;=6,"Weekend",IF(IFERROR(INDEX(Holidays!$D$5:$D$60,MATCH(A263,Holidays!$A$5:$A$60,0)),"")="Eve","Eve","Workday")))</f>
        <v>Workday</v>
      </c>
      <c r="D263" s="18" t="str">
        <f aca="false">IFERROR(INDEX(Holidays!$C$5:$C$60,MATCH(A263,Holidays!$A$5:$A$60,0)),"")</f>
        <v/>
      </c>
      <c r="E263" s="31"/>
      <c r="F263" s="32"/>
      <c r="G263" s="32"/>
      <c r="H263" s="32"/>
      <c r="I263" s="32"/>
      <c r="J263" s="31"/>
      <c r="K263" s="33" t="str">
        <f aca="false">IF(E263&lt;&gt;"",E263,IF(U263,"Present",IF(C263="Holiday","Holiday","Weekend")))</f>
        <v>Present</v>
      </c>
      <c r="L263" s="34" t="n">
        <f aca="false">IF(OR(K263="Present",K263="Manual Work",K263="Partial Vacation",K263="Partial Sick Leave"),IF(ISNUMBER(F263),F263,IF(AND(K263="Present",U263),Settings!$B$6,"")),"")</f>
        <v>0.333333333333333</v>
      </c>
      <c r="M263" s="34" t="n">
        <f aca="false">IF(OR(K263="Present",K263="Manual Work",K263="Partial Vacation",K263="Partial Sick Leave"),IF(ISNUMBER(G263),G263,IF(AND(K263="Present",U263),V263,"")),"")</f>
        <v>0.6875</v>
      </c>
      <c r="N263" s="14" t="n">
        <f aca="false">IF(AND(ISNUMBER(L263),ISNUMBER(M263)),MAX(0,(M263-L263)*24),0)</f>
        <v>8.5</v>
      </c>
      <c r="O263" s="14" t="n">
        <f aca="false">IF(NOT(U263),0,IF(K263="Vacation",IF(C263="Eve",Settings!$B$9*Settings!$B$11,W263),IF(K263="Partial Vacation",IF(AND(ISNUMBER(H263),ISNUMBER(I263)),MAX(0,(I263-H263)*24),0),0)))</f>
        <v>0</v>
      </c>
      <c r="P263" s="14" t="n">
        <f aca="false">IF(NOT(U263),0,IF(K263="Sick Leave",W263,IF(K263="Partial Sick Leave",IF(AND(ISNUMBER(H263),ISNUMBER(I263)),MAX(0,(I263-H263)*24),0),0)))</f>
        <v>0</v>
      </c>
      <c r="Q263" s="14" t="n">
        <f aca="false">IF(NOT(U263),0,IF(K263="Vacation",IF(C263="Eve",Settings!$B$11,1),IF(K263="Partial Vacation",O263/Settings!$B$9,0)))</f>
        <v>0</v>
      </c>
      <c r="R263" s="14" t="n">
        <f aca="false">IF(NOT(U263),0,IF(K263="Sick Leave",1,IF(K263="Partial Sick Leave",P263/Settings!$B$9,0)))</f>
        <v>0</v>
      </c>
      <c r="S263" s="35" t="str">
        <f aca="false">IF(AND(OR(E263="Vacation",E263="Sick Leave",E263="Partial Vacation",E263="Partial Sick Leave"),NOT(U263)),"Leave not allowed on this day",IF(AND(E263="Manual Work",OR(NOT(ISNUMBER(F263)),NOT(ISNUMBER(G263)))),"Enter start and end",IF(AND(OR(E263="Partial Vacation",E263="Partial Sick Leave"),OR(NOT(ISNUMBER(H263)),NOT(ISNUMBER(I263)))),"Enter leave from and to",IF(AND(ISNUMBER(F263),ISNUMBER(G263),G263&lt;=F263),"End is before start",IF(AND(ISNUMBER(H263),ISNUMBER(I263),I263&lt;=H263),"Leave end is before start",IF(AND(ISNUMBER(F263),ISNUMBER(G263),ISNUMBER(H263),ISNUMBER(I263),F263&lt;I263,H263&lt;G263),"Work and leave hours overlap",IF(AND(E263&lt;&gt;"",WEEKDAY(A263)=7),"Saturday - administrator only","")))))))</f>
        <v/>
      </c>
      <c r="T263" s="36" t="n">
        <f aca="false">MONTH(A263)</f>
        <v>9</v>
      </c>
      <c r="U263" s="37" t="b">
        <f aca="false">OR(C263="Workday",C263="Eve")</f>
        <v>1</v>
      </c>
      <c r="V263" s="34" t="n">
        <f aca="false">IF(C263="Eve",Settings!$B$8,Settings!$B$7)</f>
        <v>0.6875</v>
      </c>
      <c r="W263" s="14" t="n">
        <f aca="false">IF(U263,(V263-Settings!$B$6)*24,0)</f>
        <v>8.5</v>
      </c>
    </row>
    <row r="264" customFormat="false" ht="15" hidden="false" customHeight="false" outlineLevel="0" collapsed="false">
      <c r="A264" s="29" t="n">
        <v>46280</v>
      </c>
      <c r="B264" s="30" t="str">
        <f aca="false">CHOOSE(WEEKDAY(A264),"Sun","Mon","Tue","Wed","Thu","Fri","Sat")</f>
        <v>Tue</v>
      </c>
      <c r="C264" s="30" t="str">
        <f aca="false">IF(IFERROR(INDEX(Holidays!$D$5:$D$60,MATCH(A264,Holidays!$A$5:$A$60,0)),"")="Holiday","Holiday",IF(WEEKDAY(A264)&gt;=6,"Weekend",IF(IFERROR(INDEX(Holidays!$D$5:$D$60,MATCH(A264,Holidays!$A$5:$A$60,0)),"")="Eve","Eve","Workday")))</f>
        <v>Workday</v>
      </c>
      <c r="D264" s="18" t="str">
        <f aca="false">IFERROR(INDEX(Holidays!$C$5:$C$60,MATCH(A264,Holidays!$A$5:$A$60,0)),"")</f>
        <v/>
      </c>
      <c r="E264" s="31"/>
      <c r="F264" s="32"/>
      <c r="G264" s="32"/>
      <c r="H264" s="32"/>
      <c r="I264" s="32"/>
      <c r="J264" s="31"/>
      <c r="K264" s="33" t="str">
        <f aca="false">IF(E264&lt;&gt;"",E264,IF(U264,"Present",IF(C264="Holiday","Holiday","Weekend")))</f>
        <v>Present</v>
      </c>
      <c r="L264" s="34" t="n">
        <f aca="false">IF(OR(K264="Present",K264="Manual Work",K264="Partial Vacation",K264="Partial Sick Leave"),IF(ISNUMBER(F264),F264,IF(AND(K264="Present",U264),Settings!$B$6,"")),"")</f>
        <v>0.333333333333333</v>
      </c>
      <c r="M264" s="34" t="n">
        <f aca="false">IF(OR(K264="Present",K264="Manual Work",K264="Partial Vacation",K264="Partial Sick Leave"),IF(ISNUMBER(G264),G264,IF(AND(K264="Present",U264),V264,"")),"")</f>
        <v>0.6875</v>
      </c>
      <c r="N264" s="14" t="n">
        <f aca="false">IF(AND(ISNUMBER(L264),ISNUMBER(M264)),MAX(0,(M264-L264)*24),0)</f>
        <v>8.5</v>
      </c>
      <c r="O264" s="14" t="n">
        <f aca="false">IF(NOT(U264),0,IF(K264="Vacation",IF(C264="Eve",Settings!$B$9*Settings!$B$11,W264),IF(K264="Partial Vacation",IF(AND(ISNUMBER(H264),ISNUMBER(I264)),MAX(0,(I264-H264)*24),0),0)))</f>
        <v>0</v>
      </c>
      <c r="P264" s="14" t="n">
        <f aca="false">IF(NOT(U264),0,IF(K264="Sick Leave",W264,IF(K264="Partial Sick Leave",IF(AND(ISNUMBER(H264),ISNUMBER(I264)),MAX(0,(I264-H264)*24),0),0)))</f>
        <v>0</v>
      </c>
      <c r="Q264" s="14" t="n">
        <f aca="false">IF(NOT(U264),0,IF(K264="Vacation",IF(C264="Eve",Settings!$B$11,1),IF(K264="Partial Vacation",O264/Settings!$B$9,0)))</f>
        <v>0</v>
      </c>
      <c r="R264" s="14" t="n">
        <f aca="false">IF(NOT(U264),0,IF(K264="Sick Leave",1,IF(K264="Partial Sick Leave",P264/Settings!$B$9,0)))</f>
        <v>0</v>
      </c>
      <c r="S264" s="35" t="str">
        <f aca="false">IF(AND(OR(E264="Vacation",E264="Sick Leave",E264="Partial Vacation",E264="Partial Sick Leave"),NOT(U264)),"Leave not allowed on this day",IF(AND(E264="Manual Work",OR(NOT(ISNUMBER(F264)),NOT(ISNUMBER(G264)))),"Enter start and end",IF(AND(OR(E264="Partial Vacation",E264="Partial Sick Leave"),OR(NOT(ISNUMBER(H264)),NOT(ISNUMBER(I264)))),"Enter leave from and to",IF(AND(ISNUMBER(F264),ISNUMBER(G264),G264&lt;=F264),"End is before start",IF(AND(ISNUMBER(H264),ISNUMBER(I264),I264&lt;=H264),"Leave end is before start",IF(AND(ISNUMBER(F264),ISNUMBER(G264),ISNUMBER(H264),ISNUMBER(I264),F264&lt;I264,H264&lt;G264),"Work and leave hours overlap",IF(AND(E264&lt;&gt;"",WEEKDAY(A264)=7),"Saturday - administrator only","")))))))</f>
        <v/>
      </c>
      <c r="T264" s="36" t="n">
        <f aca="false">MONTH(A264)</f>
        <v>9</v>
      </c>
      <c r="U264" s="37" t="b">
        <f aca="false">OR(C264="Workday",C264="Eve")</f>
        <v>1</v>
      </c>
      <c r="V264" s="34" t="n">
        <f aca="false">IF(C264="Eve",Settings!$B$8,Settings!$B$7)</f>
        <v>0.6875</v>
      </c>
      <c r="W264" s="14" t="n">
        <f aca="false">IF(U264,(V264-Settings!$B$6)*24,0)</f>
        <v>8.5</v>
      </c>
    </row>
    <row r="265" customFormat="false" ht="15" hidden="false" customHeight="false" outlineLevel="0" collapsed="false">
      <c r="A265" s="29" t="n">
        <v>46281</v>
      </c>
      <c r="B265" s="30" t="str">
        <f aca="false">CHOOSE(WEEKDAY(A265),"Sun","Mon","Tue","Wed","Thu","Fri","Sat")</f>
        <v>Wed</v>
      </c>
      <c r="C265" s="30" t="str">
        <f aca="false">IF(IFERROR(INDEX(Holidays!$D$5:$D$60,MATCH(A265,Holidays!$A$5:$A$60,0)),"")="Holiday","Holiday",IF(WEEKDAY(A265)&gt;=6,"Weekend",IF(IFERROR(INDEX(Holidays!$D$5:$D$60,MATCH(A265,Holidays!$A$5:$A$60,0)),"")="Eve","Eve","Workday")))</f>
        <v>Workday</v>
      </c>
      <c r="D265" s="18" t="str">
        <f aca="false">IFERROR(INDEX(Holidays!$C$5:$C$60,MATCH(A265,Holidays!$A$5:$A$60,0)),"")</f>
        <v/>
      </c>
      <c r="E265" s="31"/>
      <c r="F265" s="32"/>
      <c r="G265" s="32"/>
      <c r="H265" s="32"/>
      <c r="I265" s="32"/>
      <c r="J265" s="31"/>
      <c r="K265" s="33" t="str">
        <f aca="false">IF(E265&lt;&gt;"",E265,IF(U265,"Present",IF(C265="Holiday","Holiday","Weekend")))</f>
        <v>Present</v>
      </c>
      <c r="L265" s="34" t="n">
        <f aca="false">IF(OR(K265="Present",K265="Manual Work",K265="Partial Vacation",K265="Partial Sick Leave"),IF(ISNUMBER(F265),F265,IF(AND(K265="Present",U265),Settings!$B$6,"")),"")</f>
        <v>0.333333333333333</v>
      </c>
      <c r="M265" s="34" t="n">
        <f aca="false">IF(OR(K265="Present",K265="Manual Work",K265="Partial Vacation",K265="Partial Sick Leave"),IF(ISNUMBER(G265),G265,IF(AND(K265="Present",U265),V265,"")),"")</f>
        <v>0.6875</v>
      </c>
      <c r="N265" s="14" t="n">
        <f aca="false">IF(AND(ISNUMBER(L265),ISNUMBER(M265)),MAX(0,(M265-L265)*24),0)</f>
        <v>8.5</v>
      </c>
      <c r="O265" s="14" t="n">
        <f aca="false">IF(NOT(U265),0,IF(K265="Vacation",IF(C265="Eve",Settings!$B$9*Settings!$B$11,W265),IF(K265="Partial Vacation",IF(AND(ISNUMBER(H265),ISNUMBER(I265)),MAX(0,(I265-H265)*24),0),0)))</f>
        <v>0</v>
      </c>
      <c r="P265" s="14" t="n">
        <f aca="false">IF(NOT(U265),0,IF(K265="Sick Leave",W265,IF(K265="Partial Sick Leave",IF(AND(ISNUMBER(H265),ISNUMBER(I265)),MAX(0,(I265-H265)*24),0),0)))</f>
        <v>0</v>
      </c>
      <c r="Q265" s="14" t="n">
        <f aca="false">IF(NOT(U265),0,IF(K265="Vacation",IF(C265="Eve",Settings!$B$11,1),IF(K265="Partial Vacation",O265/Settings!$B$9,0)))</f>
        <v>0</v>
      </c>
      <c r="R265" s="14" t="n">
        <f aca="false">IF(NOT(U265),0,IF(K265="Sick Leave",1,IF(K265="Partial Sick Leave",P265/Settings!$B$9,0)))</f>
        <v>0</v>
      </c>
      <c r="S265" s="35" t="str">
        <f aca="false">IF(AND(OR(E265="Vacation",E265="Sick Leave",E265="Partial Vacation",E265="Partial Sick Leave"),NOT(U265)),"Leave not allowed on this day",IF(AND(E265="Manual Work",OR(NOT(ISNUMBER(F265)),NOT(ISNUMBER(G265)))),"Enter start and end",IF(AND(OR(E265="Partial Vacation",E265="Partial Sick Leave"),OR(NOT(ISNUMBER(H265)),NOT(ISNUMBER(I265)))),"Enter leave from and to",IF(AND(ISNUMBER(F265),ISNUMBER(G265),G265&lt;=F265),"End is before start",IF(AND(ISNUMBER(H265),ISNUMBER(I265),I265&lt;=H265),"Leave end is before start",IF(AND(ISNUMBER(F265),ISNUMBER(G265),ISNUMBER(H265),ISNUMBER(I265),F265&lt;I265,H265&lt;G265),"Work and leave hours overlap",IF(AND(E265&lt;&gt;"",WEEKDAY(A265)=7),"Saturday - administrator only","")))))))</f>
        <v/>
      </c>
      <c r="T265" s="36" t="n">
        <f aca="false">MONTH(A265)</f>
        <v>9</v>
      </c>
      <c r="U265" s="37" t="b">
        <f aca="false">OR(C265="Workday",C265="Eve")</f>
        <v>1</v>
      </c>
      <c r="V265" s="34" t="n">
        <f aca="false">IF(C265="Eve",Settings!$B$8,Settings!$B$7)</f>
        <v>0.6875</v>
      </c>
      <c r="W265" s="14" t="n">
        <f aca="false">IF(U265,(V265-Settings!$B$6)*24,0)</f>
        <v>8.5</v>
      </c>
    </row>
    <row r="266" customFormat="false" ht="15" hidden="false" customHeight="false" outlineLevel="0" collapsed="false">
      <c r="A266" s="29" t="n">
        <v>46282</v>
      </c>
      <c r="B266" s="30" t="str">
        <f aca="false">CHOOSE(WEEKDAY(A266),"Sun","Mon","Tue","Wed","Thu","Fri","Sat")</f>
        <v>Thu</v>
      </c>
      <c r="C266" s="30" t="str">
        <f aca="false">IF(IFERROR(INDEX(Holidays!$D$5:$D$60,MATCH(A266,Holidays!$A$5:$A$60,0)),"")="Holiday","Holiday",IF(WEEKDAY(A266)&gt;=6,"Weekend",IF(IFERROR(INDEX(Holidays!$D$5:$D$60,MATCH(A266,Holidays!$A$5:$A$60,0)),"")="Eve","Eve","Workday")))</f>
        <v>Workday</v>
      </c>
      <c r="D266" s="18" t="str">
        <f aca="false">IFERROR(INDEX(Holidays!$C$5:$C$60,MATCH(A266,Holidays!$A$5:$A$60,0)),"")</f>
        <v/>
      </c>
      <c r="E266" s="31"/>
      <c r="F266" s="32"/>
      <c r="G266" s="32"/>
      <c r="H266" s="32"/>
      <c r="I266" s="32"/>
      <c r="J266" s="31"/>
      <c r="K266" s="33" t="str">
        <f aca="false">IF(E266&lt;&gt;"",E266,IF(U266,"Present",IF(C266="Holiday","Holiday","Weekend")))</f>
        <v>Present</v>
      </c>
      <c r="L266" s="34" t="n">
        <f aca="false">IF(OR(K266="Present",K266="Manual Work",K266="Partial Vacation",K266="Partial Sick Leave"),IF(ISNUMBER(F266),F266,IF(AND(K266="Present",U266),Settings!$B$6,"")),"")</f>
        <v>0.333333333333333</v>
      </c>
      <c r="M266" s="34" t="n">
        <f aca="false">IF(OR(K266="Present",K266="Manual Work",K266="Partial Vacation",K266="Partial Sick Leave"),IF(ISNUMBER(G266),G266,IF(AND(K266="Present",U266),V266,"")),"")</f>
        <v>0.6875</v>
      </c>
      <c r="N266" s="14" t="n">
        <f aca="false">IF(AND(ISNUMBER(L266),ISNUMBER(M266)),MAX(0,(M266-L266)*24),0)</f>
        <v>8.5</v>
      </c>
      <c r="O266" s="14" t="n">
        <f aca="false">IF(NOT(U266),0,IF(K266="Vacation",IF(C266="Eve",Settings!$B$9*Settings!$B$11,W266),IF(K266="Partial Vacation",IF(AND(ISNUMBER(H266),ISNUMBER(I266)),MAX(0,(I266-H266)*24),0),0)))</f>
        <v>0</v>
      </c>
      <c r="P266" s="14" t="n">
        <f aca="false">IF(NOT(U266),0,IF(K266="Sick Leave",W266,IF(K266="Partial Sick Leave",IF(AND(ISNUMBER(H266),ISNUMBER(I266)),MAX(0,(I266-H266)*24),0),0)))</f>
        <v>0</v>
      </c>
      <c r="Q266" s="14" t="n">
        <f aca="false">IF(NOT(U266),0,IF(K266="Vacation",IF(C266="Eve",Settings!$B$11,1),IF(K266="Partial Vacation",O266/Settings!$B$9,0)))</f>
        <v>0</v>
      </c>
      <c r="R266" s="14" t="n">
        <f aca="false">IF(NOT(U266),0,IF(K266="Sick Leave",1,IF(K266="Partial Sick Leave",P266/Settings!$B$9,0)))</f>
        <v>0</v>
      </c>
      <c r="S266" s="35" t="str">
        <f aca="false">IF(AND(OR(E266="Vacation",E266="Sick Leave",E266="Partial Vacation",E266="Partial Sick Leave"),NOT(U266)),"Leave not allowed on this day",IF(AND(E266="Manual Work",OR(NOT(ISNUMBER(F266)),NOT(ISNUMBER(G266)))),"Enter start and end",IF(AND(OR(E266="Partial Vacation",E266="Partial Sick Leave"),OR(NOT(ISNUMBER(H266)),NOT(ISNUMBER(I266)))),"Enter leave from and to",IF(AND(ISNUMBER(F266),ISNUMBER(G266),G266&lt;=F266),"End is before start",IF(AND(ISNUMBER(H266),ISNUMBER(I266),I266&lt;=H266),"Leave end is before start",IF(AND(ISNUMBER(F266),ISNUMBER(G266),ISNUMBER(H266),ISNUMBER(I266),F266&lt;I266,H266&lt;G266),"Work and leave hours overlap",IF(AND(E266&lt;&gt;"",WEEKDAY(A266)=7),"Saturday - administrator only","")))))))</f>
        <v/>
      </c>
      <c r="T266" s="36" t="n">
        <f aca="false">MONTH(A266)</f>
        <v>9</v>
      </c>
      <c r="U266" s="37" t="b">
        <f aca="false">OR(C266="Workday",C266="Eve")</f>
        <v>1</v>
      </c>
      <c r="V266" s="34" t="n">
        <f aca="false">IF(C266="Eve",Settings!$B$8,Settings!$B$7)</f>
        <v>0.6875</v>
      </c>
      <c r="W266" s="14" t="n">
        <f aca="false">IF(U266,(V266-Settings!$B$6)*24,0)</f>
        <v>8.5</v>
      </c>
    </row>
    <row r="267" customFormat="false" ht="15" hidden="false" customHeight="false" outlineLevel="0" collapsed="false">
      <c r="A267" s="29" t="n">
        <v>46283</v>
      </c>
      <c r="B267" s="30" t="str">
        <f aca="false">CHOOSE(WEEKDAY(A267),"Sun","Mon","Tue","Wed","Thu","Fri","Sat")</f>
        <v>Fri</v>
      </c>
      <c r="C267" s="30" t="str">
        <f aca="false">IF(IFERROR(INDEX(Holidays!$D$5:$D$60,MATCH(A267,Holidays!$A$5:$A$60,0)),"")="Holiday","Holiday",IF(WEEKDAY(A267)&gt;=6,"Weekend",IF(IFERROR(INDEX(Holidays!$D$5:$D$60,MATCH(A267,Holidays!$A$5:$A$60,0)),"")="Eve","Eve","Workday")))</f>
        <v>Weekend</v>
      </c>
      <c r="D267" s="18" t="str">
        <f aca="false">IFERROR(INDEX(Holidays!$C$5:$C$60,MATCH(A267,Holidays!$A$5:$A$60,0)),"")</f>
        <v/>
      </c>
      <c r="E267" s="31"/>
      <c r="F267" s="32"/>
      <c r="G267" s="32"/>
      <c r="H267" s="32"/>
      <c r="I267" s="32"/>
      <c r="J267" s="31"/>
      <c r="K267" s="33" t="str">
        <f aca="false">IF(E267&lt;&gt;"",E267,IF(U267,"Present",IF(C267="Holiday","Holiday","Weekend")))</f>
        <v>Weekend</v>
      </c>
      <c r="L267" s="34" t="str">
        <f aca="false">IF(OR(K267="Present",K267="Manual Work",K267="Partial Vacation",K267="Partial Sick Leave"),IF(ISNUMBER(F267),F267,IF(AND(K267="Present",U267),Settings!$B$6,"")),"")</f>
        <v/>
      </c>
      <c r="M267" s="34" t="str">
        <f aca="false">IF(OR(K267="Present",K267="Manual Work",K267="Partial Vacation",K267="Partial Sick Leave"),IF(ISNUMBER(G267),G267,IF(AND(K267="Present",U267),V267,"")),"")</f>
        <v/>
      </c>
      <c r="N267" s="14" t="n">
        <f aca="false">IF(AND(ISNUMBER(L267),ISNUMBER(M267)),MAX(0,(M267-L267)*24),0)</f>
        <v>0</v>
      </c>
      <c r="O267" s="14" t="n">
        <f aca="false">IF(NOT(U267),0,IF(K267="Vacation",IF(C267="Eve",Settings!$B$9*Settings!$B$11,W267),IF(K267="Partial Vacation",IF(AND(ISNUMBER(H267),ISNUMBER(I267)),MAX(0,(I267-H267)*24),0),0)))</f>
        <v>0</v>
      </c>
      <c r="P267" s="14" t="n">
        <f aca="false">IF(NOT(U267),0,IF(K267="Sick Leave",W267,IF(K267="Partial Sick Leave",IF(AND(ISNUMBER(H267),ISNUMBER(I267)),MAX(0,(I267-H267)*24),0),0)))</f>
        <v>0</v>
      </c>
      <c r="Q267" s="14" t="n">
        <f aca="false">IF(NOT(U267),0,IF(K267="Vacation",IF(C267="Eve",Settings!$B$11,1),IF(K267="Partial Vacation",O267/Settings!$B$9,0)))</f>
        <v>0</v>
      </c>
      <c r="R267" s="14" t="n">
        <f aca="false">IF(NOT(U267),0,IF(K267="Sick Leave",1,IF(K267="Partial Sick Leave",P267/Settings!$B$9,0)))</f>
        <v>0</v>
      </c>
      <c r="S267" s="35" t="str">
        <f aca="false">IF(AND(OR(E267="Vacation",E267="Sick Leave",E267="Partial Vacation",E267="Partial Sick Leave"),NOT(U267)),"Leave not allowed on this day",IF(AND(E267="Manual Work",OR(NOT(ISNUMBER(F267)),NOT(ISNUMBER(G267)))),"Enter start and end",IF(AND(OR(E267="Partial Vacation",E267="Partial Sick Leave"),OR(NOT(ISNUMBER(H267)),NOT(ISNUMBER(I267)))),"Enter leave from and to",IF(AND(ISNUMBER(F267),ISNUMBER(G267),G267&lt;=F267),"End is before start",IF(AND(ISNUMBER(H267),ISNUMBER(I267),I267&lt;=H267),"Leave end is before start",IF(AND(ISNUMBER(F267),ISNUMBER(G267),ISNUMBER(H267),ISNUMBER(I267),F267&lt;I267,H267&lt;G267),"Work and leave hours overlap",IF(AND(E267&lt;&gt;"",WEEKDAY(A267)=7),"Saturday - administrator only","")))))))</f>
        <v/>
      </c>
      <c r="T267" s="36" t="n">
        <f aca="false">MONTH(A267)</f>
        <v>9</v>
      </c>
      <c r="U267" s="37" t="b">
        <f aca="false">OR(C267="Workday",C267="Eve")</f>
        <v>0</v>
      </c>
      <c r="V267" s="34" t="n">
        <f aca="false">IF(C267="Eve",Settings!$B$8,Settings!$B$7)</f>
        <v>0.6875</v>
      </c>
      <c r="W267" s="14" t="n">
        <f aca="false">IF(U267,(V267-Settings!$B$6)*24,0)</f>
        <v>0</v>
      </c>
    </row>
    <row r="268" customFormat="false" ht="15" hidden="false" customHeight="false" outlineLevel="0" collapsed="false">
      <c r="A268" s="29" t="n">
        <v>46284</v>
      </c>
      <c r="B268" s="30" t="str">
        <f aca="false">CHOOSE(WEEKDAY(A268),"Sun","Mon","Tue","Wed","Thu","Fri","Sat")</f>
        <v>Sat</v>
      </c>
      <c r="C268" s="30" t="str">
        <f aca="false">IF(IFERROR(INDEX(Holidays!$D$5:$D$60,MATCH(A268,Holidays!$A$5:$A$60,0)),"")="Holiday","Holiday",IF(WEEKDAY(A268)&gt;=6,"Weekend",IF(IFERROR(INDEX(Holidays!$D$5:$D$60,MATCH(A268,Holidays!$A$5:$A$60,0)),"")="Eve","Eve","Workday")))</f>
        <v>Weekend</v>
      </c>
      <c r="D268" s="18" t="str">
        <f aca="false">IFERROR(INDEX(Holidays!$C$5:$C$60,MATCH(A268,Holidays!$A$5:$A$60,0)),"")</f>
        <v/>
      </c>
      <c r="E268" s="31"/>
      <c r="F268" s="32"/>
      <c r="G268" s="32"/>
      <c r="H268" s="32"/>
      <c r="I268" s="32"/>
      <c r="J268" s="31"/>
      <c r="K268" s="33" t="str">
        <f aca="false">IF(E268&lt;&gt;"",E268,IF(U268,"Present",IF(C268="Holiday","Holiday","Weekend")))</f>
        <v>Weekend</v>
      </c>
      <c r="L268" s="34" t="str">
        <f aca="false">IF(OR(K268="Present",K268="Manual Work",K268="Partial Vacation",K268="Partial Sick Leave"),IF(ISNUMBER(F268),F268,IF(AND(K268="Present",U268),Settings!$B$6,"")),"")</f>
        <v/>
      </c>
      <c r="M268" s="34" t="str">
        <f aca="false">IF(OR(K268="Present",K268="Manual Work",K268="Partial Vacation",K268="Partial Sick Leave"),IF(ISNUMBER(G268),G268,IF(AND(K268="Present",U268),V268,"")),"")</f>
        <v/>
      </c>
      <c r="N268" s="14" t="n">
        <f aca="false">IF(AND(ISNUMBER(L268),ISNUMBER(M268)),MAX(0,(M268-L268)*24),0)</f>
        <v>0</v>
      </c>
      <c r="O268" s="14" t="n">
        <f aca="false">IF(NOT(U268),0,IF(K268="Vacation",IF(C268="Eve",Settings!$B$9*Settings!$B$11,W268),IF(K268="Partial Vacation",IF(AND(ISNUMBER(H268),ISNUMBER(I268)),MAX(0,(I268-H268)*24),0),0)))</f>
        <v>0</v>
      </c>
      <c r="P268" s="14" t="n">
        <f aca="false">IF(NOT(U268),0,IF(K268="Sick Leave",W268,IF(K268="Partial Sick Leave",IF(AND(ISNUMBER(H268),ISNUMBER(I268)),MAX(0,(I268-H268)*24),0),0)))</f>
        <v>0</v>
      </c>
      <c r="Q268" s="14" t="n">
        <f aca="false">IF(NOT(U268),0,IF(K268="Vacation",IF(C268="Eve",Settings!$B$11,1),IF(K268="Partial Vacation",O268/Settings!$B$9,0)))</f>
        <v>0</v>
      </c>
      <c r="R268" s="14" t="n">
        <f aca="false">IF(NOT(U268),0,IF(K268="Sick Leave",1,IF(K268="Partial Sick Leave",P268/Settings!$B$9,0)))</f>
        <v>0</v>
      </c>
      <c r="S268" s="35" t="str">
        <f aca="false">IF(AND(OR(E268="Vacation",E268="Sick Leave",E268="Partial Vacation",E268="Partial Sick Leave"),NOT(U268)),"Leave not allowed on this day",IF(AND(E268="Manual Work",OR(NOT(ISNUMBER(F268)),NOT(ISNUMBER(G268)))),"Enter start and end",IF(AND(OR(E268="Partial Vacation",E268="Partial Sick Leave"),OR(NOT(ISNUMBER(H268)),NOT(ISNUMBER(I268)))),"Enter leave from and to",IF(AND(ISNUMBER(F268),ISNUMBER(G268),G268&lt;=F268),"End is before start",IF(AND(ISNUMBER(H268),ISNUMBER(I268),I268&lt;=H268),"Leave end is before start",IF(AND(ISNUMBER(F268),ISNUMBER(G268),ISNUMBER(H268),ISNUMBER(I268),F268&lt;I268,H268&lt;G268),"Work and leave hours overlap",IF(AND(E268&lt;&gt;"",WEEKDAY(A268)=7),"Saturday - administrator only","")))))))</f>
        <v/>
      </c>
      <c r="T268" s="36" t="n">
        <f aca="false">MONTH(A268)</f>
        <v>9</v>
      </c>
      <c r="U268" s="37" t="b">
        <f aca="false">OR(C268="Workday",C268="Eve")</f>
        <v>0</v>
      </c>
      <c r="V268" s="34" t="n">
        <f aca="false">IF(C268="Eve",Settings!$B$8,Settings!$B$7)</f>
        <v>0.6875</v>
      </c>
      <c r="W268" s="14" t="n">
        <f aca="false">IF(U268,(V268-Settings!$B$6)*24,0)</f>
        <v>0</v>
      </c>
    </row>
    <row r="269" customFormat="false" ht="15" hidden="false" customHeight="false" outlineLevel="0" collapsed="false">
      <c r="A269" s="29" t="n">
        <v>46285</v>
      </c>
      <c r="B269" s="30" t="str">
        <f aca="false">CHOOSE(WEEKDAY(A269),"Sun","Mon","Tue","Wed","Thu","Fri","Sat")</f>
        <v>Sun</v>
      </c>
      <c r="C269" s="30" t="str">
        <f aca="false">IF(IFERROR(INDEX(Holidays!$D$5:$D$60,MATCH(A269,Holidays!$A$5:$A$60,0)),"")="Holiday","Holiday",IF(WEEKDAY(A269)&gt;=6,"Weekend",IF(IFERROR(INDEX(Holidays!$D$5:$D$60,MATCH(A269,Holidays!$A$5:$A$60,0)),"")="Eve","Eve","Workday")))</f>
        <v>Eve</v>
      </c>
      <c r="D269" s="18" t="str">
        <f aca="false">IFERROR(INDEX(Holidays!$C$5:$C$60,MATCH(A269,Holidays!$A$5:$A$60,0)),"")</f>
        <v>Erev Yom Kippur</v>
      </c>
      <c r="E269" s="31"/>
      <c r="F269" s="32"/>
      <c r="G269" s="32"/>
      <c r="H269" s="32"/>
      <c r="I269" s="32"/>
      <c r="J269" s="31"/>
      <c r="K269" s="33" t="str">
        <f aca="false">IF(E269&lt;&gt;"",E269,IF(U269,"Present",IF(C269="Holiday","Holiday","Weekend")))</f>
        <v>Present</v>
      </c>
      <c r="L269" s="34" t="n">
        <f aca="false">IF(OR(K269="Present",K269="Manual Work",K269="Partial Vacation",K269="Partial Sick Leave"),IF(ISNUMBER(F269),F269,IF(AND(K269="Present",U269),Settings!$B$6,"")),"")</f>
        <v>0.333333333333333</v>
      </c>
      <c r="M269" s="34" t="n">
        <f aca="false">IF(OR(K269="Present",K269="Manual Work",K269="Partial Vacation",K269="Partial Sick Leave"),IF(ISNUMBER(G269),G269,IF(AND(K269="Present",U269),V269,"")),"")</f>
        <v>0.583333333333333</v>
      </c>
      <c r="N269" s="14" t="n">
        <f aca="false">IF(AND(ISNUMBER(L269),ISNUMBER(M269)),MAX(0,(M269-L269)*24),0)</f>
        <v>6</v>
      </c>
      <c r="O269" s="14" t="n">
        <f aca="false">IF(NOT(U269),0,IF(K269="Vacation",IF(C269="Eve",Settings!$B$9*Settings!$B$11,W269),IF(K269="Partial Vacation",IF(AND(ISNUMBER(H269),ISNUMBER(I269)),MAX(0,(I269-H269)*24),0),0)))</f>
        <v>0</v>
      </c>
      <c r="P269" s="14" t="n">
        <f aca="false">IF(NOT(U269),0,IF(K269="Sick Leave",W269,IF(K269="Partial Sick Leave",IF(AND(ISNUMBER(H269),ISNUMBER(I269)),MAX(0,(I269-H269)*24),0),0)))</f>
        <v>0</v>
      </c>
      <c r="Q269" s="14" t="n">
        <f aca="false">IF(NOT(U269),0,IF(K269="Vacation",IF(C269="Eve",Settings!$B$11,1),IF(K269="Partial Vacation",O269/Settings!$B$9,0)))</f>
        <v>0</v>
      </c>
      <c r="R269" s="14" t="n">
        <f aca="false">IF(NOT(U269),0,IF(K269="Sick Leave",1,IF(K269="Partial Sick Leave",P269/Settings!$B$9,0)))</f>
        <v>0</v>
      </c>
      <c r="S269" s="35" t="str">
        <f aca="false">IF(AND(OR(E269="Vacation",E269="Sick Leave",E269="Partial Vacation",E269="Partial Sick Leave"),NOT(U269)),"Leave not allowed on this day",IF(AND(E269="Manual Work",OR(NOT(ISNUMBER(F269)),NOT(ISNUMBER(G269)))),"Enter start and end",IF(AND(OR(E269="Partial Vacation",E269="Partial Sick Leave"),OR(NOT(ISNUMBER(H269)),NOT(ISNUMBER(I269)))),"Enter leave from and to",IF(AND(ISNUMBER(F269),ISNUMBER(G269),G269&lt;=F269),"End is before start",IF(AND(ISNUMBER(H269),ISNUMBER(I269),I269&lt;=H269),"Leave end is before start",IF(AND(ISNUMBER(F269),ISNUMBER(G269),ISNUMBER(H269),ISNUMBER(I269),F269&lt;I269,H269&lt;G269),"Work and leave hours overlap",IF(AND(E269&lt;&gt;"",WEEKDAY(A269)=7),"Saturday - administrator only","")))))))</f>
        <v/>
      </c>
      <c r="T269" s="36" t="n">
        <f aca="false">MONTH(A269)</f>
        <v>9</v>
      </c>
      <c r="U269" s="37" t="b">
        <f aca="false">OR(C269="Workday",C269="Eve")</f>
        <v>1</v>
      </c>
      <c r="V269" s="34" t="n">
        <f aca="false">IF(C269="Eve",Settings!$B$8,Settings!$B$7)</f>
        <v>0.583333333333333</v>
      </c>
      <c r="W269" s="14" t="n">
        <f aca="false">IF(U269,(V269-Settings!$B$6)*24,0)</f>
        <v>6</v>
      </c>
    </row>
    <row r="270" customFormat="false" ht="15" hidden="false" customHeight="false" outlineLevel="0" collapsed="false">
      <c r="A270" s="29" t="n">
        <v>46286</v>
      </c>
      <c r="B270" s="30" t="str">
        <f aca="false">CHOOSE(WEEKDAY(A270),"Sun","Mon","Tue","Wed","Thu","Fri","Sat")</f>
        <v>Mon</v>
      </c>
      <c r="C270" s="30" t="str">
        <f aca="false">IF(IFERROR(INDEX(Holidays!$D$5:$D$60,MATCH(A270,Holidays!$A$5:$A$60,0)),"")="Holiday","Holiday",IF(WEEKDAY(A270)&gt;=6,"Weekend",IF(IFERROR(INDEX(Holidays!$D$5:$D$60,MATCH(A270,Holidays!$A$5:$A$60,0)),"")="Eve","Eve","Workday")))</f>
        <v>Holiday</v>
      </c>
      <c r="D270" s="18" t="str">
        <f aca="false">IFERROR(INDEX(Holidays!$C$5:$C$60,MATCH(A270,Holidays!$A$5:$A$60,0)),"")</f>
        <v>Yom Kippur</v>
      </c>
      <c r="E270" s="31"/>
      <c r="F270" s="32"/>
      <c r="G270" s="32"/>
      <c r="H270" s="32"/>
      <c r="I270" s="32"/>
      <c r="J270" s="31"/>
      <c r="K270" s="33" t="str">
        <f aca="false">IF(E270&lt;&gt;"",E270,IF(U270,"Present",IF(C270="Holiday","Holiday","Weekend")))</f>
        <v>Holiday</v>
      </c>
      <c r="L270" s="34" t="str">
        <f aca="false">IF(OR(K270="Present",K270="Manual Work",K270="Partial Vacation",K270="Partial Sick Leave"),IF(ISNUMBER(F270),F270,IF(AND(K270="Present",U270),Settings!$B$6,"")),"")</f>
        <v/>
      </c>
      <c r="M270" s="34" t="str">
        <f aca="false">IF(OR(K270="Present",K270="Manual Work",K270="Partial Vacation",K270="Partial Sick Leave"),IF(ISNUMBER(G270),G270,IF(AND(K270="Present",U270),V270,"")),"")</f>
        <v/>
      </c>
      <c r="N270" s="14" t="n">
        <f aca="false">IF(AND(ISNUMBER(L270),ISNUMBER(M270)),MAX(0,(M270-L270)*24),0)</f>
        <v>0</v>
      </c>
      <c r="O270" s="14" t="n">
        <f aca="false">IF(NOT(U270),0,IF(K270="Vacation",IF(C270="Eve",Settings!$B$9*Settings!$B$11,W270),IF(K270="Partial Vacation",IF(AND(ISNUMBER(H270),ISNUMBER(I270)),MAX(0,(I270-H270)*24),0),0)))</f>
        <v>0</v>
      </c>
      <c r="P270" s="14" t="n">
        <f aca="false">IF(NOT(U270),0,IF(K270="Sick Leave",W270,IF(K270="Partial Sick Leave",IF(AND(ISNUMBER(H270),ISNUMBER(I270)),MAX(0,(I270-H270)*24),0),0)))</f>
        <v>0</v>
      </c>
      <c r="Q270" s="14" t="n">
        <f aca="false">IF(NOT(U270),0,IF(K270="Vacation",IF(C270="Eve",Settings!$B$11,1),IF(K270="Partial Vacation",O270/Settings!$B$9,0)))</f>
        <v>0</v>
      </c>
      <c r="R270" s="14" t="n">
        <f aca="false">IF(NOT(U270),0,IF(K270="Sick Leave",1,IF(K270="Partial Sick Leave",P270/Settings!$B$9,0)))</f>
        <v>0</v>
      </c>
      <c r="S270" s="35" t="str">
        <f aca="false">IF(AND(OR(E270="Vacation",E270="Sick Leave",E270="Partial Vacation",E270="Partial Sick Leave"),NOT(U270)),"Leave not allowed on this day",IF(AND(E270="Manual Work",OR(NOT(ISNUMBER(F270)),NOT(ISNUMBER(G270)))),"Enter start and end",IF(AND(OR(E270="Partial Vacation",E270="Partial Sick Leave"),OR(NOT(ISNUMBER(H270)),NOT(ISNUMBER(I270)))),"Enter leave from and to",IF(AND(ISNUMBER(F270),ISNUMBER(G270),G270&lt;=F270),"End is before start",IF(AND(ISNUMBER(H270),ISNUMBER(I270),I270&lt;=H270),"Leave end is before start",IF(AND(ISNUMBER(F270),ISNUMBER(G270),ISNUMBER(H270),ISNUMBER(I270),F270&lt;I270,H270&lt;G270),"Work and leave hours overlap",IF(AND(E270&lt;&gt;"",WEEKDAY(A270)=7),"Saturday - administrator only","")))))))</f>
        <v/>
      </c>
      <c r="T270" s="36" t="n">
        <f aca="false">MONTH(A270)</f>
        <v>9</v>
      </c>
      <c r="U270" s="37" t="b">
        <f aca="false">OR(C270="Workday",C270="Eve")</f>
        <v>0</v>
      </c>
      <c r="V270" s="34" t="n">
        <f aca="false">IF(C270="Eve",Settings!$B$8,Settings!$B$7)</f>
        <v>0.6875</v>
      </c>
      <c r="W270" s="14" t="n">
        <f aca="false">IF(U270,(V270-Settings!$B$6)*24,0)</f>
        <v>0</v>
      </c>
    </row>
    <row r="271" customFormat="false" ht="15" hidden="false" customHeight="false" outlineLevel="0" collapsed="false">
      <c r="A271" s="29" t="n">
        <v>46287</v>
      </c>
      <c r="B271" s="30" t="str">
        <f aca="false">CHOOSE(WEEKDAY(A271),"Sun","Mon","Tue","Wed","Thu","Fri","Sat")</f>
        <v>Tue</v>
      </c>
      <c r="C271" s="30" t="str">
        <f aca="false">IF(IFERROR(INDEX(Holidays!$D$5:$D$60,MATCH(A271,Holidays!$A$5:$A$60,0)),"")="Holiday","Holiday",IF(WEEKDAY(A271)&gt;=6,"Weekend",IF(IFERROR(INDEX(Holidays!$D$5:$D$60,MATCH(A271,Holidays!$A$5:$A$60,0)),"")="Eve","Eve","Workday")))</f>
        <v>Workday</v>
      </c>
      <c r="D271" s="18" t="str">
        <f aca="false">IFERROR(INDEX(Holidays!$C$5:$C$60,MATCH(A271,Holidays!$A$5:$A$60,0)),"")</f>
        <v/>
      </c>
      <c r="E271" s="31"/>
      <c r="F271" s="32"/>
      <c r="G271" s="32"/>
      <c r="H271" s="32"/>
      <c r="I271" s="32"/>
      <c r="J271" s="31"/>
      <c r="K271" s="33" t="str">
        <f aca="false">IF(E271&lt;&gt;"",E271,IF(U271,"Present",IF(C271="Holiday","Holiday","Weekend")))</f>
        <v>Present</v>
      </c>
      <c r="L271" s="34" t="n">
        <f aca="false">IF(OR(K271="Present",K271="Manual Work",K271="Partial Vacation",K271="Partial Sick Leave"),IF(ISNUMBER(F271),F271,IF(AND(K271="Present",U271),Settings!$B$6,"")),"")</f>
        <v>0.333333333333333</v>
      </c>
      <c r="M271" s="34" t="n">
        <f aca="false">IF(OR(K271="Present",K271="Manual Work",K271="Partial Vacation",K271="Partial Sick Leave"),IF(ISNUMBER(G271),G271,IF(AND(K271="Present",U271),V271,"")),"")</f>
        <v>0.6875</v>
      </c>
      <c r="N271" s="14" t="n">
        <f aca="false">IF(AND(ISNUMBER(L271),ISNUMBER(M271)),MAX(0,(M271-L271)*24),0)</f>
        <v>8.5</v>
      </c>
      <c r="O271" s="14" t="n">
        <f aca="false">IF(NOT(U271),0,IF(K271="Vacation",IF(C271="Eve",Settings!$B$9*Settings!$B$11,W271),IF(K271="Partial Vacation",IF(AND(ISNUMBER(H271),ISNUMBER(I271)),MAX(0,(I271-H271)*24),0),0)))</f>
        <v>0</v>
      </c>
      <c r="P271" s="14" t="n">
        <f aca="false">IF(NOT(U271),0,IF(K271="Sick Leave",W271,IF(K271="Partial Sick Leave",IF(AND(ISNUMBER(H271),ISNUMBER(I271)),MAX(0,(I271-H271)*24),0),0)))</f>
        <v>0</v>
      </c>
      <c r="Q271" s="14" t="n">
        <f aca="false">IF(NOT(U271),0,IF(K271="Vacation",IF(C271="Eve",Settings!$B$11,1),IF(K271="Partial Vacation",O271/Settings!$B$9,0)))</f>
        <v>0</v>
      </c>
      <c r="R271" s="14" t="n">
        <f aca="false">IF(NOT(U271),0,IF(K271="Sick Leave",1,IF(K271="Partial Sick Leave",P271/Settings!$B$9,0)))</f>
        <v>0</v>
      </c>
      <c r="S271" s="35" t="str">
        <f aca="false">IF(AND(OR(E271="Vacation",E271="Sick Leave",E271="Partial Vacation",E271="Partial Sick Leave"),NOT(U271)),"Leave not allowed on this day",IF(AND(E271="Manual Work",OR(NOT(ISNUMBER(F271)),NOT(ISNUMBER(G271)))),"Enter start and end",IF(AND(OR(E271="Partial Vacation",E271="Partial Sick Leave"),OR(NOT(ISNUMBER(H271)),NOT(ISNUMBER(I271)))),"Enter leave from and to",IF(AND(ISNUMBER(F271),ISNUMBER(G271),G271&lt;=F271),"End is before start",IF(AND(ISNUMBER(H271),ISNUMBER(I271),I271&lt;=H271),"Leave end is before start",IF(AND(ISNUMBER(F271),ISNUMBER(G271),ISNUMBER(H271),ISNUMBER(I271),F271&lt;I271,H271&lt;G271),"Work and leave hours overlap",IF(AND(E271&lt;&gt;"",WEEKDAY(A271)=7),"Saturday - administrator only","")))))))</f>
        <v/>
      </c>
      <c r="T271" s="36" t="n">
        <f aca="false">MONTH(A271)</f>
        <v>9</v>
      </c>
      <c r="U271" s="37" t="b">
        <f aca="false">OR(C271="Workday",C271="Eve")</f>
        <v>1</v>
      </c>
      <c r="V271" s="34" t="n">
        <f aca="false">IF(C271="Eve",Settings!$B$8,Settings!$B$7)</f>
        <v>0.6875</v>
      </c>
      <c r="W271" s="14" t="n">
        <f aca="false">IF(U271,(V271-Settings!$B$6)*24,0)</f>
        <v>8.5</v>
      </c>
    </row>
    <row r="272" customFormat="false" ht="15" hidden="false" customHeight="false" outlineLevel="0" collapsed="false">
      <c r="A272" s="29" t="n">
        <v>46288</v>
      </c>
      <c r="B272" s="30" t="str">
        <f aca="false">CHOOSE(WEEKDAY(A272),"Sun","Mon","Tue","Wed","Thu","Fri","Sat")</f>
        <v>Wed</v>
      </c>
      <c r="C272" s="30" t="str">
        <f aca="false">IF(IFERROR(INDEX(Holidays!$D$5:$D$60,MATCH(A272,Holidays!$A$5:$A$60,0)),"")="Holiday","Holiday",IF(WEEKDAY(A272)&gt;=6,"Weekend",IF(IFERROR(INDEX(Holidays!$D$5:$D$60,MATCH(A272,Holidays!$A$5:$A$60,0)),"")="Eve","Eve","Workday")))</f>
        <v>Workday</v>
      </c>
      <c r="D272" s="18" t="str">
        <f aca="false">IFERROR(INDEX(Holidays!$C$5:$C$60,MATCH(A272,Holidays!$A$5:$A$60,0)),"")</f>
        <v/>
      </c>
      <c r="E272" s="31"/>
      <c r="F272" s="32"/>
      <c r="G272" s="32"/>
      <c r="H272" s="32"/>
      <c r="I272" s="32"/>
      <c r="J272" s="31"/>
      <c r="K272" s="33" t="str">
        <f aca="false">IF(E272&lt;&gt;"",E272,IF(U272,"Present",IF(C272="Holiday","Holiday","Weekend")))</f>
        <v>Present</v>
      </c>
      <c r="L272" s="34" t="n">
        <f aca="false">IF(OR(K272="Present",K272="Manual Work",K272="Partial Vacation",K272="Partial Sick Leave"),IF(ISNUMBER(F272),F272,IF(AND(K272="Present",U272),Settings!$B$6,"")),"")</f>
        <v>0.333333333333333</v>
      </c>
      <c r="M272" s="34" t="n">
        <f aca="false">IF(OR(K272="Present",K272="Manual Work",K272="Partial Vacation",K272="Partial Sick Leave"),IF(ISNUMBER(G272),G272,IF(AND(K272="Present",U272),V272,"")),"")</f>
        <v>0.6875</v>
      </c>
      <c r="N272" s="14" t="n">
        <f aca="false">IF(AND(ISNUMBER(L272),ISNUMBER(M272)),MAX(0,(M272-L272)*24),0)</f>
        <v>8.5</v>
      </c>
      <c r="O272" s="14" t="n">
        <f aca="false">IF(NOT(U272),0,IF(K272="Vacation",IF(C272="Eve",Settings!$B$9*Settings!$B$11,W272),IF(K272="Partial Vacation",IF(AND(ISNUMBER(H272),ISNUMBER(I272)),MAX(0,(I272-H272)*24),0),0)))</f>
        <v>0</v>
      </c>
      <c r="P272" s="14" t="n">
        <f aca="false">IF(NOT(U272),0,IF(K272="Sick Leave",W272,IF(K272="Partial Sick Leave",IF(AND(ISNUMBER(H272),ISNUMBER(I272)),MAX(0,(I272-H272)*24),0),0)))</f>
        <v>0</v>
      </c>
      <c r="Q272" s="14" t="n">
        <f aca="false">IF(NOT(U272),0,IF(K272="Vacation",IF(C272="Eve",Settings!$B$11,1),IF(K272="Partial Vacation",O272/Settings!$B$9,0)))</f>
        <v>0</v>
      </c>
      <c r="R272" s="14" t="n">
        <f aca="false">IF(NOT(U272),0,IF(K272="Sick Leave",1,IF(K272="Partial Sick Leave",P272/Settings!$B$9,0)))</f>
        <v>0</v>
      </c>
      <c r="S272" s="35" t="str">
        <f aca="false">IF(AND(OR(E272="Vacation",E272="Sick Leave",E272="Partial Vacation",E272="Partial Sick Leave"),NOT(U272)),"Leave not allowed on this day",IF(AND(E272="Manual Work",OR(NOT(ISNUMBER(F272)),NOT(ISNUMBER(G272)))),"Enter start and end",IF(AND(OR(E272="Partial Vacation",E272="Partial Sick Leave"),OR(NOT(ISNUMBER(H272)),NOT(ISNUMBER(I272)))),"Enter leave from and to",IF(AND(ISNUMBER(F272),ISNUMBER(G272),G272&lt;=F272),"End is before start",IF(AND(ISNUMBER(H272),ISNUMBER(I272),I272&lt;=H272),"Leave end is before start",IF(AND(ISNUMBER(F272),ISNUMBER(G272),ISNUMBER(H272),ISNUMBER(I272),F272&lt;I272,H272&lt;G272),"Work and leave hours overlap",IF(AND(E272&lt;&gt;"",WEEKDAY(A272)=7),"Saturday - administrator only","")))))))</f>
        <v/>
      </c>
      <c r="T272" s="36" t="n">
        <f aca="false">MONTH(A272)</f>
        <v>9</v>
      </c>
      <c r="U272" s="37" t="b">
        <f aca="false">OR(C272="Workday",C272="Eve")</f>
        <v>1</v>
      </c>
      <c r="V272" s="34" t="n">
        <f aca="false">IF(C272="Eve",Settings!$B$8,Settings!$B$7)</f>
        <v>0.6875</v>
      </c>
      <c r="W272" s="14" t="n">
        <f aca="false">IF(U272,(V272-Settings!$B$6)*24,0)</f>
        <v>8.5</v>
      </c>
    </row>
    <row r="273" customFormat="false" ht="15" hidden="false" customHeight="false" outlineLevel="0" collapsed="false">
      <c r="A273" s="29" t="n">
        <v>46289</v>
      </c>
      <c r="B273" s="30" t="str">
        <f aca="false">CHOOSE(WEEKDAY(A273),"Sun","Mon","Tue","Wed","Thu","Fri","Sat")</f>
        <v>Thu</v>
      </c>
      <c r="C273" s="30" t="str">
        <f aca="false">IF(IFERROR(INDEX(Holidays!$D$5:$D$60,MATCH(A273,Holidays!$A$5:$A$60,0)),"")="Holiday","Holiday",IF(WEEKDAY(A273)&gt;=6,"Weekend",IF(IFERROR(INDEX(Holidays!$D$5:$D$60,MATCH(A273,Holidays!$A$5:$A$60,0)),"")="Eve","Eve","Workday")))</f>
        <v>Workday</v>
      </c>
      <c r="D273" s="18" t="str">
        <f aca="false">IFERROR(INDEX(Holidays!$C$5:$C$60,MATCH(A273,Holidays!$A$5:$A$60,0)),"")</f>
        <v/>
      </c>
      <c r="E273" s="31"/>
      <c r="F273" s="32"/>
      <c r="G273" s="32"/>
      <c r="H273" s="32"/>
      <c r="I273" s="32"/>
      <c r="J273" s="31"/>
      <c r="K273" s="33" t="str">
        <f aca="false">IF(E273&lt;&gt;"",E273,IF(U273,"Present",IF(C273="Holiday","Holiday","Weekend")))</f>
        <v>Present</v>
      </c>
      <c r="L273" s="34" t="n">
        <f aca="false">IF(OR(K273="Present",K273="Manual Work",K273="Partial Vacation",K273="Partial Sick Leave"),IF(ISNUMBER(F273),F273,IF(AND(K273="Present",U273),Settings!$B$6,"")),"")</f>
        <v>0.333333333333333</v>
      </c>
      <c r="M273" s="34" t="n">
        <f aca="false">IF(OR(K273="Present",K273="Manual Work",K273="Partial Vacation",K273="Partial Sick Leave"),IF(ISNUMBER(G273),G273,IF(AND(K273="Present",U273),V273,"")),"")</f>
        <v>0.6875</v>
      </c>
      <c r="N273" s="14" t="n">
        <f aca="false">IF(AND(ISNUMBER(L273),ISNUMBER(M273)),MAX(0,(M273-L273)*24),0)</f>
        <v>8.5</v>
      </c>
      <c r="O273" s="14" t="n">
        <f aca="false">IF(NOT(U273),0,IF(K273="Vacation",IF(C273="Eve",Settings!$B$9*Settings!$B$11,W273),IF(K273="Partial Vacation",IF(AND(ISNUMBER(H273),ISNUMBER(I273)),MAX(0,(I273-H273)*24),0),0)))</f>
        <v>0</v>
      </c>
      <c r="P273" s="14" t="n">
        <f aca="false">IF(NOT(U273),0,IF(K273="Sick Leave",W273,IF(K273="Partial Sick Leave",IF(AND(ISNUMBER(H273),ISNUMBER(I273)),MAX(0,(I273-H273)*24),0),0)))</f>
        <v>0</v>
      </c>
      <c r="Q273" s="14" t="n">
        <f aca="false">IF(NOT(U273),0,IF(K273="Vacation",IF(C273="Eve",Settings!$B$11,1),IF(K273="Partial Vacation",O273/Settings!$B$9,0)))</f>
        <v>0</v>
      </c>
      <c r="R273" s="14" t="n">
        <f aca="false">IF(NOT(U273),0,IF(K273="Sick Leave",1,IF(K273="Partial Sick Leave",P273/Settings!$B$9,0)))</f>
        <v>0</v>
      </c>
      <c r="S273" s="35" t="str">
        <f aca="false">IF(AND(OR(E273="Vacation",E273="Sick Leave",E273="Partial Vacation",E273="Partial Sick Leave"),NOT(U273)),"Leave not allowed on this day",IF(AND(E273="Manual Work",OR(NOT(ISNUMBER(F273)),NOT(ISNUMBER(G273)))),"Enter start and end",IF(AND(OR(E273="Partial Vacation",E273="Partial Sick Leave"),OR(NOT(ISNUMBER(H273)),NOT(ISNUMBER(I273)))),"Enter leave from and to",IF(AND(ISNUMBER(F273),ISNUMBER(G273),G273&lt;=F273),"End is before start",IF(AND(ISNUMBER(H273),ISNUMBER(I273),I273&lt;=H273),"Leave end is before start",IF(AND(ISNUMBER(F273),ISNUMBER(G273),ISNUMBER(H273),ISNUMBER(I273),F273&lt;I273,H273&lt;G273),"Work and leave hours overlap",IF(AND(E273&lt;&gt;"",WEEKDAY(A273)=7),"Saturday - administrator only","")))))))</f>
        <v/>
      </c>
      <c r="T273" s="36" t="n">
        <f aca="false">MONTH(A273)</f>
        <v>9</v>
      </c>
      <c r="U273" s="37" t="b">
        <f aca="false">OR(C273="Workday",C273="Eve")</f>
        <v>1</v>
      </c>
      <c r="V273" s="34" t="n">
        <f aca="false">IF(C273="Eve",Settings!$B$8,Settings!$B$7)</f>
        <v>0.6875</v>
      </c>
      <c r="W273" s="14" t="n">
        <f aca="false">IF(U273,(V273-Settings!$B$6)*24,0)</f>
        <v>8.5</v>
      </c>
    </row>
    <row r="274" customFormat="false" ht="15" hidden="false" customHeight="false" outlineLevel="0" collapsed="false">
      <c r="A274" s="29" t="n">
        <v>46290</v>
      </c>
      <c r="B274" s="30" t="str">
        <f aca="false">CHOOSE(WEEKDAY(A274),"Sun","Mon","Tue","Wed","Thu","Fri","Sat")</f>
        <v>Fri</v>
      </c>
      <c r="C274" s="30" t="str">
        <f aca="false">IF(IFERROR(INDEX(Holidays!$D$5:$D$60,MATCH(A274,Holidays!$A$5:$A$60,0)),"")="Holiday","Holiday",IF(WEEKDAY(A274)&gt;=6,"Weekend",IF(IFERROR(INDEX(Holidays!$D$5:$D$60,MATCH(A274,Holidays!$A$5:$A$60,0)),"")="Eve","Eve","Workday")))</f>
        <v>Weekend</v>
      </c>
      <c r="D274" s="18" t="str">
        <f aca="false">IFERROR(INDEX(Holidays!$C$5:$C$60,MATCH(A274,Holidays!$A$5:$A$60,0)),"")</f>
        <v>Erev Sukkot</v>
      </c>
      <c r="E274" s="31"/>
      <c r="F274" s="32"/>
      <c r="G274" s="32"/>
      <c r="H274" s="32"/>
      <c r="I274" s="32"/>
      <c r="J274" s="31"/>
      <c r="K274" s="33" t="str">
        <f aca="false">IF(E274&lt;&gt;"",E274,IF(U274,"Present",IF(C274="Holiday","Holiday","Weekend")))</f>
        <v>Weekend</v>
      </c>
      <c r="L274" s="34" t="str">
        <f aca="false">IF(OR(K274="Present",K274="Manual Work",K274="Partial Vacation",K274="Partial Sick Leave"),IF(ISNUMBER(F274),F274,IF(AND(K274="Present",U274),Settings!$B$6,"")),"")</f>
        <v/>
      </c>
      <c r="M274" s="34" t="str">
        <f aca="false">IF(OR(K274="Present",K274="Manual Work",K274="Partial Vacation",K274="Partial Sick Leave"),IF(ISNUMBER(G274),G274,IF(AND(K274="Present",U274),V274,"")),"")</f>
        <v/>
      </c>
      <c r="N274" s="14" t="n">
        <f aca="false">IF(AND(ISNUMBER(L274),ISNUMBER(M274)),MAX(0,(M274-L274)*24),0)</f>
        <v>0</v>
      </c>
      <c r="O274" s="14" t="n">
        <f aca="false">IF(NOT(U274),0,IF(K274="Vacation",IF(C274="Eve",Settings!$B$9*Settings!$B$11,W274),IF(K274="Partial Vacation",IF(AND(ISNUMBER(H274),ISNUMBER(I274)),MAX(0,(I274-H274)*24),0),0)))</f>
        <v>0</v>
      </c>
      <c r="P274" s="14" t="n">
        <f aca="false">IF(NOT(U274),0,IF(K274="Sick Leave",W274,IF(K274="Partial Sick Leave",IF(AND(ISNUMBER(H274),ISNUMBER(I274)),MAX(0,(I274-H274)*24),0),0)))</f>
        <v>0</v>
      </c>
      <c r="Q274" s="14" t="n">
        <f aca="false">IF(NOT(U274),0,IF(K274="Vacation",IF(C274="Eve",Settings!$B$11,1),IF(K274="Partial Vacation",O274/Settings!$B$9,0)))</f>
        <v>0</v>
      </c>
      <c r="R274" s="14" t="n">
        <f aca="false">IF(NOT(U274),0,IF(K274="Sick Leave",1,IF(K274="Partial Sick Leave",P274/Settings!$B$9,0)))</f>
        <v>0</v>
      </c>
      <c r="S274" s="35" t="str">
        <f aca="false">IF(AND(OR(E274="Vacation",E274="Sick Leave",E274="Partial Vacation",E274="Partial Sick Leave"),NOT(U274)),"Leave not allowed on this day",IF(AND(E274="Manual Work",OR(NOT(ISNUMBER(F274)),NOT(ISNUMBER(G274)))),"Enter start and end",IF(AND(OR(E274="Partial Vacation",E274="Partial Sick Leave"),OR(NOT(ISNUMBER(H274)),NOT(ISNUMBER(I274)))),"Enter leave from and to",IF(AND(ISNUMBER(F274),ISNUMBER(G274),G274&lt;=F274),"End is before start",IF(AND(ISNUMBER(H274),ISNUMBER(I274),I274&lt;=H274),"Leave end is before start",IF(AND(ISNUMBER(F274),ISNUMBER(G274),ISNUMBER(H274),ISNUMBER(I274),F274&lt;I274,H274&lt;G274),"Work and leave hours overlap",IF(AND(E274&lt;&gt;"",WEEKDAY(A274)=7),"Saturday - administrator only","")))))))</f>
        <v/>
      </c>
      <c r="T274" s="36" t="n">
        <f aca="false">MONTH(A274)</f>
        <v>9</v>
      </c>
      <c r="U274" s="37" t="b">
        <f aca="false">OR(C274="Workday",C274="Eve")</f>
        <v>0</v>
      </c>
      <c r="V274" s="34" t="n">
        <f aca="false">IF(C274="Eve",Settings!$B$8,Settings!$B$7)</f>
        <v>0.6875</v>
      </c>
      <c r="W274" s="14" t="n">
        <f aca="false">IF(U274,(V274-Settings!$B$6)*24,0)</f>
        <v>0</v>
      </c>
    </row>
    <row r="275" customFormat="false" ht="15" hidden="false" customHeight="false" outlineLevel="0" collapsed="false">
      <c r="A275" s="29" t="n">
        <v>46291</v>
      </c>
      <c r="B275" s="30" t="str">
        <f aca="false">CHOOSE(WEEKDAY(A275),"Sun","Mon","Tue","Wed","Thu","Fri","Sat")</f>
        <v>Sat</v>
      </c>
      <c r="C275" s="30" t="str">
        <f aca="false">IF(IFERROR(INDEX(Holidays!$D$5:$D$60,MATCH(A275,Holidays!$A$5:$A$60,0)),"")="Holiday","Holiday",IF(WEEKDAY(A275)&gt;=6,"Weekend",IF(IFERROR(INDEX(Holidays!$D$5:$D$60,MATCH(A275,Holidays!$A$5:$A$60,0)),"")="Eve","Eve","Workday")))</f>
        <v>Holiday</v>
      </c>
      <c r="D275" s="18" t="str">
        <f aca="false">IFERROR(INDEX(Holidays!$C$5:$C$60,MATCH(A275,Holidays!$A$5:$A$60,0)),"")</f>
        <v>Sukkot</v>
      </c>
      <c r="E275" s="31"/>
      <c r="F275" s="32"/>
      <c r="G275" s="32"/>
      <c r="H275" s="32"/>
      <c r="I275" s="32"/>
      <c r="J275" s="31"/>
      <c r="K275" s="33" t="str">
        <f aca="false">IF(E275&lt;&gt;"",E275,IF(U275,"Present",IF(C275="Holiday","Holiday","Weekend")))</f>
        <v>Holiday</v>
      </c>
      <c r="L275" s="34" t="str">
        <f aca="false">IF(OR(K275="Present",K275="Manual Work",K275="Partial Vacation",K275="Partial Sick Leave"),IF(ISNUMBER(F275),F275,IF(AND(K275="Present",U275),Settings!$B$6,"")),"")</f>
        <v/>
      </c>
      <c r="M275" s="34" t="str">
        <f aca="false">IF(OR(K275="Present",K275="Manual Work",K275="Partial Vacation",K275="Partial Sick Leave"),IF(ISNUMBER(G275),G275,IF(AND(K275="Present",U275),V275,"")),"")</f>
        <v/>
      </c>
      <c r="N275" s="14" t="n">
        <f aca="false">IF(AND(ISNUMBER(L275),ISNUMBER(M275)),MAX(0,(M275-L275)*24),0)</f>
        <v>0</v>
      </c>
      <c r="O275" s="14" t="n">
        <f aca="false">IF(NOT(U275),0,IF(K275="Vacation",IF(C275="Eve",Settings!$B$9*Settings!$B$11,W275),IF(K275="Partial Vacation",IF(AND(ISNUMBER(H275),ISNUMBER(I275)),MAX(0,(I275-H275)*24),0),0)))</f>
        <v>0</v>
      </c>
      <c r="P275" s="14" t="n">
        <f aca="false">IF(NOT(U275),0,IF(K275="Sick Leave",W275,IF(K275="Partial Sick Leave",IF(AND(ISNUMBER(H275),ISNUMBER(I275)),MAX(0,(I275-H275)*24),0),0)))</f>
        <v>0</v>
      </c>
      <c r="Q275" s="14" t="n">
        <f aca="false">IF(NOT(U275),0,IF(K275="Vacation",IF(C275="Eve",Settings!$B$11,1),IF(K275="Partial Vacation",O275/Settings!$B$9,0)))</f>
        <v>0</v>
      </c>
      <c r="R275" s="14" t="n">
        <f aca="false">IF(NOT(U275),0,IF(K275="Sick Leave",1,IF(K275="Partial Sick Leave",P275/Settings!$B$9,0)))</f>
        <v>0</v>
      </c>
      <c r="S275" s="35" t="str">
        <f aca="false">IF(AND(OR(E275="Vacation",E275="Sick Leave",E275="Partial Vacation",E275="Partial Sick Leave"),NOT(U275)),"Leave not allowed on this day",IF(AND(E275="Manual Work",OR(NOT(ISNUMBER(F275)),NOT(ISNUMBER(G275)))),"Enter start and end",IF(AND(OR(E275="Partial Vacation",E275="Partial Sick Leave"),OR(NOT(ISNUMBER(H275)),NOT(ISNUMBER(I275)))),"Enter leave from and to",IF(AND(ISNUMBER(F275),ISNUMBER(G275),G275&lt;=F275),"End is before start",IF(AND(ISNUMBER(H275),ISNUMBER(I275),I275&lt;=H275),"Leave end is before start",IF(AND(ISNUMBER(F275),ISNUMBER(G275),ISNUMBER(H275),ISNUMBER(I275),F275&lt;I275,H275&lt;G275),"Work and leave hours overlap",IF(AND(E275&lt;&gt;"",WEEKDAY(A275)=7),"Saturday - administrator only","")))))))</f>
        <v/>
      </c>
      <c r="T275" s="36" t="n">
        <f aca="false">MONTH(A275)</f>
        <v>9</v>
      </c>
      <c r="U275" s="37" t="b">
        <f aca="false">OR(C275="Workday",C275="Eve")</f>
        <v>0</v>
      </c>
      <c r="V275" s="34" t="n">
        <f aca="false">IF(C275="Eve",Settings!$B$8,Settings!$B$7)</f>
        <v>0.6875</v>
      </c>
      <c r="W275" s="14" t="n">
        <f aca="false">IF(U275,(V275-Settings!$B$6)*24,0)</f>
        <v>0</v>
      </c>
    </row>
    <row r="276" customFormat="false" ht="15" hidden="false" customHeight="false" outlineLevel="0" collapsed="false">
      <c r="A276" s="29" t="n">
        <v>46292</v>
      </c>
      <c r="B276" s="30" t="str">
        <f aca="false">CHOOSE(WEEKDAY(A276),"Sun","Mon","Tue","Wed","Thu","Fri","Sat")</f>
        <v>Sun</v>
      </c>
      <c r="C276" s="30" t="str">
        <f aca="false">IF(IFERROR(INDEX(Holidays!$D$5:$D$60,MATCH(A276,Holidays!$A$5:$A$60,0)),"")="Holiday","Holiday",IF(WEEKDAY(A276)&gt;=6,"Weekend",IF(IFERROR(INDEX(Holidays!$D$5:$D$60,MATCH(A276,Holidays!$A$5:$A$60,0)),"")="Eve","Eve","Workday")))</f>
        <v>Workday</v>
      </c>
      <c r="D276" s="18" t="str">
        <f aca="false">IFERROR(INDEX(Holidays!$C$5:$C$60,MATCH(A276,Holidays!$A$5:$A$60,0)),"")</f>
        <v/>
      </c>
      <c r="E276" s="31"/>
      <c r="F276" s="32"/>
      <c r="G276" s="32"/>
      <c r="H276" s="32"/>
      <c r="I276" s="32"/>
      <c r="J276" s="31"/>
      <c r="K276" s="33" t="str">
        <f aca="false">IF(E276&lt;&gt;"",E276,IF(U276,"Present",IF(C276="Holiday","Holiday","Weekend")))</f>
        <v>Present</v>
      </c>
      <c r="L276" s="34" t="n">
        <f aca="false">IF(OR(K276="Present",K276="Manual Work",K276="Partial Vacation",K276="Partial Sick Leave"),IF(ISNUMBER(F276),F276,IF(AND(K276="Present",U276),Settings!$B$6,"")),"")</f>
        <v>0.333333333333333</v>
      </c>
      <c r="M276" s="34" t="n">
        <f aca="false">IF(OR(K276="Present",K276="Manual Work",K276="Partial Vacation",K276="Partial Sick Leave"),IF(ISNUMBER(G276),G276,IF(AND(K276="Present",U276),V276,"")),"")</f>
        <v>0.6875</v>
      </c>
      <c r="N276" s="14" t="n">
        <f aca="false">IF(AND(ISNUMBER(L276),ISNUMBER(M276)),MAX(0,(M276-L276)*24),0)</f>
        <v>8.5</v>
      </c>
      <c r="O276" s="14" t="n">
        <f aca="false">IF(NOT(U276),0,IF(K276="Vacation",IF(C276="Eve",Settings!$B$9*Settings!$B$11,W276),IF(K276="Partial Vacation",IF(AND(ISNUMBER(H276),ISNUMBER(I276)),MAX(0,(I276-H276)*24),0),0)))</f>
        <v>0</v>
      </c>
      <c r="P276" s="14" t="n">
        <f aca="false">IF(NOT(U276),0,IF(K276="Sick Leave",W276,IF(K276="Partial Sick Leave",IF(AND(ISNUMBER(H276),ISNUMBER(I276)),MAX(0,(I276-H276)*24),0),0)))</f>
        <v>0</v>
      </c>
      <c r="Q276" s="14" t="n">
        <f aca="false">IF(NOT(U276),0,IF(K276="Vacation",IF(C276="Eve",Settings!$B$11,1),IF(K276="Partial Vacation",O276/Settings!$B$9,0)))</f>
        <v>0</v>
      </c>
      <c r="R276" s="14" t="n">
        <f aca="false">IF(NOT(U276),0,IF(K276="Sick Leave",1,IF(K276="Partial Sick Leave",P276/Settings!$B$9,0)))</f>
        <v>0</v>
      </c>
      <c r="S276" s="35" t="str">
        <f aca="false">IF(AND(OR(E276="Vacation",E276="Sick Leave",E276="Partial Vacation",E276="Partial Sick Leave"),NOT(U276)),"Leave not allowed on this day",IF(AND(E276="Manual Work",OR(NOT(ISNUMBER(F276)),NOT(ISNUMBER(G276)))),"Enter start and end",IF(AND(OR(E276="Partial Vacation",E276="Partial Sick Leave"),OR(NOT(ISNUMBER(H276)),NOT(ISNUMBER(I276)))),"Enter leave from and to",IF(AND(ISNUMBER(F276),ISNUMBER(G276),G276&lt;=F276),"End is before start",IF(AND(ISNUMBER(H276),ISNUMBER(I276),I276&lt;=H276),"Leave end is before start",IF(AND(ISNUMBER(F276),ISNUMBER(G276),ISNUMBER(H276),ISNUMBER(I276),F276&lt;I276,H276&lt;G276),"Work and leave hours overlap",IF(AND(E276&lt;&gt;"",WEEKDAY(A276)=7),"Saturday - administrator only","")))))))</f>
        <v/>
      </c>
      <c r="T276" s="36" t="n">
        <f aca="false">MONTH(A276)</f>
        <v>9</v>
      </c>
      <c r="U276" s="37" t="b">
        <f aca="false">OR(C276="Workday",C276="Eve")</f>
        <v>1</v>
      </c>
      <c r="V276" s="34" t="n">
        <f aca="false">IF(C276="Eve",Settings!$B$8,Settings!$B$7)</f>
        <v>0.6875</v>
      </c>
      <c r="W276" s="14" t="n">
        <f aca="false">IF(U276,(V276-Settings!$B$6)*24,0)</f>
        <v>8.5</v>
      </c>
    </row>
    <row r="277" customFormat="false" ht="15" hidden="false" customHeight="false" outlineLevel="0" collapsed="false">
      <c r="A277" s="29" t="n">
        <v>46293</v>
      </c>
      <c r="B277" s="30" t="str">
        <f aca="false">CHOOSE(WEEKDAY(A277),"Sun","Mon","Tue","Wed","Thu","Fri","Sat")</f>
        <v>Mon</v>
      </c>
      <c r="C277" s="30" t="str">
        <f aca="false">IF(IFERROR(INDEX(Holidays!$D$5:$D$60,MATCH(A277,Holidays!$A$5:$A$60,0)),"")="Holiday","Holiday",IF(WEEKDAY(A277)&gt;=6,"Weekend",IF(IFERROR(INDEX(Holidays!$D$5:$D$60,MATCH(A277,Holidays!$A$5:$A$60,0)),"")="Eve","Eve","Workday")))</f>
        <v>Workday</v>
      </c>
      <c r="D277" s="18" t="str">
        <f aca="false">IFERROR(INDEX(Holidays!$C$5:$C$60,MATCH(A277,Holidays!$A$5:$A$60,0)),"")</f>
        <v/>
      </c>
      <c r="E277" s="31"/>
      <c r="F277" s="32"/>
      <c r="G277" s="32"/>
      <c r="H277" s="32"/>
      <c r="I277" s="32"/>
      <c r="J277" s="31"/>
      <c r="K277" s="33" t="str">
        <f aca="false">IF(E277&lt;&gt;"",E277,IF(U277,"Present",IF(C277="Holiday","Holiday","Weekend")))</f>
        <v>Present</v>
      </c>
      <c r="L277" s="34" t="n">
        <f aca="false">IF(OR(K277="Present",K277="Manual Work",K277="Partial Vacation",K277="Partial Sick Leave"),IF(ISNUMBER(F277),F277,IF(AND(K277="Present",U277),Settings!$B$6,"")),"")</f>
        <v>0.333333333333333</v>
      </c>
      <c r="M277" s="34" t="n">
        <f aca="false">IF(OR(K277="Present",K277="Manual Work",K277="Partial Vacation",K277="Partial Sick Leave"),IF(ISNUMBER(G277),G277,IF(AND(K277="Present",U277),V277,"")),"")</f>
        <v>0.6875</v>
      </c>
      <c r="N277" s="14" t="n">
        <f aca="false">IF(AND(ISNUMBER(L277),ISNUMBER(M277)),MAX(0,(M277-L277)*24),0)</f>
        <v>8.5</v>
      </c>
      <c r="O277" s="14" t="n">
        <f aca="false">IF(NOT(U277),0,IF(K277="Vacation",IF(C277="Eve",Settings!$B$9*Settings!$B$11,W277),IF(K277="Partial Vacation",IF(AND(ISNUMBER(H277),ISNUMBER(I277)),MAX(0,(I277-H277)*24),0),0)))</f>
        <v>0</v>
      </c>
      <c r="P277" s="14" t="n">
        <f aca="false">IF(NOT(U277),0,IF(K277="Sick Leave",W277,IF(K277="Partial Sick Leave",IF(AND(ISNUMBER(H277),ISNUMBER(I277)),MAX(0,(I277-H277)*24),0),0)))</f>
        <v>0</v>
      </c>
      <c r="Q277" s="14" t="n">
        <f aca="false">IF(NOT(U277),0,IF(K277="Vacation",IF(C277="Eve",Settings!$B$11,1),IF(K277="Partial Vacation",O277/Settings!$B$9,0)))</f>
        <v>0</v>
      </c>
      <c r="R277" s="14" t="n">
        <f aca="false">IF(NOT(U277),0,IF(K277="Sick Leave",1,IF(K277="Partial Sick Leave",P277/Settings!$B$9,0)))</f>
        <v>0</v>
      </c>
      <c r="S277" s="35" t="str">
        <f aca="false">IF(AND(OR(E277="Vacation",E277="Sick Leave",E277="Partial Vacation",E277="Partial Sick Leave"),NOT(U277)),"Leave not allowed on this day",IF(AND(E277="Manual Work",OR(NOT(ISNUMBER(F277)),NOT(ISNUMBER(G277)))),"Enter start and end",IF(AND(OR(E277="Partial Vacation",E277="Partial Sick Leave"),OR(NOT(ISNUMBER(H277)),NOT(ISNUMBER(I277)))),"Enter leave from and to",IF(AND(ISNUMBER(F277),ISNUMBER(G277),G277&lt;=F277),"End is before start",IF(AND(ISNUMBER(H277),ISNUMBER(I277),I277&lt;=H277),"Leave end is before start",IF(AND(ISNUMBER(F277),ISNUMBER(G277),ISNUMBER(H277),ISNUMBER(I277),F277&lt;I277,H277&lt;G277),"Work and leave hours overlap",IF(AND(E277&lt;&gt;"",WEEKDAY(A277)=7),"Saturday - administrator only","")))))))</f>
        <v/>
      </c>
      <c r="T277" s="36" t="n">
        <f aca="false">MONTH(A277)</f>
        <v>9</v>
      </c>
      <c r="U277" s="37" t="b">
        <f aca="false">OR(C277="Workday",C277="Eve")</f>
        <v>1</v>
      </c>
      <c r="V277" s="34" t="n">
        <f aca="false">IF(C277="Eve",Settings!$B$8,Settings!$B$7)</f>
        <v>0.6875</v>
      </c>
      <c r="W277" s="14" t="n">
        <f aca="false">IF(U277,(V277-Settings!$B$6)*24,0)</f>
        <v>8.5</v>
      </c>
    </row>
    <row r="278" customFormat="false" ht="15" hidden="false" customHeight="false" outlineLevel="0" collapsed="false">
      <c r="A278" s="29" t="n">
        <v>46294</v>
      </c>
      <c r="B278" s="30" t="str">
        <f aca="false">CHOOSE(WEEKDAY(A278),"Sun","Mon","Tue","Wed","Thu","Fri","Sat")</f>
        <v>Tue</v>
      </c>
      <c r="C278" s="30" t="str">
        <f aca="false">IF(IFERROR(INDEX(Holidays!$D$5:$D$60,MATCH(A278,Holidays!$A$5:$A$60,0)),"")="Holiday","Holiday",IF(WEEKDAY(A278)&gt;=6,"Weekend",IF(IFERROR(INDEX(Holidays!$D$5:$D$60,MATCH(A278,Holidays!$A$5:$A$60,0)),"")="Eve","Eve","Workday")))</f>
        <v>Workday</v>
      </c>
      <c r="D278" s="18" t="str">
        <f aca="false">IFERROR(INDEX(Holidays!$C$5:$C$60,MATCH(A278,Holidays!$A$5:$A$60,0)),"")</f>
        <v/>
      </c>
      <c r="E278" s="31"/>
      <c r="F278" s="32"/>
      <c r="G278" s="32"/>
      <c r="H278" s="32"/>
      <c r="I278" s="32"/>
      <c r="J278" s="31"/>
      <c r="K278" s="33" t="str">
        <f aca="false">IF(E278&lt;&gt;"",E278,IF(U278,"Present",IF(C278="Holiday","Holiday","Weekend")))</f>
        <v>Present</v>
      </c>
      <c r="L278" s="34" t="n">
        <f aca="false">IF(OR(K278="Present",K278="Manual Work",K278="Partial Vacation",K278="Partial Sick Leave"),IF(ISNUMBER(F278),F278,IF(AND(K278="Present",U278),Settings!$B$6,"")),"")</f>
        <v>0.333333333333333</v>
      </c>
      <c r="M278" s="34" t="n">
        <f aca="false">IF(OR(K278="Present",K278="Manual Work",K278="Partial Vacation",K278="Partial Sick Leave"),IF(ISNUMBER(G278),G278,IF(AND(K278="Present",U278),V278,"")),"")</f>
        <v>0.6875</v>
      </c>
      <c r="N278" s="14" t="n">
        <f aca="false">IF(AND(ISNUMBER(L278),ISNUMBER(M278)),MAX(0,(M278-L278)*24),0)</f>
        <v>8.5</v>
      </c>
      <c r="O278" s="14" t="n">
        <f aca="false">IF(NOT(U278),0,IF(K278="Vacation",IF(C278="Eve",Settings!$B$9*Settings!$B$11,W278),IF(K278="Partial Vacation",IF(AND(ISNUMBER(H278),ISNUMBER(I278)),MAX(0,(I278-H278)*24),0),0)))</f>
        <v>0</v>
      </c>
      <c r="P278" s="14" t="n">
        <f aca="false">IF(NOT(U278),0,IF(K278="Sick Leave",W278,IF(K278="Partial Sick Leave",IF(AND(ISNUMBER(H278),ISNUMBER(I278)),MAX(0,(I278-H278)*24),0),0)))</f>
        <v>0</v>
      </c>
      <c r="Q278" s="14" t="n">
        <f aca="false">IF(NOT(U278),0,IF(K278="Vacation",IF(C278="Eve",Settings!$B$11,1),IF(K278="Partial Vacation",O278/Settings!$B$9,0)))</f>
        <v>0</v>
      </c>
      <c r="R278" s="14" t="n">
        <f aca="false">IF(NOT(U278),0,IF(K278="Sick Leave",1,IF(K278="Partial Sick Leave",P278/Settings!$B$9,0)))</f>
        <v>0</v>
      </c>
      <c r="S278" s="35" t="str">
        <f aca="false">IF(AND(OR(E278="Vacation",E278="Sick Leave",E278="Partial Vacation",E278="Partial Sick Leave"),NOT(U278)),"Leave not allowed on this day",IF(AND(E278="Manual Work",OR(NOT(ISNUMBER(F278)),NOT(ISNUMBER(G278)))),"Enter start and end",IF(AND(OR(E278="Partial Vacation",E278="Partial Sick Leave"),OR(NOT(ISNUMBER(H278)),NOT(ISNUMBER(I278)))),"Enter leave from and to",IF(AND(ISNUMBER(F278),ISNUMBER(G278),G278&lt;=F278),"End is before start",IF(AND(ISNUMBER(H278),ISNUMBER(I278),I278&lt;=H278),"Leave end is before start",IF(AND(ISNUMBER(F278),ISNUMBER(G278),ISNUMBER(H278),ISNUMBER(I278),F278&lt;I278,H278&lt;G278),"Work and leave hours overlap",IF(AND(E278&lt;&gt;"",WEEKDAY(A278)=7),"Saturday - administrator only","")))))))</f>
        <v/>
      </c>
      <c r="T278" s="36" t="n">
        <f aca="false">MONTH(A278)</f>
        <v>9</v>
      </c>
      <c r="U278" s="37" t="b">
        <f aca="false">OR(C278="Workday",C278="Eve")</f>
        <v>1</v>
      </c>
      <c r="V278" s="34" t="n">
        <f aca="false">IF(C278="Eve",Settings!$B$8,Settings!$B$7)</f>
        <v>0.6875</v>
      </c>
      <c r="W278" s="14" t="n">
        <f aca="false">IF(U278,(V278-Settings!$B$6)*24,0)</f>
        <v>8.5</v>
      </c>
    </row>
    <row r="279" customFormat="false" ht="15" hidden="false" customHeight="false" outlineLevel="0" collapsed="false">
      <c r="A279" s="29" t="n">
        <v>46295</v>
      </c>
      <c r="B279" s="30" t="str">
        <f aca="false">CHOOSE(WEEKDAY(A279),"Sun","Mon","Tue","Wed","Thu","Fri","Sat")</f>
        <v>Wed</v>
      </c>
      <c r="C279" s="30" t="str">
        <f aca="false">IF(IFERROR(INDEX(Holidays!$D$5:$D$60,MATCH(A279,Holidays!$A$5:$A$60,0)),"")="Holiday","Holiday",IF(WEEKDAY(A279)&gt;=6,"Weekend",IF(IFERROR(INDEX(Holidays!$D$5:$D$60,MATCH(A279,Holidays!$A$5:$A$60,0)),"")="Eve","Eve","Workday")))</f>
        <v>Workday</v>
      </c>
      <c r="D279" s="18" t="str">
        <f aca="false">IFERROR(INDEX(Holidays!$C$5:$C$60,MATCH(A279,Holidays!$A$5:$A$60,0)),"")</f>
        <v/>
      </c>
      <c r="E279" s="31"/>
      <c r="F279" s="32"/>
      <c r="G279" s="32"/>
      <c r="H279" s="32"/>
      <c r="I279" s="32"/>
      <c r="J279" s="31"/>
      <c r="K279" s="33" t="str">
        <f aca="false">IF(E279&lt;&gt;"",E279,IF(U279,"Present",IF(C279="Holiday","Holiday","Weekend")))</f>
        <v>Present</v>
      </c>
      <c r="L279" s="34" t="n">
        <f aca="false">IF(OR(K279="Present",K279="Manual Work",K279="Partial Vacation",K279="Partial Sick Leave"),IF(ISNUMBER(F279),F279,IF(AND(K279="Present",U279),Settings!$B$6,"")),"")</f>
        <v>0.333333333333333</v>
      </c>
      <c r="M279" s="34" t="n">
        <f aca="false">IF(OR(K279="Present",K279="Manual Work",K279="Partial Vacation",K279="Partial Sick Leave"),IF(ISNUMBER(G279),G279,IF(AND(K279="Present",U279),V279,"")),"")</f>
        <v>0.6875</v>
      </c>
      <c r="N279" s="14" t="n">
        <f aca="false">IF(AND(ISNUMBER(L279),ISNUMBER(M279)),MAX(0,(M279-L279)*24),0)</f>
        <v>8.5</v>
      </c>
      <c r="O279" s="14" t="n">
        <f aca="false">IF(NOT(U279),0,IF(K279="Vacation",IF(C279="Eve",Settings!$B$9*Settings!$B$11,W279),IF(K279="Partial Vacation",IF(AND(ISNUMBER(H279),ISNUMBER(I279)),MAX(0,(I279-H279)*24),0),0)))</f>
        <v>0</v>
      </c>
      <c r="P279" s="14" t="n">
        <f aca="false">IF(NOT(U279),0,IF(K279="Sick Leave",W279,IF(K279="Partial Sick Leave",IF(AND(ISNUMBER(H279),ISNUMBER(I279)),MAX(0,(I279-H279)*24),0),0)))</f>
        <v>0</v>
      </c>
      <c r="Q279" s="14" t="n">
        <f aca="false">IF(NOT(U279),0,IF(K279="Vacation",IF(C279="Eve",Settings!$B$11,1),IF(K279="Partial Vacation",O279/Settings!$B$9,0)))</f>
        <v>0</v>
      </c>
      <c r="R279" s="14" t="n">
        <f aca="false">IF(NOT(U279),0,IF(K279="Sick Leave",1,IF(K279="Partial Sick Leave",P279/Settings!$B$9,0)))</f>
        <v>0</v>
      </c>
      <c r="S279" s="35" t="str">
        <f aca="false">IF(AND(OR(E279="Vacation",E279="Sick Leave",E279="Partial Vacation",E279="Partial Sick Leave"),NOT(U279)),"Leave not allowed on this day",IF(AND(E279="Manual Work",OR(NOT(ISNUMBER(F279)),NOT(ISNUMBER(G279)))),"Enter start and end",IF(AND(OR(E279="Partial Vacation",E279="Partial Sick Leave"),OR(NOT(ISNUMBER(H279)),NOT(ISNUMBER(I279)))),"Enter leave from and to",IF(AND(ISNUMBER(F279),ISNUMBER(G279),G279&lt;=F279),"End is before start",IF(AND(ISNUMBER(H279),ISNUMBER(I279),I279&lt;=H279),"Leave end is before start",IF(AND(ISNUMBER(F279),ISNUMBER(G279),ISNUMBER(H279),ISNUMBER(I279),F279&lt;I279,H279&lt;G279),"Work and leave hours overlap",IF(AND(E279&lt;&gt;"",WEEKDAY(A279)=7),"Saturday - administrator only","")))))))</f>
        <v/>
      </c>
      <c r="T279" s="36" t="n">
        <f aca="false">MONTH(A279)</f>
        <v>9</v>
      </c>
      <c r="U279" s="37" t="b">
        <f aca="false">OR(C279="Workday",C279="Eve")</f>
        <v>1</v>
      </c>
      <c r="V279" s="34" t="n">
        <f aca="false">IF(C279="Eve",Settings!$B$8,Settings!$B$7)</f>
        <v>0.6875</v>
      </c>
      <c r="W279" s="14" t="n">
        <f aca="false">IF(U279,(V279-Settings!$B$6)*24,0)</f>
        <v>8.5</v>
      </c>
    </row>
    <row r="280" customFormat="false" ht="15" hidden="false" customHeight="false" outlineLevel="0" collapsed="false">
      <c r="A280" s="29" t="n">
        <v>46296</v>
      </c>
      <c r="B280" s="30" t="str">
        <f aca="false">CHOOSE(WEEKDAY(A280),"Sun","Mon","Tue","Wed","Thu","Fri","Sat")</f>
        <v>Thu</v>
      </c>
      <c r="C280" s="30" t="str">
        <f aca="false">IF(IFERROR(INDEX(Holidays!$D$5:$D$60,MATCH(A280,Holidays!$A$5:$A$60,0)),"")="Holiday","Holiday",IF(WEEKDAY(A280)&gt;=6,"Weekend",IF(IFERROR(INDEX(Holidays!$D$5:$D$60,MATCH(A280,Holidays!$A$5:$A$60,0)),"")="Eve","Eve","Workday")))</f>
        <v>Workday</v>
      </c>
      <c r="D280" s="18" t="str">
        <f aca="false">IFERROR(INDEX(Holidays!$C$5:$C$60,MATCH(A280,Holidays!$A$5:$A$60,0)),"")</f>
        <v/>
      </c>
      <c r="E280" s="31"/>
      <c r="F280" s="32"/>
      <c r="G280" s="32"/>
      <c r="H280" s="32"/>
      <c r="I280" s="32"/>
      <c r="J280" s="31"/>
      <c r="K280" s="33" t="str">
        <f aca="false">IF(E280&lt;&gt;"",E280,IF(U280,"Present",IF(C280="Holiday","Holiday","Weekend")))</f>
        <v>Present</v>
      </c>
      <c r="L280" s="34" t="n">
        <f aca="false">IF(OR(K280="Present",K280="Manual Work",K280="Partial Vacation",K280="Partial Sick Leave"),IF(ISNUMBER(F280),F280,IF(AND(K280="Present",U280),Settings!$B$6,"")),"")</f>
        <v>0.333333333333333</v>
      </c>
      <c r="M280" s="34" t="n">
        <f aca="false">IF(OR(K280="Present",K280="Manual Work",K280="Partial Vacation",K280="Partial Sick Leave"),IF(ISNUMBER(G280),G280,IF(AND(K280="Present",U280),V280,"")),"")</f>
        <v>0.6875</v>
      </c>
      <c r="N280" s="14" t="n">
        <f aca="false">IF(AND(ISNUMBER(L280),ISNUMBER(M280)),MAX(0,(M280-L280)*24),0)</f>
        <v>8.5</v>
      </c>
      <c r="O280" s="14" t="n">
        <f aca="false">IF(NOT(U280),0,IF(K280="Vacation",IF(C280="Eve",Settings!$B$9*Settings!$B$11,W280),IF(K280="Partial Vacation",IF(AND(ISNUMBER(H280),ISNUMBER(I280)),MAX(0,(I280-H280)*24),0),0)))</f>
        <v>0</v>
      </c>
      <c r="P280" s="14" t="n">
        <f aca="false">IF(NOT(U280),0,IF(K280="Sick Leave",W280,IF(K280="Partial Sick Leave",IF(AND(ISNUMBER(H280),ISNUMBER(I280)),MAX(0,(I280-H280)*24),0),0)))</f>
        <v>0</v>
      </c>
      <c r="Q280" s="14" t="n">
        <f aca="false">IF(NOT(U280),0,IF(K280="Vacation",IF(C280="Eve",Settings!$B$11,1),IF(K280="Partial Vacation",O280/Settings!$B$9,0)))</f>
        <v>0</v>
      </c>
      <c r="R280" s="14" t="n">
        <f aca="false">IF(NOT(U280),0,IF(K280="Sick Leave",1,IF(K280="Partial Sick Leave",P280/Settings!$B$9,0)))</f>
        <v>0</v>
      </c>
      <c r="S280" s="35" t="str">
        <f aca="false">IF(AND(OR(E280="Vacation",E280="Sick Leave",E280="Partial Vacation",E280="Partial Sick Leave"),NOT(U280)),"Leave not allowed on this day",IF(AND(E280="Manual Work",OR(NOT(ISNUMBER(F280)),NOT(ISNUMBER(G280)))),"Enter start and end",IF(AND(OR(E280="Partial Vacation",E280="Partial Sick Leave"),OR(NOT(ISNUMBER(H280)),NOT(ISNUMBER(I280)))),"Enter leave from and to",IF(AND(ISNUMBER(F280),ISNUMBER(G280),G280&lt;=F280),"End is before start",IF(AND(ISNUMBER(H280),ISNUMBER(I280),I280&lt;=H280),"Leave end is before start",IF(AND(ISNUMBER(F280),ISNUMBER(G280),ISNUMBER(H280),ISNUMBER(I280),F280&lt;I280,H280&lt;G280),"Work and leave hours overlap",IF(AND(E280&lt;&gt;"",WEEKDAY(A280)=7),"Saturday - administrator only","")))))))</f>
        <v/>
      </c>
      <c r="T280" s="36" t="n">
        <f aca="false">MONTH(A280)</f>
        <v>10</v>
      </c>
      <c r="U280" s="37" t="b">
        <f aca="false">OR(C280="Workday",C280="Eve")</f>
        <v>1</v>
      </c>
      <c r="V280" s="34" t="n">
        <f aca="false">IF(C280="Eve",Settings!$B$8,Settings!$B$7)</f>
        <v>0.6875</v>
      </c>
      <c r="W280" s="14" t="n">
        <f aca="false">IF(U280,(V280-Settings!$B$6)*24,0)</f>
        <v>8.5</v>
      </c>
    </row>
    <row r="281" customFormat="false" ht="15" hidden="false" customHeight="false" outlineLevel="0" collapsed="false">
      <c r="A281" s="29" t="n">
        <v>46297</v>
      </c>
      <c r="B281" s="30" t="str">
        <f aca="false">CHOOSE(WEEKDAY(A281),"Sun","Mon","Tue","Wed","Thu","Fri","Sat")</f>
        <v>Fri</v>
      </c>
      <c r="C281" s="30" t="str">
        <f aca="false">IF(IFERROR(INDEX(Holidays!$D$5:$D$60,MATCH(A281,Holidays!$A$5:$A$60,0)),"")="Holiday","Holiday",IF(WEEKDAY(A281)&gt;=6,"Weekend",IF(IFERROR(INDEX(Holidays!$D$5:$D$60,MATCH(A281,Holidays!$A$5:$A$60,0)),"")="Eve","Eve","Workday")))</f>
        <v>Weekend</v>
      </c>
      <c r="D281" s="18" t="str">
        <f aca="false">IFERROR(INDEX(Holidays!$C$5:$C$60,MATCH(A281,Holidays!$A$5:$A$60,0)),"")</f>
        <v>Erev Simchat Torah</v>
      </c>
      <c r="E281" s="31"/>
      <c r="F281" s="32"/>
      <c r="G281" s="32"/>
      <c r="H281" s="32"/>
      <c r="I281" s="32"/>
      <c r="J281" s="31"/>
      <c r="K281" s="33" t="str">
        <f aca="false">IF(E281&lt;&gt;"",E281,IF(U281,"Present",IF(C281="Holiday","Holiday","Weekend")))</f>
        <v>Weekend</v>
      </c>
      <c r="L281" s="34" t="str">
        <f aca="false">IF(OR(K281="Present",K281="Manual Work",K281="Partial Vacation",K281="Partial Sick Leave"),IF(ISNUMBER(F281),F281,IF(AND(K281="Present",U281),Settings!$B$6,"")),"")</f>
        <v/>
      </c>
      <c r="M281" s="34" t="str">
        <f aca="false">IF(OR(K281="Present",K281="Manual Work",K281="Partial Vacation",K281="Partial Sick Leave"),IF(ISNUMBER(G281),G281,IF(AND(K281="Present",U281),V281,"")),"")</f>
        <v/>
      </c>
      <c r="N281" s="14" t="n">
        <f aca="false">IF(AND(ISNUMBER(L281),ISNUMBER(M281)),MAX(0,(M281-L281)*24),0)</f>
        <v>0</v>
      </c>
      <c r="O281" s="14" t="n">
        <f aca="false">IF(NOT(U281),0,IF(K281="Vacation",IF(C281="Eve",Settings!$B$9*Settings!$B$11,W281),IF(K281="Partial Vacation",IF(AND(ISNUMBER(H281),ISNUMBER(I281)),MAX(0,(I281-H281)*24),0),0)))</f>
        <v>0</v>
      </c>
      <c r="P281" s="14" t="n">
        <f aca="false">IF(NOT(U281),0,IF(K281="Sick Leave",W281,IF(K281="Partial Sick Leave",IF(AND(ISNUMBER(H281),ISNUMBER(I281)),MAX(0,(I281-H281)*24),0),0)))</f>
        <v>0</v>
      </c>
      <c r="Q281" s="14" t="n">
        <f aca="false">IF(NOT(U281),0,IF(K281="Vacation",IF(C281="Eve",Settings!$B$11,1),IF(K281="Partial Vacation",O281/Settings!$B$9,0)))</f>
        <v>0</v>
      </c>
      <c r="R281" s="14" t="n">
        <f aca="false">IF(NOT(U281),0,IF(K281="Sick Leave",1,IF(K281="Partial Sick Leave",P281/Settings!$B$9,0)))</f>
        <v>0</v>
      </c>
      <c r="S281" s="35" t="str">
        <f aca="false">IF(AND(OR(E281="Vacation",E281="Sick Leave",E281="Partial Vacation",E281="Partial Sick Leave"),NOT(U281)),"Leave not allowed on this day",IF(AND(E281="Manual Work",OR(NOT(ISNUMBER(F281)),NOT(ISNUMBER(G281)))),"Enter start and end",IF(AND(OR(E281="Partial Vacation",E281="Partial Sick Leave"),OR(NOT(ISNUMBER(H281)),NOT(ISNUMBER(I281)))),"Enter leave from and to",IF(AND(ISNUMBER(F281),ISNUMBER(G281),G281&lt;=F281),"End is before start",IF(AND(ISNUMBER(H281),ISNUMBER(I281),I281&lt;=H281),"Leave end is before start",IF(AND(ISNUMBER(F281),ISNUMBER(G281),ISNUMBER(H281),ISNUMBER(I281),F281&lt;I281,H281&lt;G281),"Work and leave hours overlap",IF(AND(E281&lt;&gt;"",WEEKDAY(A281)=7),"Saturday - administrator only","")))))))</f>
        <v/>
      </c>
      <c r="T281" s="36" t="n">
        <f aca="false">MONTH(A281)</f>
        <v>10</v>
      </c>
      <c r="U281" s="37" t="b">
        <f aca="false">OR(C281="Workday",C281="Eve")</f>
        <v>0</v>
      </c>
      <c r="V281" s="34" t="n">
        <f aca="false">IF(C281="Eve",Settings!$B$8,Settings!$B$7)</f>
        <v>0.6875</v>
      </c>
      <c r="W281" s="14" t="n">
        <f aca="false">IF(U281,(V281-Settings!$B$6)*24,0)</f>
        <v>0</v>
      </c>
    </row>
    <row r="282" customFormat="false" ht="15" hidden="false" customHeight="false" outlineLevel="0" collapsed="false">
      <c r="A282" s="29" t="n">
        <v>46298</v>
      </c>
      <c r="B282" s="30" t="str">
        <f aca="false">CHOOSE(WEEKDAY(A282),"Sun","Mon","Tue","Wed","Thu","Fri","Sat")</f>
        <v>Sat</v>
      </c>
      <c r="C282" s="30" t="str">
        <f aca="false">IF(IFERROR(INDEX(Holidays!$D$5:$D$60,MATCH(A282,Holidays!$A$5:$A$60,0)),"")="Holiday","Holiday",IF(WEEKDAY(A282)&gt;=6,"Weekend",IF(IFERROR(INDEX(Holidays!$D$5:$D$60,MATCH(A282,Holidays!$A$5:$A$60,0)),"")="Eve","Eve","Workday")))</f>
        <v>Holiday</v>
      </c>
      <c r="D282" s="18" t="str">
        <f aca="false">IFERROR(INDEX(Holidays!$C$5:$C$60,MATCH(A282,Holidays!$A$5:$A$60,0)),"")</f>
        <v>Simchat Torah</v>
      </c>
      <c r="E282" s="31"/>
      <c r="F282" s="32"/>
      <c r="G282" s="32"/>
      <c r="H282" s="32"/>
      <c r="I282" s="32"/>
      <c r="J282" s="31"/>
      <c r="K282" s="33" t="str">
        <f aca="false">IF(E282&lt;&gt;"",E282,IF(U282,"Present",IF(C282="Holiday","Holiday","Weekend")))</f>
        <v>Holiday</v>
      </c>
      <c r="L282" s="34" t="str">
        <f aca="false">IF(OR(K282="Present",K282="Manual Work",K282="Partial Vacation",K282="Partial Sick Leave"),IF(ISNUMBER(F282),F282,IF(AND(K282="Present",U282),Settings!$B$6,"")),"")</f>
        <v/>
      </c>
      <c r="M282" s="34" t="str">
        <f aca="false">IF(OR(K282="Present",K282="Manual Work",K282="Partial Vacation",K282="Partial Sick Leave"),IF(ISNUMBER(G282),G282,IF(AND(K282="Present",U282),V282,"")),"")</f>
        <v/>
      </c>
      <c r="N282" s="14" t="n">
        <f aca="false">IF(AND(ISNUMBER(L282),ISNUMBER(M282)),MAX(0,(M282-L282)*24),0)</f>
        <v>0</v>
      </c>
      <c r="O282" s="14" t="n">
        <f aca="false">IF(NOT(U282),0,IF(K282="Vacation",IF(C282="Eve",Settings!$B$9*Settings!$B$11,W282),IF(K282="Partial Vacation",IF(AND(ISNUMBER(H282),ISNUMBER(I282)),MAX(0,(I282-H282)*24),0),0)))</f>
        <v>0</v>
      </c>
      <c r="P282" s="14" t="n">
        <f aca="false">IF(NOT(U282),0,IF(K282="Sick Leave",W282,IF(K282="Partial Sick Leave",IF(AND(ISNUMBER(H282),ISNUMBER(I282)),MAX(0,(I282-H282)*24),0),0)))</f>
        <v>0</v>
      </c>
      <c r="Q282" s="14" t="n">
        <f aca="false">IF(NOT(U282),0,IF(K282="Vacation",IF(C282="Eve",Settings!$B$11,1),IF(K282="Partial Vacation",O282/Settings!$B$9,0)))</f>
        <v>0</v>
      </c>
      <c r="R282" s="14" t="n">
        <f aca="false">IF(NOT(U282),0,IF(K282="Sick Leave",1,IF(K282="Partial Sick Leave",P282/Settings!$B$9,0)))</f>
        <v>0</v>
      </c>
      <c r="S282" s="35" t="str">
        <f aca="false">IF(AND(OR(E282="Vacation",E282="Sick Leave",E282="Partial Vacation",E282="Partial Sick Leave"),NOT(U282)),"Leave not allowed on this day",IF(AND(E282="Manual Work",OR(NOT(ISNUMBER(F282)),NOT(ISNUMBER(G282)))),"Enter start and end",IF(AND(OR(E282="Partial Vacation",E282="Partial Sick Leave"),OR(NOT(ISNUMBER(H282)),NOT(ISNUMBER(I282)))),"Enter leave from and to",IF(AND(ISNUMBER(F282),ISNUMBER(G282),G282&lt;=F282),"End is before start",IF(AND(ISNUMBER(H282),ISNUMBER(I282),I282&lt;=H282),"Leave end is before start",IF(AND(ISNUMBER(F282),ISNUMBER(G282),ISNUMBER(H282),ISNUMBER(I282),F282&lt;I282,H282&lt;G282),"Work and leave hours overlap",IF(AND(E282&lt;&gt;"",WEEKDAY(A282)=7),"Saturday - administrator only","")))))))</f>
        <v/>
      </c>
      <c r="T282" s="36" t="n">
        <f aca="false">MONTH(A282)</f>
        <v>10</v>
      </c>
      <c r="U282" s="37" t="b">
        <f aca="false">OR(C282="Workday",C282="Eve")</f>
        <v>0</v>
      </c>
      <c r="V282" s="34" t="n">
        <f aca="false">IF(C282="Eve",Settings!$B$8,Settings!$B$7)</f>
        <v>0.6875</v>
      </c>
      <c r="W282" s="14" t="n">
        <f aca="false">IF(U282,(V282-Settings!$B$6)*24,0)</f>
        <v>0</v>
      </c>
    </row>
    <row r="283" customFormat="false" ht="15" hidden="false" customHeight="false" outlineLevel="0" collapsed="false">
      <c r="A283" s="29" t="n">
        <v>46299</v>
      </c>
      <c r="B283" s="30" t="str">
        <f aca="false">CHOOSE(WEEKDAY(A283),"Sun","Mon","Tue","Wed","Thu","Fri","Sat")</f>
        <v>Sun</v>
      </c>
      <c r="C283" s="30" t="str">
        <f aca="false">IF(IFERROR(INDEX(Holidays!$D$5:$D$60,MATCH(A283,Holidays!$A$5:$A$60,0)),"")="Holiday","Holiday",IF(WEEKDAY(A283)&gt;=6,"Weekend",IF(IFERROR(INDEX(Holidays!$D$5:$D$60,MATCH(A283,Holidays!$A$5:$A$60,0)),"")="Eve","Eve","Workday")))</f>
        <v>Workday</v>
      </c>
      <c r="D283" s="18" t="str">
        <f aca="false">IFERROR(INDEX(Holidays!$C$5:$C$60,MATCH(A283,Holidays!$A$5:$A$60,0)),"")</f>
        <v/>
      </c>
      <c r="E283" s="31"/>
      <c r="F283" s="32"/>
      <c r="G283" s="32"/>
      <c r="H283" s="32"/>
      <c r="I283" s="32"/>
      <c r="J283" s="31"/>
      <c r="K283" s="33" t="str">
        <f aca="false">IF(E283&lt;&gt;"",E283,IF(U283,"Present",IF(C283="Holiday","Holiday","Weekend")))</f>
        <v>Present</v>
      </c>
      <c r="L283" s="34" t="n">
        <f aca="false">IF(OR(K283="Present",K283="Manual Work",K283="Partial Vacation",K283="Partial Sick Leave"),IF(ISNUMBER(F283),F283,IF(AND(K283="Present",U283),Settings!$B$6,"")),"")</f>
        <v>0.333333333333333</v>
      </c>
      <c r="M283" s="34" t="n">
        <f aca="false">IF(OR(K283="Present",K283="Manual Work",K283="Partial Vacation",K283="Partial Sick Leave"),IF(ISNUMBER(G283),G283,IF(AND(K283="Present",U283),V283,"")),"")</f>
        <v>0.6875</v>
      </c>
      <c r="N283" s="14" t="n">
        <f aca="false">IF(AND(ISNUMBER(L283),ISNUMBER(M283)),MAX(0,(M283-L283)*24),0)</f>
        <v>8.5</v>
      </c>
      <c r="O283" s="14" t="n">
        <f aca="false">IF(NOT(U283),0,IF(K283="Vacation",IF(C283="Eve",Settings!$B$9*Settings!$B$11,W283),IF(K283="Partial Vacation",IF(AND(ISNUMBER(H283),ISNUMBER(I283)),MAX(0,(I283-H283)*24),0),0)))</f>
        <v>0</v>
      </c>
      <c r="P283" s="14" t="n">
        <f aca="false">IF(NOT(U283),0,IF(K283="Sick Leave",W283,IF(K283="Partial Sick Leave",IF(AND(ISNUMBER(H283),ISNUMBER(I283)),MAX(0,(I283-H283)*24),0),0)))</f>
        <v>0</v>
      </c>
      <c r="Q283" s="14" t="n">
        <f aca="false">IF(NOT(U283),0,IF(K283="Vacation",IF(C283="Eve",Settings!$B$11,1),IF(K283="Partial Vacation",O283/Settings!$B$9,0)))</f>
        <v>0</v>
      </c>
      <c r="R283" s="14" t="n">
        <f aca="false">IF(NOT(U283),0,IF(K283="Sick Leave",1,IF(K283="Partial Sick Leave",P283/Settings!$B$9,0)))</f>
        <v>0</v>
      </c>
      <c r="S283" s="35" t="str">
        <f aca="false">IF(AND(OR(E283="Vacation",E283="Sick Leave",E283="Partial Vacation",E283="Partial Sick Leave"),NOT(U283)),"Leave not allowed on this day",IF(AND(E283="Manual Work",OR(NOT(ISNUMBER(F283)),NOT(ISNUMBER(G283)))),"Enter start and end",IF(AND(OR(E283="Partial Vacation",E283="Partial Sick Leave"),OR(NOT(ISNUMBER(H283)),NOT(ISNUMBER(I283)))),"Enter leave from and to",IF(AND(ISNUMBER(F283),ISNUMBER(G283),G283&lt;=F283),"End is before start",IF(AND(ISNUMBER(H283),ISNUMBER(I283),I283&lt;=H283),"Leave end is before start",IF(AND(ISNUMBER(F283),ISNUMBER(G283),ISNUMBER(H283),ISNUMBER(I283),F283&lt;I283,H283&lt;G283),"Work and leave hours overlap",IF(AND(E283&lt;&gt;"",WEEKDAY(A283)=7),"Saturday - administrator only","")))))))</f>
        <v/>
      </c>
      <c r="T283" s="36" t="n">
        <f aca="false">MONTH(A283)</f>
        <v>10</v>
      </c>
      <c r="U283" s="37" t="b">
        <f aca="false">OR(C283="Workday",C283="Eve")</f>
        <v>1</v>
      </c>
      <c r="V283" s="34" t="n">
        <f aca="false">IF(C283="Eve",Settings!$B$8,Settings!$B$7)</f>
        <v>0.6875</v>
      </c>
      <c r="W283" s="14" t="n">
        <f aca="false">IF(U283,(V283-Settings!$B$6)*24,0)</f>
        <v>8.5</v>
      </c>
    </row>
    <row r="284" customFormat="false" ht="15" hidden="false" customHeight="false" outlineLevel="0" collapsed="false">
      <c r="A284" s="29" t="n">
        <v>46300</v>
      </c>
      <c r="B284" s="30" t="str">
        <f aca="false">CHOOSE(WEEKDAY(A284),"Sun","Mon","Tue","Wed","Thu","Fri","Sat")</f>
        <v>Mon</v>
      </c>
      <c r="C284" s="30" t="str">
        <f aca="false">IF(IFERROR(INDEX(Holidays!$D$5:$D$60,MATCH(A284,Holidays!$A$5:$A$60,0)),"")="Holiday","Holiday",IF(WEEKDAY(A284)&gt;=6,"Weekend",IF(IFERROR(INDEX(Holidays!$D$5:$D$60,MATCH(A284,Holidays!$A$5:$A$60,0)),"")="Eve","Eve","Workday")))</f>
        <v>Workday</v>
      </c>
      <c r="D284" s="18" t="str">
        <f aca="false">IFERROR(INDEX(Holidays!$C$5:$C$60,MATCH(A284,Holidays!$A$5:$A$60,0)),"")</f>
        <v/>
      </c>
      <c r="E284" s="31"/>
      <c r="F284" s="32"/>
      <c r="G284" s="32"/>
      <c r="H284" s="32"/>
      <c r="I284" s="32"/>
      <c r="J284" s="31"/>
      <c r="K284" s="33" t="str">
        <f aca="false">IF(E284&lt;&gt;"",E284,IF(U284,"Present",IF(C284="Holiday","Holiday","Weekend")))</f>
        <v>Present</v>
      </c>
      <c r="L284" s="34" t="n">
        <f aca="false">IF(OR(K284="Present",K284="Manual Work",K284="Partial Vacation",K284="Partial Sick Leave"),IF(ISNUMBER(F284),F284,IF(AND(K284="Present",U284),Settings!$B$6,"")),"")</f>
        <v>0.333333333333333</v>
      </c>
      <c r="M284" s="34" t="n">
        <f aca="false">IF(OR(K284="Present",K284="Manual Work",K284="Partial Vacation",K284="Partial Sick Leave"),IF(ISNUMBER(G284),G284,IF(AND(K284="Present",U284),V284,"")),"")</f>
        <v>0.6875</v>
      </c>
      <c r="N284" s="14" t="n">
        <f aca="false">IF(AND(ISNUMBER(L284),ISNUMBER(M284)),MAX(0,(M284-L284)*24),0)</f>
        <v>8.5</v>
      </c>
      <c r="O284" s="14" t="n">
        <f aca="false">IF(NOT(U284),0,IF(K284="Vacation",IF(C284="Eve",Settings!$B$9*Settings!$B$11,W284),IF(K284="Partial Vacation",IF(AND(ISNUMBER(H284),ISNUMBER(I284)),MAX(0,(I284-H284)*24),0),0)))</f>
        <v>0</v>
      </c>
      <c r="P284" s="14" t="n">
        <f aca="false">IF(NOT(U284),0,IF(K284="Sick Leave",W284,IF(K284="Partial Sick Leave",IF(AND(ISNUMBER(H284),ISNUMBER(I284)),MAX(0,(I284-H284)*24),0),0)))</f>
        <v>0</v>
      </c>
      <c r="Q284" s="14" t="n">
        <f aca="false">IF(NOT(U284),0,IF(K284="Vacation",IF(C284="Eve",Settings!$B$11,1),IF(K284="Partial Vacation",O284/Settings!$B$9,0)))</f>
        <v>0</v>
      </c>
      <c r="R284" s="14" t="n">
        <f aca="false">IF(NOT(U284),0,IF(K284="Sick Leave",1,IF(K284="Partial Sick Leave",P284/Settings!$B$9,0)))</f>
        <v>0</v>
      </c>
      <c r="S284" s="35" t="str">
        <f aca="false">IF(AND(OR(E284="Vacation",E284="Sick Leave",E284="Partial Vacation",E284="Partial Sick Leave"),NOT(U284)),"Leave not allowed on this day",IF(AND(E284="Manual Work",OR(NOT(ISNUMBER(F284)),NOT(ISNUMBER(G284)))),"Enter start and end",IF(AND(OR(E284="Partial Vacation",E284="Partial Sick Leave"),OR(NOT(ISNUMBER(H284)),NOT(ISNUMBER(I284)))),"Enter leave from and to",IF(AND(ISNUMBER(F284),ISNUMBER(G284),G284&lt;=F284),"End is before start",IF(AND(ISNUMBER(H284),ISNUMBER(I284),I284&lt;=H284),"Leave end is before start",IF(AND(ISNUMBER(F284),ISNUMBER(G284),ISNUMBER(H284),ISNUMBER(I284),F284&lt;I284,H284&lt;G284),"Work and leave hours overlap",IF(AND(E284&lt;&gt;"",WEEKDAY(A284)=7),"Saturday - administrator only","")))))))</f>
        <v/>
      </c>
      <c r="T284" s="36" t="n">
        <f aca="false">MONTH(A284)</f>
        <v>10</v>
      </c>
      <c r="U284" s="37" t="b">
        <f aca="false">OR(C284="Workday",C284="Eve")</f>
        <v>1</v>
      </c>
      <c r="V284" s="34" t="n">
        <f aca="false">IF(C284="Eve",Settings!$B$8,Settings!$B$7)</f>
        <v>0.6875</v>
      </c>
      <c r="W284" s="14" t="n">
        <f aca="false">IF(U284,(V284-Settings!$B$6)*24,0)</f>
        <v>8.5</v>
      </c>
    </row>
    <row r="285" customFormat="false" ht="15" hidden="false" customHeight="false" outlineLevel="0" collapsed="false">
      <c r="A285" s="29" t="n">
        <v>46301</v>
      </c>
      <c r="B285" s="30" t="str">
        <f aca="false">CHOOSE(WEEKDAY(A285),"Sun","Mon","Tue","Wed","Thu","Fri","Sat")</f>
        <v>Tue</v>
      </c>
      <c r="C285" s="30" t="str">
        <f aca="false">IF(IFERROR(INDEX(Holidays!$D$5:$D$60,MATCH(A285,Holidays!$A$5:$A$60,0)),"")="Holiday","Holiday",IF(WEEKDAY(A285)&gt;=6,"Weekend",IF(IFERROR(INDEX(Holidays!$D$5:$D$60,MATCH(A285,Holidays!$A$5:$A$60,0)),"")="Eve","Eve","Workday")))</f>
        <v>Workday</v>
      </c>
      <c r="D285" s="18" t="str">
        <f aca="false">IFERROR(INDEX(Holidays!$C$5:$C$60,MATCH(A285,Holidays!$A$5:$A$60,0)),"")</f>
        <v/>
      </c>
      <c r="E285" s="31"/>
      <c r="F285" s="32"/>
      <c r="G285" s="32"/>
      <c r="H285" s="32"/>
      <c r="I285" s="32"/>
      <c r="J285" s="31"/>
      <c r="K285" s="33" t="str">
        <f aca="false">IF(E285&lt;&gt;"",E285,IF(U285,"Present",IF(C285="Holiday","Holiday","Weekend")))</f>
        <v>Present</v>
      </c>
      <c r="L285" s="34" t="n">
        <f aca="false">IF(OR(K285="Present",K285="Manual Work",K285="Partial Vacation",K285="Partial Sick Leave"),IF(ISNUMBER(F285),F285,IF(AND(K285="Present",U285),Settings!$B$6,"")),"")</f>
        <v>0.333333333333333</v>
      </c>
      <c r="M285" s="34" t="n">
        <f aca="false">IF(OR(K285="Present",K285="Manual Work",K285="Partial Vacation",K285="Partial Sick Leave"),IF(ISNUMBER(G285),G285,IF(AND(K285="Present",U285),V285,"")),"")</f>
        <v>0.6875</v>
      </c>
      <c r="N285" s="14" t="n">
        <f aca="false">IF(AND(ISNUMBER(L285),ISNUMBER(M285)),MAX(0,(M285-L285)*24),0)</f>
        <v>8.5</v>
      </c>
      <c r="O285" s="14" t="n">
        <f aca="false">IF(NOT(U285),0,IF(K285="Vacation",IF(C285="Eve",Settings!$B$9*Settings!$B$11,W285),IF(K285="Partial Vacation",IF(AND(ISNUMBER(H285),ISNUMBER(I285)),MAX(0,(I285-H285)*24),0),0)))</f>
        <v>0</v>
      </c>
      <c r="P285" s="14" t="n">
        <f aca="false">IF(NOT(U285),0,IF(K285="Sick Leave",W285,IF(K285="Partial Sick Leave",IF(AND(ISNUMBER(H285),ISNUMBER(I285)),MAX(0,(I285-H285)*24),0),0)))</f>
        <v>0</v>
      </c>
      <c r="Q285" s="14" t="n">
        <f aca="false">IF(NOT(U285),0,IF(K285="Vacation",IF(C285="Eve",Settings!$B$11,1),IF(K285="Partial Vacation",O285/Settings!$B$9,0)))</f>
        <v>0</v>
      </c>
      <c r="R285" s="14" t="n">
        <f aca="false">IF(NOT(U285),0,IF(K285="Sick Leave",1,IF(K285="Partial Sick Leave",P285/Settings!$B$9,0)))</f>
        <v>0</v>
      </c>
      <c r="S285" s="35" t="str">
        <f aca="false">IF(AND(OR(E285="Vacation",E285="Sick Leave",E285="Partial Vacation",E285="Partial Sick Leave"),NOT(U285)),"Leave not allowed on this day",IF(AND(E285="Manual Work",OR(NOT(ISNUMBER(F285)),NOT(ISNUMBER(G285)))),"Enter start and end",IF(AND(OR(E285="Partial Vacation",E285="Partial Sick Leave"),OR(NOT(ISNUMBER(H285)),NOT(ISNUMBER(I285)))),"Enter leave from and to",IF(AND(ISNUMBER(F285),ISNUMBER(G285),G285&lt;=F285),"End is before start",IF(AND(ISNUMBER(H285),ISNUMBER(I285),I285&lt;=H285),"Leave end is before start",IF(AND(ISNUMBER(F285),ISNUMBER(G285),ISNUMBER(H285),ISNUMBER(I285),F285&lt;I285,H285&lt;G285),"Work and leave hours overlap",IF(AND(E285&lt;&gt;"",WEEKDAY(A285)=7),"Saturday - administrator only","")))))))</f>
        <v/>
      </c>
      <c r="T285" s="36" t="n">
        <f aca="false">MONTH(A285)</f>
        <v>10</v>
      </c>
      <c r="U285" s="37" t="b">
        <f aca="false">OR(C285="Workday",C285="Eve")</f>
        <v>1</v>
      </c>
      <c r="V285" s="34" t="n">
        <f aca="false">IF(C285="Eve",Settings!$B$8,Settings!$B$7)</f>
        <v>0.6875</v>
      </c>
      <c r="W285" s="14" t="n">
        <f aca="false">IF(U285,(V285-Settings!$B$6)*24,0)</f>
        <v>8.5</v>
      </c>
    </row>
    <row r="286" customFormat="false" ht="15" hidden="false" customHeight="false" outlineLevel="0" collapsed="false">
      <c r="A286" s="29" t="n">
        <v>46302</v>
      </c>
      <c r="B286" s="30" t="str">
        <f aca="false">CHOOSE(WEEKDAY(A286),"Sun","Mon","Tue","Wed","Thu","Fri","Sat")</f>
        <v>Wed</v>
      </c>
      <c r="C286" s="30" t="str">
        <f aca="false">IF(IFERROR(INDEX(Holidays!$D$5:$D$60,MATCH(A286,Holidays!$A$5:$A$60,0)),"")="Holiday","Holiday",IF(WEEKDAY(A286)&gt;=6,"Weekend",IF(IFERROR(INDEX(Holidays!$D$5:$D$60,MATCH(A286,Holidays!$A$5:$A$60,0)),"")="Eve","Eve","Workday")))</f>
        <v>Workday</v>
      </c>
      <c r="D286" s="18" t="str">
        <f aca="false">IFERROR(INDEX(Holidays!$C$5:$C$60,MATCH(A286,Holidays!$A$5:$A$60,0)),"")</f>
        <v/>
      </c>
      <c r="E286" s="31"/>
      <c r="F286" s="32"/>
      <c r="G286" s="32"/>
      <c r="H286" s="32"/>
      <c r="I286" s="32"/>
      <c r="J286" s="31"/>
      <c r="K286" s="33" t="str">
        <f aca="false">IF(E286&lt;&gt;"",E286,IF(U286,"Present",IF(C286="Holiday","Holiday","Weekend")))</f>
        <v>Present</v>
      </c>
      <c r="L286" s="34" t="n">
        <f aca="false">IF(OR(K286="Present",K286="Manual Work",K286="Partial Vacation",K286="Partial Sick Leave"),IF(ISNUMBER(F286),F286,IF(AND(K286="Present",U286),Settings!$B$6,"")),"")</f>
        <v>0.333333333333333</v>
      </c>
      <c r="M286" s="34" t="n">
        <f aca="false">IF(OR(K286="Present",K286="Manual Work",K286="Partial Vacation",K286="Partial Sick Leave"),IF(ISNUMBER(G286),G286,IF(AND(K286="Present",U286),V286,"")),"")</f>
        <v>0.6875</v>
      </c>
      <c r="N286" s="14" t="n">
        <f aca="false">IF(AND(ISNUMBER(L286),ISNUMBER(M286)),MAX(0,(M286-L286)*24),0)</f>
        <v>8.5</v>
      </c>
      <c r="O286" s="14" t="n">
        <f aca="false">IF(NOT(U286),0,IF(K286="Vacation",IF(C286="Eve",Settings!$B$9*Settings!$B$11,W286),IF(K286="Partial Vacation",IF(AND(ISNUMBER(H286),ISNUMBER(I286)),MAX(0,(I286-H286)*24),0),0)))</f>
        <v>0</v>
      </c>
      <c r="P286" s="14" t="n">
        <f aca="false">IF(NOT(U286),0,IF(K286="Sick Leave",W286,IF(K286="Partial Sick Leave",IF(AND(ISNUMBER(H286),ISNUMBER(I286)),MAX(0,(I286-H286)*24),0),0)))</f>
        <v>0</v>
      </c>
      <c r="Q286" s="14" t="n">
        <f aca="false">IF(NOT(U286),0,IF(K286="Vacation",IF(C286="Eve",Settings!$B$11,1),IF(K286="Partial Vacation",O286/Settings!$B$9,0)))</f>
        <v>0</v>
      </c>
      <c r="R286" s="14" t="n">
        <f aca="false">IF(NOT(U286),0,IF(K286="Sick Leave",1,IF(K286="Partial Sick Leave",P286/Settings!$B$9,0)))</f>
        <v>0</v>
      </c>
      <c r="S286" s="35" t="str">
        <f aca="false">IF(AND(OR(E286="Vacation",E286="Sick Leave",E286="Partial Vacation",E286="Partial Sick Leave"),NOT(U286)),"Leave not allowed on this day",IF(AND(E286="Manual Work",OR(NOT(ISNUMBER(F286)),NOT(ISNUMBER(G286)))),"Enter start and end",IF(AND(OR(E286="Partial Vacation",E286="Partial Sick Leave"),OR(NOT(ISNUMBER(H286)),NOT(ISNUMBER(I286)))),"Enter leave from and to",IF(AND(ISNUMBER(F286),ISNUMBER(G286),G286&lt;=F286),"End is before start",IF(AND(ISNUMBER(H286),ISNUMBER(I286),I286&lt;=H286),"Leave end is before start",IF(AND(ISNUMBER(F286),ISNUMBER(G286),ISNUMBER(H286),ISNUMBER(I286),F286&lt;I286,H286&lt;G286),"Work and leave hours overlap",IF(AND(E286&lt;&gt;"",WEEKDAY(A286)=7),"Saturday - administrator only","")))))))</f>
        <v/>
      </c>
      <c r="T286" s="36" t="n">
        <f aca="false">MONTH(A286)</f>
        <v>10</v>
      </c>
      <c r="U286" s="37" t="b">
        <f aca="false">OR(C286="Workday",C286="Eve")</f>
        <v>1</v>
      </c>
      <c r="V286" s="34" t="n">
        <f aca="false">IF(C286="Eve",Settings!$B$8,Settings!$B$7)</f>
        <v>0.6875</v>
      </c>
      <c r="W286" s="14" t="n">
        <f aca="false">IF(U286,(V286-Settings!$B$6)*24,0)</f>
        <v>8.5</v>
      </c>
    </row>
    <row r="287" customFormat="false" ht="15" hidden="false" customHeight="false" outlineLevel="0" collapsed="false">
      <c r="A287" s="29" t="n">
        <v>46303</v>
      </c>
      <c r="B287" s="30" t="str">
        <f aca="false">CHOOSE(WEEKDAY(A287),"Sun","Mon","Tue","Wed","Thu","Fri","Sat")</f>
        <v>Thu</v>
      </c>
      <c r="C287" s="30" t="str">
        <f aca="false">IF(IFERROR(INDEX(Holidays!$D$5:$D$60,MATCH(A287,Holidays!$A$5:$A$60,0)),"")="Holiday","Holiday",IF(WEEKDAY(A287)&gt;=6,"Weekend",IF(IFERROR(INDEX(Holidays!$D$5:$D$60,MATCH(A287,Holidays!$A$5:$A$60,0)),"")="Eve","Eve","Workday")))</f>
        <v>Workday</v>
      </c>
      <c r="D287" s="18" t="str">
        <f aca="false">IFERROR(INDEX(Holidays!$C$5:$C$60,MATCH(A287,Holidays!$A$5:$A$60,0)),"")</f>
        <v/>
      </c>
      <c r="E287" s="31"/>
      <c r="F287" s="32"/>
      <c r="G287" s="32"/>
      <c r="H287" s="32"/>
      <c r="I287" s="32"/>
      <c r="J287" s="31"/>
      <c r="K287" s="33" t="str">
        <f aca="false">IF(E287&lt;&gt;"",E287,IF(U287,"Present",IF(C287="Holiday","Holiday","Weekend")))</f>
        <v>Present</v>
      </c>
      <c r="L287" s="34" t="n">
        <f aca="false">IF(OR(K287="Present",K287="Manual Work",K287="Partial Vacation",K287="Partial Sick Leave"),IF(ISNUMBER(F287),F287,IF(AND(K287="Present",U287),Settings!$B$6,"")),"")</f>
        <v>0.333333333333333</v>
      </c>
      <c r="M287" s="34" t="n">
        <f aca="false">IF(OR(K287="Present",K287="Manual Work",K287="Partial Vacation",K287="Partial Sick Leave"),IF(ISNUMBER(G287),G287,IF(AND(K287="Present",U287),V287,"")),"")</f>
        <v>0.6875</v>
      </c>
      <c r="N287" s="14" t="n">
        <f aca="false">IF(AND(ISNUMBER(L287),ISNUMBER(M287)),MAX(0,(M287-L287)*24),0)</f>
        <v>8.5</v>
      </c>
      <c r="O287" s="14" t="n">
        <f aca="false">IF(NOT(U287),0,IF(K287="Vacation",IF(C287="Eve",Settings!$B$9*Settings!$B$11,W287),IF(K287="Partial Vacation",IF(AND(ISNUMBER(H287),ISNUMBER(I287)),MAX(0,(I287-H287)*24),0),0)))</f>
        <v>0</v>
      </c>
      <c r="P287" s="14" t="n">
        <f aca="false">IF(NOT(U287),0,IF(K287="Sick Leave",W287,IF(K287="Partial Sick Leave",IF(AND(ISNUMBER(H287),ISNUMBER(I287)),MAX(0,(I287-H287)*24),0),0)))</f>
        <v>0</v>
      </c>
      <c r="Q287" s="14" t="n">
        <f aca="false">IF(NOT(U287),0,IF(K287="Vacation",IF(C287="Eve",Settings!$B$11,1),IF(K287="Partial Vacation",O287/Settings!$B$9,0)))</f>
        <v>0</v>
      </c>
      <c r="R287" s="14" t="n">
        <f aca="false">IF(NOT(U287),0,IF(K287="Sick Leave",1,IF(K287="Partial Sick Leave",P287/Settings!$B$9,0)))</f>
        <v>0</v>
      </c>
      <c r="S287" s="35" t="str">
        <f aca="false">IF(AND(OR(E287="Vacation",E287="Sick Leave",E287="Partial Vacation",E287="Partial Sick Leave"),NOT(U287)),"Leave not allowed on this day",IF(AND(E287="Manual Work",OR(NOT(ISNUMBER(F287)),NOT(ISNUMBER(G287)))),"Enter start and end",IF(AND(OR(E287="Partial Vacation",E287="Partial Sick Leave"),OR(NOT(ISNUMBER(H287)),NOT(ISNUMBER(I287)))),"Enter leave from and to",IF(AND(ISNUMBER(F287),ISNUMBER(G287),G287&lt;=F287),"End is before start",IF(AND(ISNUMBER(H287),ISNUMBER(I287),I287&lt;=H287),"Leave end is before start",IF(AND(ISNUMBER(F287),ISNUMBER(G287),ISNUMBER(H287),ISNUMBER(I287),F287&lt;I287,H287&lt;G287),"Work and leave hours overlap",IF(AND(E287&lt;&gt;"",WEEKDAY(A287)=7),"Saturday - administrator only","")))))))</f>
        <v/>
      </c>
      <c r="T287" s="36" t="n">
        <f aca="false">MONTH(A287)</f>
        <v>10</v>
      </c>
      <c r="U287" s="37" t="b">
        <f aca="false">OR(C287="Workday",C287="Eve")</f>
        <v>1</v>
      </c>
      <c r="V287" s="34" t="n">
        <f aca="false">IF(C287="Eve",Settings!$B$8,Settings!$B$7)</f>
        <v>0.6875</v>
      </c>
      <c r="W287" s="14" t="n">
        <f aca="false">IF(U287,(V287-Settings!$B$6)*24,0)</f>
        <v>8.5</v>
      </c>
    </row>
    <row r="288" customFormat="false" ht="15" hidden="false" customHeight="false" outlineLevel="0" collapsed="false">
      <c r="A288" s="29" t="n">
        <v>46304</v>
      </c>
      <c r="B288" s="30" t="str">
        <f aca="false">CHOOSE(WEEKDAY(A288),"Sun","Mon","Tue","Wed","Thu","Fri","Sat")</f>
        <v>Fri</v>
      </c>
      <c r="C288" s="30" t="str">
        <f aca="false">IF(IFERROR(INDEX(Holidays!$D$5:$D$60,MATCH(A288,Holidays!$A$5:$A$60,0)),"")="Holiday","Holiday",IF(WEEKDAY(A288)&gt;=6,"Weekend",IF(IFERROR(INDEX(Holidays!$D$5:$D$60,MATCH(A288,Holidays!$A$5:$A$60,0)),"")="Eve","Eve","Workday")))</f>
        <v>Weekend</v>
      </c>
      <c r="D288" s="18" t="str">
        <f aca="false">IFERROR(INDEX(Holidays!$C$5:$C$60,MATCH(A288,Holidays!$A$5:$A$60,0)),"")</f>
        <v/>
      </c>
      <c r="E288" s="31"/>
      <c r="F288" s="32"/>
      <c r="G288" s="32"/>
      <c r="H288" s="32"/>
      <c r="I288" s="32"/>
      <c r="J288" s="31"/>
      <c r="K288" s="33" t="str">
        <f aca="false">IF(E288&lt;&gt;"",E288,IF(U288,"Present",IF(C288="Holiday","Holiday","Weekend")))</f>
        <v>Weekend</v>
      </c>
      <c r="L288" s="34" t="str">
        <f aca="false">IF(OR(K288="Present",K288="Manual Work",K288="Partial Vacation",K288="Partial Sick Leave"),IF(ISNUMBER(F288),F288,IF(AND(K288="Present",U288),Settings!$B$6,"")),"")</f>
        <v/>
      </c>
      <c r="M288" s="34" t="str">
        <f aca="false">IF(OR(K288="Present",K288="Manual Work",K288="Partial Vacation",K288="Partial Sick Leave"),IF(ISNUMBER(G288),G288,IF(AND(K288="Present",U288),V288,"")),"")</f>
        <v/>
      </c>
      <c r="N288" s="14" t="n">
        <f aca="false">IF(AND(ISNUMBER(L288),ISNUMBER(M288)),MAX(0,(M288-L288)*24),0)</f>
        <v>0</v>
      </c>
      <c r="O288" s="14" t="n">
        <f aca="false">IF(NOT(U288),0,IF(K288="Vacation",IF(C288="Eve",Settings!$B$9*Settings!$B$11,W288),IF(K288="Partial Vacation",IF(AND(ISNUMBER(H288),ISNUMBER(I288)),MAX(0,(I288-H288)*24),0),0)))</f>
        <v>0</v>
      </c>
      <c r="P288" s="14" t="n">
        <f aca="false">IF(NOT(U288),0,IF(K288="Sick Leave",W288,IF(K288="Partial Sick Leave",IF(AND(ISNUMBER(H288),ISNUMBER(I288)),MAX(0,(I288-H288)*24),0),0)))</f>
        <v>0</v>
      </c>
      <c r="Q288" s="14" t="n">
        <f aca="false">IF(NOT(U288),0,IF(K288="Vacation",IF(C288="Eve",Settings!$B$11,1),IF(K288="Partial Vacation",O288/Settings!$B$9,0)))</f>
        <v>0</v>
      </c>
      <c r="R288" s="14" t="n">
        <f aca="false">IF(NOT(U288),0,IF(K288="Sick Leave",1,IF(K288="Partial Sick Leave",P288/Settings!$B$9,0)))</f>
        <v>0</v>
      </c>
      <c r="S288" s="35" t="str">
        <f aca="false">IF(AND(OR(E288="Vacation",E288="Sick Leave",E288="Partial Vacation",E288="Partial Sick Leave"),NOT(U288)),"Leave not allowed on this day",IF(AND(E288="Manual Work",OR(NOT(ISNUMBER(F288)),NOT(ISNUMBER(G288)))),"Enter start and end",IF(AND(OR(E288="Partial Vacation",E288="Partial Sick Leave"),OR(NOT(ISNUMBER(H288)),NOT(ISNUMBER(I288)))),"Enter leave from and to",IF(AND(ISNUMBER(F288),ISNUMBER(G288),G288&lt;=F288),"End is before start",IF(AND(ISNUMBER(H288),ISNUMBER(I288),I288&lt;=H288),"Leave end is before start",IF(AND(ISNUMBER(F288),ISNUMBER(G288),ISNUMBER(H288),ISNUMBER(I288),F288&lt;I288,H288&lt;G288),"Work and leave hours overlap",IF(AND(E288&lt;&gt;"",WEEKDAY(A288)=7),"Saturday - administrator only","")))))))</f>
        <v/>
      </c>
      <c r="T288" s="36" t="n">
        <f aca="false">MONTH(A288)</f>
        <v>10</v>
      </c>
      <c r="U288" s="37" t="b">
        <f aca="false">OR(C288="Workday",C288="Eve")</f>
        <v>0</v>
      </c>
      <c r="V288" s="34" t="n">
        <f aca="false">IF(C288="Eve",Settings!$B$8,Settings!$B$7)</f>
        <v>0.6875</v>
      </c>
      <c r="W288" s="14" t="n">
        <f aca="false">IF(U288,(V288-Settings!$B$6)*24,0)</f>
        <v>0</v>
      </c>
    </row>
    <row r="289" customFormat="false" ht="15" hidden="false" customHeight="false" outlineLevel="0" collapsed="false">
      <c r="A289" s="29" t="n">
        <v>46305</v>
      </c>
      <c r="B289" s="30" t="str">
        <f aca="false">CHOOSE(WEEKDAY(A289),"Sun","Mon","Tue","Wed","Thu","Fri","Sat")</f>
        <v>Sat</v>
      </c>
      <c r="C289" s="30" t="str">
        <f aca="false">IF(IFERROR(INDEX(Holidays!$D$5:$D$60,MATCH(A289,Holidays!$A$5:$A$60,0)),"")="Holiday","Holiday",IF(WEEKDAY(A289)&gt;=6,"Weekend",IF(IFERROR(INDEX(Holidays!$D$5:$D$60,MATCH(A289,Holidays!$A$5:$A$60,0)),"")="Eve","Eve","Workday")))</f>
        <v>Weekend</v>
      </c>
      <c r="D289" s="18" t="str">
        <f aca="false">IFERROR(INDEX(Holidays!$C$5:$C$60,MATCH(A289,Holidays!$A$5:$A$60,0)),"")</f>
        <v/>
      </c>
      <c r="E289" s="31"/>
      <c r="F289" s="32"/>
      <c r="G289" s="32"/>
      <c r="H289" s="32"/>
      <c r="I289" s="32"/>
      <c r="J289" s="31"/>
      <c r="K289" s="33" t="str">
        <f aca="false">IF(E289&lt;&gt;"",E289,IF(U289,"Present",IF(C289="Holiday","Holiday","Weekend")))</f>
        <v>Weekend</v>
      </c>
      <c r="L289" s="34" t="str">
        <f aca="false">IF(OR(K289="Present",K289="Manual Work",K289="Partial Vacation",K289="Partial Sick Leave"),IF(ISNUMBER(F289),F289,IF(AND(K289="Present",U289),Settings!$B$6,"")),"")</f>
        <v/>
      </c>
      <c r="M289" s="34" t="str">
        <f aca="false">IF(OR(K289="Present",K289="Manual Work",K289="Partial Vacation",K289="Partial Sick Leave"),IF(ISNUMBER(G289),G289,IF(AND(K289="Present",U289),V289,"")),"")</f>
        <v/>
      </c>
      <c r="N289" s="14" t="n">
        <f aca="false">IF(AND(ISNUMBER(L289),ISNUMBER(M289)),MAX(0,(M289-L289)*24),0)</f>
        <v>0</v>
      </c>
      <c r="O289" s="14" t="n">
        <f aca="false">IF(NOT(U289),0,IF(K289="Vacation",IF(C289="Eve",Settings!$B$9*Settings!$B$11,W289),IF(K289="Partial Vacation",IF(AND(ISNUMBER(H289),ISNUMBER(I289)),MAX(0,(I289-H289)*24),0),0)))</f>
        <v>0</v>
      </c>
      <c r="P289" s="14" t="n">
        <f aca="false">IF(NOT(U289),0,IF(K289="Sick Leave",W289,IF(K289="Partial Sick Leave",IF(AND(ISNUMBER(H289),ISNUMBER(I289)),MAX(0,(I289-H289)*24),0),0)))</f>
        <v>0</v>
      </c>
      <c r="Q289" s="14" t="n">
        <f aca="false">IF(NOT(U289),0,IF(K289="Vacation",IF(C289="Eve",Settings!$B$11,1),IF(K289="Partial Vacation",O289/Settings!$B$9,0)))</f>
        <v>0</v>
      </c>
      <c r="R289" s="14" t="n">
        <f aca="false">IF(NOT(U289),0,IF(K289="Sick Leave",1,IF(K289="Partial Sick Leave",P289/Settings!$B$9,0)))</f>
        <v>0</v>
      </c>
      <c r="S289" s="35" t="str">
        <f aca="false">IF(AND(OR(E289="Vacation",E289="Sick Leave",E289="Partial Vacation",E289="Partial Sick Leave"),NOT(U289)),"Leave not allowed on this day",IF(AND(E289="Manual Work",OR(NOT(ISNUMBER(F289)),NOT(ISNUMBER(G289)))),"Enter start and end",IF(AND(OR(E289="Partial Vacation",E289="Partial Sick Leave"),OR(NOT(ISNUMBER(H289)),NOT(ISNUMBER(I289)))),"Enter leave from and to",IF(AND(ISNUMBER(F289),ISNUMBER(G289),G289&lt;=F289),"End is before start",IF(AND(ISNUMBER(H289),ISNUMBER(I289),I289&lt;=H289),"Leave end is before start",IF(AND(ISNUMBER(F289),ISNUMBER(G289),ISNUMBER(H289),ISNUMBER(I289),F289&lt;I289,H289&lt;G289),"Work and leave hours overlap",IF(AND(E289&lt;&gt;"",WEEKDAY(A289)=7),"Saturday - administrator only","")))))))</f>
        <v/>
      </c>
      <c r="T289" s="36" t="n">
        <f aca="false">MONTH(A289)</f>
        <v>10</v>
      </c>
      <c r="U289" s="37" t="b">
        <f aca="false">OR(C289="Workday",C289="Eve")</f>
        <v>0</v>
      </c>
      <c r="V289" s="34" t="n">
        <f aca="false">IF(C289="Eve",Settings!$B$8,Settings!$B$7)</f>
        <v>0.6875</v>
      </c>
      <c r="W289" s="14" t="n">
        <f aca="false">IF(U289,(V289-Settings!$B$6)*24,0)</f>
        <v>0</v>
      </c>
    </row>
    <row r="290" customFormat="false" ht="15" hidden="false" customHeight="false" outlineLevel="0" collapsed="false">
      <c r="A290" s="29" t="n">
        <v>46306</v>
      </c>
      <c r="B290" s="30" t="str">
        <f aca="false">CHOOSE(WEEKDAY(A290),"Sun","Mon","Tue","Wed","Thu","Fri","Sat")</f>
        <v>Sun</v>
      </c>
      <c r="C290" s="30" t="str">
        <f aca="false">IF(IFERROR(INDEX(Holidays!$D$5:$D$60,MATCH(A290,Holidays!$A$5:$A$60,0)),"")="Holiday","Holiday",IF(WEEKDAY(A290)&gt;=6,"Weekend",IF(IFERROR(INDEX(Holidays!$D$5:$D$60,MATCH(A290,Holidays!$A$5:$A$60,0)),"")="Eve","Eve","Workday")))</f>
        <v>Workday</v>
      </c>
      <c r="D290" s="18" t="str">
        <f aca="false">IFERROR(INDEX(Holidays!$C$5:$C$60,MATCH(A290,Holidays!$A$5:$A$60,0)),"")</f>
        <v/>
      </c>
      <c r="E290" s="31"/>
      <c r="F290" s="32"/>
      <c r="G290" s="32"/>
      <c r="H290" s="32"/>
      <c r="I290" s="32"/>
      <c r="J290" s="31"/>
      <c r="K290" s="33" t="str">
        <f aca="false">IF(E290&lt;&gt;"",E290,IF(U290,"Present",IF(C290="Holiday","Holiday","Weekend")))</f>
        <v>Present</v>
      </c>
      <c r="L290" s="34" t="n">
        <f aca="false">IF(OR(K290="Present",K290="Manual Work",K290="Partial Vacation",K290="Partial Sick Leave"),IF(ISNUMBER(F290),F290,IF(AND(K290="Present",U290),Settings!$B$6,"")),"")</f>
        <v>0.333333333333333</v>
      </c>
      <c r="M290" s="34" t="n">
        <f aca="false">IF(OR(K290="Present",K290="Manual Work",K290="Partial Vacation",K290="Partial Sick Leave"),IF(ISNUMBER(G290),G290,IF(AND(K290="Present",U290),V290,"")),"")</f>
        <v>0.6875</v>
      </c>
      <c r="N290" s="14" t="n">
        <f aca="false">IF(AND(ISNUMBER(L290),ISNUMBER(M290)),MAX(0,(M290-L290)*24),0)</f>
        <v>8.5</v>
      </c>
      <c r="O290" s="14" t="n">
        <f aca="false">IF(NOT(U290),0,IF(K290="Vacation",IF(C290="Eve",Settings!$B$9*Settings!$B$11,W290),IF(K290="Partial Vacation",IF(AND(ISNUMBER(H290),ISNUMBER(I290)),MAX(0,(I290-H290)*24),0),0)))</f>
        <v>0</v>
      </c>
      <c r="P290" s="14" t="n">
        <f aca="false">IF(NOT(U290),0,IF(K290="Sick Leave",W290,IF(K290="Partial Sick Leave",IF(AND(ISNUMBER(H290),ISNUMBER(I290)),MAX(0,(I290-H290)*24),0),0)))</f>
        <v>0</v>
      </c>
      <c r="Q290" s="14" t="n">
        <f aca="false">IF(NOT(U290),0,IF(K290="Vacation",IF(C290="Eve",Settings!$B$11,1),IF(K290="Partial Vacation",O290/Settings!$B$9,0)))</f>
        <v>0</v>
      </c>
      <c r="R290" s="14" t="n">
        <f aca="false">IF(NOT(U290),0,IF(K290="Sick Leave",1,IF(K290="Partial Sick Leave",P290/Settings!$B$9,0)))</f>
        <v>0</v>
      </c>
      <c r="S290" s="35" t="str">
        <f aca="false">IF(AND(OR(E290="Vacation",E290="Sick Leave",E290="Partial Vacation",E290="Partial Sick Leave"),NOT(U290)),"Leave not allowed on this day",IF(AND(E290="Manual Work",OR(NOT(ISNUMBER(F290)),NOT(ISNUMBER(G290)))),"Enter start and end",IF(AND(OR(E290="Partial Vacation",E290="Partial Sick Leave"),OR(NOT(ISNUMBER(H290)),NOT(ISNUMBER(I290)))),"Enter leave from and to",IF(AND(ISNUMBER(F290),ISNUMBER(G290),G290&lt;=F290),"End is before start",IF(AND(ISNUMBER(H290),ISNUMBER(I290),I290&lt;=H290),"Leave end is before start",IF(AND(ISNUMBER(F290),ISNUMBER(G290),ISNUMBER(H290),ISNUMBER(I290),F290&lt;I290,H290&lt;G290),"Work and leave hours overlap",IF(AND(E290&lt;&gt;"",WEEKDAY(A290)=7),"Saturday - administrator only","")))))))</f>
        <v/>
      </c>
      <c r="T290" s="36" t="n">
        <f aca="false">MONTH(A290)</f>
        <v>10</v>
      </c>
      <c r="U290" s="37" t="b">
        <f aca="false">OR(C290="Workday",C290="Eve")</f>
        <v>1</v>
      </c>
      <c r="V290" s="34" t="n">
        <f aca="false">IF(C290="Eve",Settings!$B$8,Settings!$B$7)</f>
        <v>0.6875</v>
      </c>
      <c r="W290" s="14" t="n">
        <f aca="false">IF(U290,(V290-Settings!$B$6)*24,0)</f>
        <v>8.5</v>
      </c>
    </row>
    <row r="291" customFormat="false" ht="15" hidden="false" customHeight="false" outlineLevel="0" collapsed="false">
      <c r="A291" s="29" t="n">
        <v>46307</v>
      </c>
      <c r="B291" s="30" t="str">
        <f aca="false">CHOOSE(WEEKDAY(A291),"Sun","Mon","Tue","Wed","Thu","Fri","Sat")</f>
        <v>Mon</v>
      </c>
      <c r="C291" s="30" t="str">
        <f aca="false">IF(IFERROR(INDEX(Holidays!$D$5:$D$60,MATCH(A291,Holidays!$A$5:$A$60,0)),"")="Holiday","Holiday",IF(WEEKDAY(A291)&gt;=6,"Weekend",IF(IFERROR(INDEX(Holidays!$D$5:$D$60,MATCH(A291,Holidays!$A$5:$A$60,0)),"")="Eve","Eve","Workday")))</f>
        <v>Workday</v>
      </c>
      <c r="D291" s="18" t="str">
        <f aca="false">IFERROR(INDEX(Holidays!$C$5:$C$60,MATCH(A291,Holidays!$A$5:$A$60,0)),"")</f>
        <v/>
      </c>
      <c r="E291" s="31"/>
      <c r="F291" s="32"/>
      <c r="G291" s="32"/>
      <c r="H291" s="32"/>
      <c r="I291" s="32"/>
      <c r="J291" s="31"/>
      <c r="K291" s="33" t="str">
        <f aca="false">IF(E291&lt;&gt;"",E291,IF(U291,"Present",IF(C291="Holiday","Holiday","Weekend")))</f>
        <v>Present</v>
      </c>
      <c r="L291" s="34" t="n">
        <f aca="false">IF(OR(K291="Present",K291="Manual Work",K291="Partial Vacation",K291="Partial Sick Leave"),IF(ISNUMBER(F291),F291,IF(AND(K291="Present",U291),Settings!$B$6,"")),"")</f>
        <v>0.333333333333333</v>
      </c>
      <c r="M291" s="34" t="n">
        <f aca="false">IF(OR(K291="Present",K291="Manual Work",K291="Partial Vacation",K291="Partial Sick Leave"),IF(ISNUMBER(G291),G291,IF(AND(K291="Present",U291),V291,"")),"")</f>
        <v>0.6875</v>
      </c>
      <c r="N291" s="14" t="n">
        <f aca="false">IF(AND(ISNUMBER(L291),ISNUMBER(M291)),MAX(0,(M291-L291)*24),0)</f>
        <v>8.5</v>
      </c>
      <c r="O291" s="14" t="n">
        <f aca="false">IF(NOT(U291),0,IF(K291="Vacation",IF(C291="Eve",Settings!$B$9*Settings!$B$11,W291),IF(K291="Partial Vacation",IF(AND(ISNUMBER(H291),ISNUMBER(I291)),MAX(0,(I291-H291)*24),0),0)))</f>
        <v>0</v>
      </c>
      <c r="P291" s="14" t="n">
        <f aca="false">IF(NOT(U291),0,IF(K291="Sick Leave",W291,IF(K291="Partial Sick Leave",IF(AND(ISNUMBER(H291),ISNUMBER(I291)),MAX(0,(I291-H291)*24),0),0)))</f>
        <v>0</v>
      </c>
      <c r="Q291" s="14" t="n">
        <f aca="false">IF(NOT(U291),0,IF(K291="Vacation",IF(C291="Eve",Settings!$B$11,1),IF(K291="Partial Vacation",O291/Settings!$B$9,0)))</f>
        <v>0</v>
      </c>
      <c r="R291" s="14" t="n">
        <f aca="false">IF(NOT(U291),0,IF(K291="Sick Leave",1,IF(K291="Partial Sick Leave",P291/Settings!$B$9,0)))</f>
        <v>0</v>
      </c>
      <c r="S291" s="35" t="str">
        <f aca="false">IF(AND(OR(E291="Vacation",E291="Sick Leave",E291="Partial Vacation",E291="Partial Sick Leave"),NOT(U291)),"Leave not allowed on this day",IF(AND(E291="Manual Work",OR(NOT(ISNUMBER(F291)),NOT(ISNUMBER(G291)))),"Enter start and end",IF(AND(OR(E291="Partial Vacation",E291="Partial Sick Leave"),OR(NOT(ISNUMBER(H291)),NOT(ISNUMBER(I291)))),"Enter leave from and to",IF(AND(ISNUMBER(F291),ISNUMBER(G291),G291&lt;=F291),"End is before start",IF(AND(ISNUMBER(H291),ISNUMBER(I291),I291&lt;=H291),"Leave end is before start",IF(AND(ISNUMBER(F291),ISNUMBER(G291),ISNUMBER(H291),ISNUMBER(I291),F291&lt;I291,H291&lt;G291),"Work and leave hours overlap",IF(AND(E291&lt;&gt;"",WEEKDAY(A291)=7),"Saturday - administrator only","")))))))</f>
        <v/>
      </c>
      <c r="T291" s="36" t="n">
        <f aca="false">MONTH(A291)</f>
        <v>10</v>
      </c>
      <c r="U291" s="37" t="b">
        <f aca="false">OR(C291="Workday",C291="Eve")</f>
        <v>1</v>
      </c>
      <c r="V291" s="34" t="n">
        <f aca="false">IF(C291="Eve",Settings!$B$8,Settings!$B$7)</f>
        <v>0.6875</v>
      </c>
      <c r="W291" s="14" t="n">
        <f aca="false">IF(U291,(V291-Settings!$B$6)*24,0)</f>
        <v>8.5</v>
      </c>
    </row>
    <row r="292" customFormat="false" ht="15" hidden="false" customHeight="false" outlineLevel="0" collapsed="false">
      <c r="A292" s="29" t="n">
        <v>46308</v>
      </c>
      <c r="B292" s="30" t="str">
        <f aca="false">CHOOSE(WEEKDAY(A292),"Sun","Mon","Tue","Wed","Thu","Fri","Sat")</f>
        <v>Tue</v>
      </c>
      <c r="C292" s="30" t="str">
        <f aca="false">IF(IFERROR(INDEX(Holidays!$D$5:$D$60,MATCH(A292,Holidays!$A$5:$A$60,0)),"")="Holiday","Holiday",IF(WEEKDAY(A292)&gt;=6,"Weekend",IF(IFERROR(INDEX(Holidays!$D$5:$D$60,MATCH(A292,Holidays!$A$5:$A$60,0)),"")="Eve","Eve","Workday")))</f>
        <v>Workday</v>
      </c>
      <c r="D292" s="18" t="str">
        <f aca="false">IFERROR(INDEX(Holidays!$C$5:$C$60,MATCH(A292,Holidays!$A$5:$A$60,0)),"")</f>
        <v/>
      </c>
      <c r="E292" s="31"/>
      <c r="F292" s="32"/>
      <c r="G292" s="32"/>
      <c r="H292" s="32"/>
      <c r="I292" s="32"/>
      <c r="J292" s="31"/>
      <c r="K292" s="33" t="str">
        <f aca="false">IF(E292&lt;&gt;"",E292,IF(U292,"Present",IF(C292="Holiday","Holiday","Weekend")))</f>
        <v>Present</v>
      </c>
      <c r="L292" s="34" t="n">
        <f aca="false">IF(OR(K292="Present",K292="Manual Work",K292="Partial Vacation",K292="Partial Sick Leave"),IF(ISNUMBER(F292),F292,IF(AND(K292="Present",U292),Settings!$B$6,"")),"")</f>
        <v>0.333333333333333</v>
      </c>
      <c r="M292" s="34" t="n">
        <f aca="false">IF(OR(K292="Present",K292="Manual Work",K292="Partial Vacation",K292="Partial Sick Leave"),IF(ISNUMBER(G292),G292,IF(AND(K292="Present",U292),V292,"")),"")</f>
        <v>0.6875</v>
      </c>
      <c r="N292" s="14" t="n">
        <f aca="false">IF(AND(ISNUMBER(L292),ISNUMBER(M292)),MAX(0,(M292-L292)*24),0)</f>
        <v>8.5</v>
      </c>
      <c r="O292" s="14" t="n">
        <f aca="false">IF(NOT(U292),0,IF(K292="Vacation",IF(C292="Eve",Settings!$B$9*Settings!$B$11,W292),IF(K292="Partial Vacation",IF(AND(ISNUMBER(H292),ISNUMBER(I292)),MAX(0,(I292-H292)*24),0),0)))</f>
        <v>0</v>
      </c>
      <c r="P292" s="14" t="n">
        <f aca="false">IF(NOT(U292),0,IF(K292="Sick Leave",W292,IF(K292="Partial Sick Leave",IF(AND(ISNUMBER(H292),ISNUMBER(I292)),MAX(0,(I292-H292)*24),0),0)))</f>
        <v>0</v>
      </c>
      <c r="Q292" s="14" t="n">
        <f aca="false">IF(NOT(U292),0,IF(K292="Vacation",IF(C292="Eve",Settings!$B$11,1),IF(K292="Partial Vacation",O292/Settings!$B$9,0)))</f>
        <v>0</v>
      </c>
      <c r="R292" s="14" t="n">
        <f aca="false">IF(NOT(U292),0,IF(K292="Sick Leave",1,IF(K292="Partial Sick Leave",P292/Settings!$B$9,0)))</f>
        <v>0</v>
      </c>
      <c r="S292" s="35" t="str">
        <f aca="false">IF(AND(OR(E292="Vacation",E292="Sick Leave",E292="Partial Vacation",E292="Partial Sick Leave"),NOT(U292)),"Leave not allowed on this day",IF(AND(E292="Manual Work",OR(NOT(ISNUMBER(F292)),NOT(ISNUMBER(G292)))),"Enter start and end",IF(AND(OR(E292="Partial Vacation",E292="Partial Sick Leave"),OR(NOT(ISNUMBER(H292)),NOT(ISNUMBER(I292)))),"Enter leave from and to",IF(AND(ISNUMBER(F292),ISNUMBER(G292),G292&lt;=F292),"End is before start",IF(AND(ISNUMBER(H292),ISNUMBER(I292),I292&lt;=H292),"Leave end is before start",IF(AND(ISNUMBER(F292),ISNUMBER(G292),ISNUMBER(H292),ISNUMBER(I292),F292&lt;I292,H292&lt;G292),"Work and leave hours overlap",IF(AND(E292&lt;&gt;"",WEEKDAY(A292)=7),"Saturday - administrator only","")))))))</f>
        <v/>
      </c>
      <c r="T292" s="36" t="n">
        <f aca="false">MONTH(A292)</f>
        <v>10</v>
      </c>
      <c r="U292" s="37" t="b">
        <f aca="false">OR(C292="Workday",C292="Eve")</f>
        <v>1</v>
      </c>
      <c r="V292" s="34" t="n">
        <f aca="false">IF(C292="Eve",Settings!$B$8,Settings!$B$7)</f>
        <v>0.6875</v>
      </c>
      <c r="W292" s="14" t="n">
        <f aca="false">IF(U292,(V292-Settings!$B$6)*24,0)</f>
        <v>8.5</v>
      </c>
    </row>
    <row r="293" customFormat="false" ht="15" hidden="false" customHeight="false" outlineLevel="0" collapsed="false">
      <c r="A293" s="29" t="n">
        <v>46309</v>
      </c>
      <c r="B293" s="30" t="str">
        <f aca="false">CHOOSE(WEEKDAY(A293),"Sun","Mon","Tue","Wed","Thu","Fri","Sat")</f>
        <v>Wed</v>
      </c>
      <c r="C293" s="30" t="str">
        <f aca="false">IF(IFERROR(INDEX(Holidays!$D$5:$D$60,MATCH(A293,Holidays!$A$5:$A$60,0)),"")="Holiday","Holiday",IF(WEEKDAY(A293)&gt;=6,"Weekend",IF(IFERROR(INDEX(Holidays!$D$5:$D$60,MATCH(A293,Holidays!$A$5:$A$60,0)),"")="Eve","Eve","Workday")))</f>
        <v>Workday</v>
      </c>
      <c r="D293" s="18" t="str">
        <f aca="false">IFERROR(INDEX(Holidays!$C$5:$C$60,MATCH(A293,Holidays!$A$5:$A$60,0)),"")</f>
        <v/>
      </c>
      <c r="E293" s="31"/>
      <c r="F293" s="32"/>
      <c r="G293" s="32"/>
      <c r="H293" s="32"/>
      <c r="I293" s="32"/>
      <c r="J293" s="31"/>
      <c r="K293" s="33" t="str">
        <f aca="false">IF(E293&lt;&gt;"",E293,IF(U293,"Present",IF(C293="Holiday","Holiday","Weekend")))</f>
        <v>Present</v>
      </c>
      <c r="L293" s="34" t="n">
        <f aca="false">IF(OR(K293="Present",K293="Manual Work",K293="Partial Vacation",K293="Partial Sick Leave"),IF(ISNUMBER(F293),F293,IF(AND(K293="Present",U293),Settings!$B$6,"")),"")</f>
        <v>0.333333333333333</v>
      </c>
      <c r="M293" s="34" t="n">
        <f aca="false">IF(OR(K293="Present",K293="Manual Work",K293="Partial Vacation",K293="Partial Sick Leave"),IF(ISNUMBER(G293),G293,IF(AND(K293="Present",U293),V293,"")),"")</f>
        <v>0.6875</v>
      </c>
      <c r="N293" s="14" t="n">
        <f aca="false">IF(AND(ISNUMBER(L293),ISNUMBER(M293)),MAX(0,(M293-L293)*24),0)</f>
        <v>8.5</v>
      </c>
      <c r="O293" s="14" t="n">
        <f aca="false">IF(NOT(U293),0,IF(K293="Vacation",IF(C293="Eve",Settings!$B$9*Settings!$B$11,W293),IF(K293="Partial Vacation",IF(AND(ISNUMBER(H293),ISNUMBER(I293)),MAX(0,(I293-H293)*24),0),0)))</f>
        <v>0</v>
      </c>
      <c r="P293" s="14" t="n">
        <f aca="false">IF(NOT(U293),0,IF(K293="Sick Leave",W293,IF(K293="Partial Sick Leave",IF(AND(ISNUMBER(H293),ISNUMBER(I293)),MAX(0,(I293-H293)*24),0),0)))</f>
        <v>0</v>
      </c>
      <c r="Q293" s="14" t="n">
        <f aca="false">IF(NOT(U293),0,IF(K293="Vacation",IF(C293="Eve",Settings!$B$11,1),IF(K293="Partial Vacation",O293/Settings!$B$9,0)))</f>
        <v>0</v>
      </c>
      <c r="R293" s="14" t="n">
        <f aca="false">IF(NOT(U293),0,IF(K293="Sick Leave",1,IF(K293="Partial Sick Leave",P293/Settings!$B$9,0)))</f>
        <v>0</v>
      </c>
      <c r="S293" s="35" t="str">
        <f aca="false">IF(AND(OR(E293="Vacation",E293="Sick Leave",E293="Partial Vacation",E293="Partial Sick Leave"),NOT(U293)),"Leave not allowed on this day",IF(AND(E293="Manual Work",OR(NOT(ISNUMBER(F293)),NOT(ISNUMBER(G293)))),"Enter start and end",IF(AND(OR(E293="Partial Vacation",E293="Partial Sick Leave"),OR(NOT(ISNUMBER(H293)),NOT(ISNUMBER(I293)))),"Enter leave from and to",IF(AND(ISNUMBER(F293),ISNUMBER(G293),G293&lt;=F293),"End is before start",IF(AND(ISNUMBER(H293),ISNUMBER(I293),I293&lt;=H293),"Leave end is before start",IF(AND(ISNUMBER(F293),ISNUMBER(G293),ISNUMBER(H293),ISNUMBER(I293),F293&lt;I293,H293&lt;G293),"Work and leave hours overlap",IF(AND(E293&lt;&gt;"",WEEKDAY(A293)=7),"Saturday - administrator only","")))))))</f>
        <v/>
      </c>
      <c r="T293" s="36" t="n">
        <f aca="false">MONTH(A293)</f>
        <v>10</v>
      </c>
      <c r="U293" s="37" t="b">
        <f aca="false">OR(C293="Workday",C293="Eve")</f>
        <v>1</v>
      </c>
      <c r="V293" s="34" t="n">
        <f aca="false">IF(C293="Eve",Settings!$B$8,Settings!$B$7)</f>
        <v>0.6875</v>
      </c>
      <c r="W293" s="14" t="n">
        <f aca="false">IF(U293,(V293-Settings!$B$6)*24,0)</f>
        <v>8.5</v>
      </c>
    </row>
    <row r="294" customFormat="false" ht="15" hidden="false" customHeight="false" outlineLevel="0" collapsed="false">
      <c r="A294" s="29" t="n">
        <v>46310</v>
      </c>
      <c r="B294" s="30" t="str">
        <f aca="false">CHOOSE(WEEKDAY(A294),"Sun","Mon","Tue","Wed","Thu","Fri","Sat")</f>
        <v>Thu</v>
      </c>
      <c r="C294" s="30" t="str">
        <f aca="false">IF(IFERROR(INDEX(Holidays!$D$5:$D$60,MATCH(A294,Holidays!$A$5:$A$60,0)),"")="Holiday","Holiday",IF(WEEKDAY(A294)&gt;=6,"Weekend",IF(IFERROR(INDEX(Holidays!$D$5:$D$60,MATCH(A294,Holidays!$A$5:$A$60,0)),"")="Eve","Eve","Workday")))</f>
        <v>Workday</v>
      </c>
      <c r="D294" s="18" t="str">
        <f aca="false">IFERROR(INDEX(Holidays!$C$5:$C$60,MATCH(A294,Holidays!$A$5:$A$60,0)),"")</f>
        <v/>
      </c>
      <c r="E294" s="31"/>
      <c r="F294" s="32"/>
      <c r="G294" s="32"/>
      <c r="H294" s="32"/>
      <c r="I294" s="32"/>
      <c r="J294" s="31"/>
      <c r="K294" s="33" t="str">
        <f aca="false">IF(E294&lt;&gt;"",E294,IF(U294,"Present",IF(C294="Holiday","Holiday","Weekend")))</f>
        <v>Present</v>
      </c>
      <c r="L294" s="34" t="n">
        <f aca="false">IF(OR(K294="Present",K294="Manual Work",K294="Partial Vacation",K294="Partial Sick Leave"),IF(ISNUMBER(F294),F294,IF(AND(K294="Present",U294),Settings!$B$6,"")),"")</f>
        <v>0.333333333333333</v>
      </c>
      <c r="M294" s="34" t="n">
        <f aca="false">IF(OR(K294="Present",K294="Manual Work",K294="Partial Vacation",K294="Partial Sick Leave"),IF(ISNUMBER(G294),G294,IF(AND(K294="Present",U294),V294,"")),"")</f>
        <v>0.6875</v>
      </c>
      <c r="N294" s="14" t="n">
        <f aca="false">IF(AND(ISNUMBER(L294),ISNUMBER(M294)),MAX(0,(M294-L294)*24),0)</f>
        <v>8.5</v>
      </c>
      <c r="O294" s="14" t="n">
        <f aca="false">IF(NOT(U294),0,IF(K294="Vacation",IF(C294="Eve",Settings!$B$9*Settings!$B$11,W294),IF(K294="Partial Vacation",IF(AND(ISNUMBER(H294),ISNUMBER(I294)),MAX(0,(I294-H294)*24),0),0)))</f>
        <v>0</v>
      </c>
      <c r="P294" s="14" t="n">
        <f aca="false">IF(NOT(U294),0,IF(K294="Sick Leave",W294,IF(K294="Partial Sick Leave",IF(AND(ISNUMBER(H294),ISNUMBER(I294)),MAX(0,(I294-H294)*24),0),0)))</f>
        <v>0</v>
      </c>
      <c r="Q294" s="14" t="n">
        <f aca="false">IF(NOT(U294),0,IF(K294="Vacation",IF(C294="Eve",Settings!$B$11,1),IF(K294="Partial Vacation",O294/Settings!$B$9,0)))</f>
        <v>0</v>
      </c>
      <c r="R294" s="14" t="n">
        <f aca="false">IF(NOT(U294),0,IF(K294="Sick Leave",1,IF(K294="Partial Sick Leave",P294/Settings!$B$9,0)))</f>
        <v>0</v>
      </c>
      <c r="S294" s="35" t="str">
        <f aca="false">IF(AND(OR(E294="Vacation",E294="Sick Leave",E294="Partial Vacation",E294="Partial Sick Leave"),NOT(U294)),"Leave not allowed on this day",IF(AND(E294="Manual Work",OR(NOT(ISNUMBER(F294)),NOT(ISNUMBER(G294)))),"Enter start and end",IF(AND(OR(E294="Partial Vacation",E294="Partial Sick Leave"),OR(NOT(ISNUMBER(H294)),NOT(ISNUMBER(I294)))),"Enter leave from and to",IF(AND(ISNUMBER(F294),ISNUMBER(G294),G294&lt;=F294),"End is before start",IF(AND(ISNUMBER(H294),ISNUMBER(I294),I294&lt;=H294),"Leave end is before start",IF(AND(ISNUMBER(F294),ISNUMBER(G294),ISNUMBER(H294),ISNUMBER(I294),F294&lt;I294,H294&lt;G294),"Work and leave hours overlap",IF(AND(E294&lt;&gt;"",WEEKDAY(A294)=7),"Saturday - administrator only","")))))))</f>
        <v/>
      </c>
      <c r="T294" s="36" t="n">
        <f aca="false">MONTH(A294)</f>
        <v>10</v>
      </c>
      <c r="U294" s="37" t="b">
        <f aca="false">OR(C294="Workday",C294="Eve")</f>
        <v>1</v>
      </c>
      <c r="V294" s="34" t="n">
        <f aca="false">IF(C294="Eve",Settings!$B$8,Settings!$B$7)</f>
        <v>0.6875</v>
      </c>
      <c r="W294" s="14" t="n">
        <f aca="false">IF(U294,(V294-Settings!$B$6)*24,0)</f>
        <v>8.5</v>
      </c>
    </row>
    <row r="295" customFormat="false" ht="15" hidden="false" customHeight="false" outlineLevel="0" collapsed="false">
      <c r="A295" s="29" t="n">
        <v>46311</v>
      </c>
      <c r="B295" s="30" t="str">
        <f aca="false">CHOOSE(WEEKDAY(A295),"Sun","Mon","Tue","Wed","Thu","Fri","Sat")</f>
        <v>Fri</v>
      </c>
      <c r="C295" s="30" t="str">
        <f aca="false">IF(IFERROR(INDEX(Holidays!$D$5:$D$60,MATCH(A295,Holidays!$A$5:$A$60,0)),"")="Holiday","Holiday",IF(WEEKDAY(A295)&gt;=6,"Weekend",IF(IFERROR(INDEX(Holidays!$D$5:$D$60,MATCH(A295,Holidays!$A$5:$A$60,0)),"")="Eve","Eve","Workday")))</f>
        <v>Weekend</v>
      </c>
      <c r="D295" s="18" t="str">
        <f aca="false">IFERROR(INDEX(Holidays!$C$5:$C$60,MATCH(A295,Holidays!$A$5:$A$60,0)),"")</f>
        <v/>
      </c>
      <c r="E295" s="31"/>
      <c r="F295" s="32"/>
      <c r="G295" s="32"/>
      <c r="H295" s="32"/>
      <c r="I295" s="32"/>
      <c r="J295" s="31"/>
      <c r="K295" s="33" t="str">
        <f aca="false">IF(E295&lt;&gt;"",E295,IF(U295,"Present",IF(C295="Holiday","Holiday","Weekend")))</f>
        <v>Weekend</v>
      </c>
      <c r="L295" s="34" t="str">
        <f aca="false">IF(OR(K295="Present",K295="Manual Work",K295="Partial Vacation",K295="Partial Sick Leave"),IF(ISNUMBER(F295),F295,IF(AND(K295="Present",U295),Settings!$B$6,"")),"")</f>
        <v/>
      </c>
      <c r="M295" s="34" t="str">
        <f aca="false">IF(OR(K295="Present",K295="Manual Work",K295="Partial Vacation",K295="Partial Sick Leave"),IF(ISNUMBER(G295),G295,IF(AND(K295="Present",U295),V295,"")),"")</f>
        <v/>
      </c>
      <c r="N295" s="14" t="n">
        <f aca="false">IF(AND(ISNUMBER(L295),ISNUMBER(M295)),MAX(0,(M295-L295)*24),0)</f>
        <v>0</v>
      </c>
      <c r="O295" s="14" t="n">
        <f aca="false">IF(NOT(U295),0,IF(K295="Vacation",IF(C295="Eve",Settings!$B$9*Settings!$B$11,W295),IF(K295="Partial Vacation",IF(AND(ISNUMBER(H295),ISNUMBER(I295)),MAX(0,(I295-H295)*24),0),0)))</f>
        <v>0</v>
      </c>
      <c r="P295" s="14" t="n">
        <f aca="false">IF(NOT(U295),0,IF(K295="Sick Leave",W295,IF(K295="Partial Sick Leave",IF(AND(ISNUMBER(H295),ISNUMBER(I295)),MAX(0,(I295-H295)*24),0),0)))</f>
        <v>0</v>
      </c>
      <c r="Q295" s="14" t="n">
        <f aca="false">IF(NOT(U295),0,IF(K295="Vacation",IF(C295="Eve",Settings!$B$11,1),IF(K295="Partial Vacation",O295/Settings!$B$9,0)))</f>
        <v>0</v>
      </c>
      <c r="R295" s="14" t="n">
        <f aca="false">IF(NOT(U295),0,IF(K295="Sick Leave",1,IF(K295="Partial Sick Leave",P295/Settings!$B$9,0)))</f>
        <v>0</v>
      </c>
      <c r="S295" s="35" t="str">
        <f aca="false">IF(AND(OR(E295="Vacation",E295="Sick Leave",E295="Partial Vacation",E295="Partial Sick Leave"),NOT(U295)),"Leave not allowed on this day",IF(AND(E295="Manual Work",OR(NOT(ISNUMBER(F295)),NOT(ISNUMBER(G295)))),"Enter start and end",IF(AND(OR(E295="Partial Vacation",E295="Partial Sick Leave"),OR(NOT(ISNUMBER(H295)),NOT(ISNUMBER(I295)))),"Enter leave from and to",IF(AND(ISNUMBER(F295),ISNUMBER(G295),G295&lt;=F295),"End is before start",IF(AND(ISNUMBER(H295),ISNUMBER(I295),I295&lt;=H295),"Leave end is before start",IF(AND(ISNUMBER(F295),ISNUMBER(G295),ISNUMBER(H295),ISNUMBER(I295),F295&lt;I295,H295&lt;G295),"Work and leave hours overlap",IF(AND(E295&lt;&gt;"",WEEKDAY(A295)=7),"Saturday - administrator only","")))))))</f>
        <v/>
      </c>
      <c r="T295" s="36" t="n">
        <f aca="false">MONTH(A295)</f>
        <v>10</v>
      </c>
      <c r="U295" s="37" t="b">
        <f aca="false">OR(C295="Workday",C295="Eve")</f>
        <v>0</v>
      </c>
      <c r="V295" s="34" t="n">
        <f aca="false">IF(C295="Eve",Settings!$B$8,Settings!$B$7)</f>
        <v>0.6875</v>
      </c>
      <c r="W295" s="14" t="n">
        <f aca="false">IF(U295,(V295-Settings!$B$6)*24,0)</f>
        <v>0</v>
      </c>
    </row>
    <row r="296" customFormat="false" ht="15" hidden="false" customHeight="false" outlineLevel="0" collapsed="false">
      <c r="A296" s="29" t="n">
        <v>46312</v>
      </c>
      <c r="B296" s="30" t="str">
        <f aca="false">CHOOSE(WEEKDAY(A296),"Sun","Mon","Tue","Wed","Thu","Fri","Sat")</f>
        <v>Sat</v>
      </c>
      <c r="C296" s="30" t="str">
        <f aca="false">IF(IFERROR(INDEX(Holidays!$D$5:$D$60,MATCH(A296,Holidays!$A$5:$A$60,0)),"")="Holiday","Holiday",IF(WEEKDAY(A296)&gt;=6,"Weekend",IF(IFERROR(INDEX(Holidays!$D$5:$D$60,MATCH(A296,Holidays!$A$5:$A$60,0)),"")="Eve","Eve","Workday")))</f>
        <v>Weekend</v>
      </c>
      <c r="D296" s="18" t="str">
        <f aca="false">IFERROR(INDEX(Holidays!$C$5:$C$60,MATCH(A296,Holidays!$A$5:$A$60,0)),"")</f>
        <v/>
      </c>
      <c r="E296" s="31"/>
      <c r="F296" s="32"/>
      <c r="G296" s="32"/>
      <c r="H296" s="32"/>
      <c r="I296" s="32"/>
      <c r="J296" s="31"/>
      <c r="K296" s="33" t="str">
        <f aca="false">IF(E296&lt;&gt;"",E296,IF(U296,"Present",IF(C296="Holiday","Holiday","Weekend")))</f>
        <v>Weekend</v>
      </c>
      <c r="L296" s="34" t="str">
        <f aca="false">IF(OR(K296="Present",K296="Manual Work",K296="Partial Vacation",K296="Partial Sick Leave"),IF(ISNUMBER(F296),F296,IF(AND(K296="Present",U296),Settings!$B$6,"")),"")</f>
        <v/>
      </c>
      <c r="M296" s="34" t="str">
        <f aca="false">IF(OR(K296="Present",K296="Manual Work",K296="Partial Vacation",K296="Partial Sick Leave"),IF(ISNUMBER(G296),G296,IF(AND(K296="Present",U296),V296,"")),"")</f>
        <v/>
      </c>
      <c r="N296" s="14" t="n">
        <f aca="false">IF(AND(ISNUMBER(L296),ISNUMBER(M296)),MAX(0,(M296-L296)*24),0)</f>
        <v>0</v>
      </c>
      <c r="O296" s="14" t="n">
        <f aca="false">IF(NOT(U296),0,IF(K296="Vacation",IF(C296="Eve",Settings!$B$9*Settings!$B$11,W296),IF(K296="Partial Vacation",IF(AND(ISNUMBER(H296),ISNUMBER(I296)),MAX(0,(I296-H296)*24),0),0)))</f>
        <v>0</v>
      </c>
      <c r="P296" s="14" t="n">
        <f aca="false">IF(NOT(U296),0,IF(K296="Sick Leave",W296,IF(K296="Partial Sick Leave",IF(AND(ISNUMBER(H296),ISNUMBER(I296)),MAX(0,(I296-H296)*24),0),0)))</f>
        <v>0</v>
      </c>
      <c r="Q296" s="14" t="n">
        <f aca="false">IF(NOT(U296),0,IF(K296="Vacation",IF(C296="Eve",Settings!$B$11,1),IF(K296="Partial Vacation",O296/Settings!$B$9,0)))</f>
        <v>0</v>
      </c>
      <c r="R296" s="14" t="n">
        <f aca="false">IF(NOT(U296),0,IF(K296="Sick Leave",1,IF(K296="Partial Sick Leave",P296/Settings!$B$9,0)))</f>
        <v>0</v>
      </c>
      <c r="S296" s="35" t="str">
        <f aca="false">IF(AND(OR(E296="Vacation",E296="Sick Leave",E296="Partial Vacation",E296="Partial Sick Leave"),NOT(U296)),"Leave not allowed on this day",IF(AND(E296="Manual Work",OR(NOT(ISNUMBER(F296)),NOT(ISNUMBER(G296)))),"Enter start and end",IF(AND(OR(E296="Partial Vacation",E296="Partial Sick Leave"),OR(NOT(ISNUMBER(H296)),NOT(ISNUMBER(I296)))),"Enter leave from and to",IF(AND(ISNUMBER(F296),ISNUMBER(G296),G296&lt;=F296),"End is before start",IF(AND(ISNUMBER(H296),ISNUMBER(I296),I296&lt;=H296),"Leave end is before start",IF(AND(ISNUMBER(F296),ISNUMBER(G296),ISNUMBER(H296),ISNUMBER(I296),F296&lt;I296,H296&lt;G296),"Work and leave hours overlap",IF(AND(E296&lt;&gt;"",WEEKDAY(A296)=7),"Saturday - administrator only","")))))))</f>
        <v/>
      </c>
      <c r="T296" s="36" t="n">
        <f aca="false">MONTH(A296)</f>
        <v>10</v>
      </c>
      <c r="U296" s="37" t="b">
        <f aca="false">OR(C296="Workday",C296="Eve")</f>
        <v>0</v>
      </c>
      <c r="V296" s="34" t="n">
        <f aca="false">IF(C296="Eve",Settings!$B$8,Settings!$B$7)</f>
        <v>0.6875</v>
      </c>
      <c r="W296" s="14" t="n">
        <f aca="false">IF(U296,(V296-Settings!$B$6)*24,0)</f>
        <v>0</v>
      </c>
    </row>
    <row r="297" customFormat="false" ht="15" hidden="false" customHeight="false" outlineLevel="0" collapsed="false">
      <c r="A297" s="29" t="n">
        <v>46313</v>
      </c>
      <c r="B297" s="30" t="str">
        <f aca="false">CHOOSE(WEEKDAY(A297),"Sun","Mon","Tue","Wed","Thu","Fri","Sat")</f>
        <v>Sun</v>
      </c>
      <c r="C297" s="30" t="str">
        <f aca="false">IF(IFERROR(INDEX(Holidays!$D$5:$D$60,MATCH(A297,Holidays!$A$5:$A$60,0)),"")="Holiday","Holiday",IF(WEEKDAY(A297)&gt;=6,"Weekend",IF(IFERROR(INDEX(Holidays!$D$5:$D$60,MATCH(A297,Holidays!$A$5:$A$60,0)),"")="Eve","Eve","Workday")))</f>
        <v>Workday</v>
      </c>
      <c r="D297" s="18" t="str">
        <f aca="false">IFERROR(INDEX(Holidays!$C$5:$C$60,MATCH(A297,Holidays!$A$5:$A$60,0)),"")</f>
        <v/>
      </c>
      <c r="E297" s="31"/>
      <c r="F297" s="32"/>
      <c r="G297" s="32"/>
      <c r="H297" s="32"/>
      <c r="I297" s="32"/>
      <c r="J297" s="31"/>
      <c r="K297" s="33" t="str">
        <f aca="false">IF(E297&lt;&gt;"",E297,IF(U297,"Present",IF(C297="Holiday","Holiday","Weekend")))</f>
        <v>Present</v>
      </c>
      <c r="L297" s="34" t="n">
        <f aca="false">IF(OR(K297="Present",K297="Manual Work",K297="Partial Vacation",K297="Partial Sick Leave"),IF(ISNUMBER(F297),F297,IF(AND(K297="Present",U297),Settings!$B$6,"")),"")</f>
        <v>0.333333333333333</v>
      </c>
      <c r="M297" s="34" t="n">
        <f aca="false">IF(OR(K297="Present",K297="Manual Work",K297="Partial Vacation",K297="Partial Sick Leave"),IF(ISNUMBER(G297),G297,IF(AND(K297="Present",U297),V297,"")),"")</f>
        <v>0.6875</v>
      </c>
      <c r="N297" s="14" t="n">
        <f aca="false">IF(AND(ISNUMBER(L297),ISNUMBER(M297)),MAX(0,(M297-L297)*24),0)</f>
        <v>8.5</v>
      </c>
      <c r="O297" s="14" t="n">
        <f aca="false">IF(NOT(U297),0,IF(K297="Vacation",IF(C297="Eve",Settings!$B$9*Settings!$B$11,W297),IF(K297="Partial Vacation",IF(AND(ISNUMBER(H297),ISNUMBER(I297)),MAX(0,(I297-H297)*24),0),0)))</f>
        <v>0</v>
      </c>
      <c r="P297" s="14" t="n">
        <f aca="false">IF(NOT(U297),0,IF(K297="Sick Leave",W297,IF(K297="Partial Sick Leave",IF(AND(ISNUMBER(H297),ISNUMBER(I297)),MAX(0,(I297-H297)*24),0),0)))</f>
        <v>0</v>
      </c>
      <c r="Q297" s="14" t="n">
        <f aca="false">IF(NOT(U297),0,IF(K297="Vacation",IF(C297="Eve",Settings!$B$11,1),IF(K297="Partial Vacation",O297/Settings!$B$9,0)))</f>
        <v>0</v>
      </c>
      <c r="R297" s="14" t="n">
        <f aca="false">IF(NOT(U297),0,IF(K297="Sick Leave",1,IF(K297="Partial Sick Leave",P297/Settings!$B$9,0)))</f>
        <v>0</v>
      </c>
      <c r="S297" s="35" t="str">
        <f aca="false">IF(AND(OR(E297="Vacation",E297="Sick Leave",E297="Partial Vacation",E297="Partial Sick Leave"),NOT(U297)),"Leave not allowed on this day",IF(AND(E297="Manual Work",OR(NOT(ISNUMBER(F297)),NOT(ISNUMBER(G297)))),"Enter start and end",IF(AND(OR(E297="Partial Vacation",E297="Partial Sick Leave"),OR(NOT(ISNUMBER(H297)),NOT(ISNUMBER(I297)))),"Enter leave from and to",IF(AND(ISNUMBER(F297),ISNUMBER(G297),G297&lt;=F297),"End is before start",IF(AND(ISNUMBER(H297),ISNUMBER(I297),I297&lt;=H297),"Leave end is before start",IF(AND(ISNUMBER(F297),ISNUMBER(G297),ISNUMBER(H297),ISNUMBER(I297),F297&lt;I297,H297&lt;G297),"Work and leave hours overlap",IF(AND(E297&lt;&gt;"",WEEKDAY(A297)=7),"Saturday - administrator only","")))))))</f>
        <v/>
      </c>
      <c r="T297" s="36" t="n">
        <f aca="false">MONTH(A297)</f>
        <v>10</v>
      </c>
      <c r="U297" s="37" t="b">
        <f aca="false">OR(C297="Workday",C297="Eve")</f>
        <v>1</v>
      </c>
      <c r="V297" s="34" t="n">
        <f aca="false">IF(C297="Eve",Settings!$B$8,Settings!$B$7)</f>
        <v>0.6875</v>
      </c>
      <c r="W297" s="14" t="n">
        <f aca="false">IF(U297,(V297-Settings!$B$6)*24,0)</f>
        <v>8.5</v>
      </c>
    </row>
    <row r="298" customFormat="false" ht="15" hidden="false" customHeight="false" outlineLevel="0" collapsed="false">
      <c r="A298" s="29" t="n">
        <v>46314</v>
      </c>
      <c r="B298" s="30" t="str">
        <f aca="false">CHOOSE(WEEKDAY(A298),"Sun","Mon","Tue","Wed","Thu","Fri","Sat")</f>
        <v>Mon</v>
      </c>
      <c r="C298" s="30" t="str">
        <f aca="false">IF(IFERROR(INDEX(Holidays!$D$5:$D$60,MATCH(A298,Holidays!$A$5:$A$60,0)),"")="Holiday","Holiday",IF(WEEKDAY(A298)&gt;=6,"Weekend",IF(IFERROR(INDEX(Holidays!$D$5:$D$60,MATCH(A298,Holidays!$A$5:$A$60,0)),"")="Eve","Eve","Workday")))</f>
        <v>Workday</v>
      </c>
      <c r="D298" s="18" t="str">
        <f aca="false">IFERROR(INDEX(Holidays!$C$5:$C$60,MATCH(A298,Holidays!$A$5:$A$60,0)),"")</f>
        <v/>
      </c>
      <c r="E298" s="31"/>
      <c r="F298" s="32"/>
      <c r="G298" s="32"/>
      <c r="H298" s="32"/>
      <c r="I298" s="32"/>
      <c r="J298" s="31"/>
      <c r="K298" s="33" t="str">
        <f aca="false">IF(E298&lt;&gt;"",E298,IF(U298,"Present",IF(C298="Holiday","Holiday","Weekend")))</f>
        <v>Present</v>
      </c>
      <c r="L298" s="34" t="n">
        <f aca="false">IF(OR(K298="Present",K298="Manual Work",K298="Partial Vacation",K298="Partial Sick Leave"),IF(ISNUMBER(F298),F298,IF(AND(K298="Present",U298),Settings!$B$6,"")),"")</f>
        <v>0.333333333333333</v>
      </c>
      <c r="M298" s="34" t="n">
        <f aca="false">IF(OR(K298="Present",K298="Manual Work",K298="Partial Vacation",K298="Partial Sick Leave"),IF(ISNUMBER(G298),G298,IF(AND(K298="Present",U298),V298,"")),"")</f>
        <v>0.6875</v>
      </c>
      <c r="N298" s="14" t="n">
        <f aca="false">IF(AND(ISNUMBER(L298),ISNUMBER(M298)),MAX(0,(M298-L298)*24),0)</f>
        <v>8.5</v>
      </c>
      <c r="O298" s="14" t="n">
        <f aca="false">IF(NOT(U298),0,IF(K298="Vacation",IF(C298="Eve",Settings!$B$9*Settings!$B$11,W298),IF(K298="Partial Vacation",IF(AND(ISNUMBER(H298),ISNUMBER(I298)),MAX(0,(I298-H298)*24),0),0)))</f>
        <v>0</v>
      </c>
      <c r="P298" s="14" t="n">
        <f aca="false">IF(NOT(U298),0,IF(K298="Sick Leave",W298,IF(K298="Partial Sick Leave",IF(AND(ISNUMBER(H298),ISNUMBER(I298)),MAX(0,(I298-H298)*24),0),0)))</f>
        <v>0</v>
      </c>
      <c r="Q298" s="14" t="n">
        <f aca="false">IF(NOT(U298),0,IF(K298="Vacation",IF(C298="Eve",Settings!$B$11,1),IF(K298="Partial Vacation",O298/Settings!$B$9,0)))</f>
        <v>0</v>
      </c>
      <c r="R298" s="14" t="n">
        <f aca="false">IF(NOT(U298),0,IF(K298="Sick Leave",1,IF(K298="Partial Sick Leave",P298/Settings!$B$9,0)))</f>
        <v>0</v>
      </c>
      <c r="S298" s="35" t="str">
        <f aca="false">IF(AND(OR(E298="Vacation",E298="Sick Leave",E298="Partial Vacation",E298="Partial Sick Leave"),NOT(U298)),"Leave not allowed on this day",IF(AND(E298="Manual Work",OR(NOT(ISNUMBER(F298)),NOT(ISNUMBER(G298)))),"Enter start and end",IF(AND(OR(E298="Partial Vacation",E298="Partial Sick Leave"),OR(NOT(ISNUMBER(H298)),NOT(ISNUMBER(I298)))),"Enter leave from and to",IF(AND(ISNUMBER(F298),ISNUMBER(G298),G298&lt;=F298),"End is before start",IF(AND(ISNUMBER(H298),ISNUMBER(I298),I298&lt;=H298),"Leave end is before start",IF(AND(ISNUMBER(F298),ISNUMBER(G298),ISNUMBER(H298),ISNUMBER(I298),F298&lt;I298,H298&lt;G298),"Work and leave hours overlap",IF(AND(E298&lt;&gt;"",WEEKDAY(A298)=7),"Saturday - administrator only","")))))))</f>
        <v/>
      </c>
      <c r="T298" s="36" t="n">
        <f aca="false">MONTH(A298)</f>
        <v>10</v>
      </c>
      <c r="U298" s="37" t="b">
        <f aca="false">OR(C298="Workday",C298="Eve")</f>
        <v>1</v>
      </c>
      <c r="V298" s="34" t="n">
        <f aca="false">IF(C298="Eve",Settings!$B$8,Settings!$B$7)</f>
        <v>0.6875</v>
      </c>
      <c r="W298" s="14" t="n">
        <f aca="false">IF(U298,(V298-Settings!$B$6)*24,0)</f>
        <v>8.5</v>
      </c>
    </row>
    <row r="299" customFormat="false" ht="15" hidden="false" customHeight="false" outlineLevel="0" collapsed="false">
      <c r="A299" s="29" t="n">
        <v>46315</v>
      </c>
      <c r="B299" s="30" t="str">
        <f aca="false">CHOOSE(WEEKDAY(A299),"Sun","Mon","Tue","Wed","Thu","Fri","Sat")</f>
        <v>Tue</v>
      </c>
      <c r="C299" s="30" t="str">
        <f aca="false">IF(IFERROR(INDEX(Holidays!$D$5:$D$60,MATCH(A299,Holidays!$A$5:$A$60,0)),"")="Holiday","Holiday",IF(WEEKDAY(A299)&gt;=6,"Weekend",IF(IFERROR(INDEX(Holidays!$D$5:$D$60,MATCH(A299,Holidays!$A$5:$A$60,0)),"")="Eve","Eve","Workday")))</f>
        <v>Workday</v>
      </c>
      <c r="D299" s="18" t="str">
        <f aca="false">IFERROR(INDEX(Holidays!$C$5:$C$60,MATCH(A299,Holidays!$A$5:$A$60,0)),"")</f>
        <v/>
      </c>
      <c r="E299" s="31"/>
      <c r="F299" s="32"/>
      <c r="G299" s="32"/>
      <c r="H299" s="32"/>
      <c r="I299" s="32"/>
      <c r="J299" s="31"/>
      <c r="K299" s="33" t="str">
        <f aca="false">IF(E299&lt;&gt;"",E299,IF(U299,"Present",IF(C299="Holiday","Holiday","Weekend")))</f>
        <v>Present</v>
      </c>
      <c r="L299" s="34" t="n">
        <f aca="false">IF(OR(K299="Present",K299="Manual Work",K299="Partial Vacation",K299="Partial Sick Leave"),IF(ISNUMBER(F299),F299,IF(AND(K299="Present",U299),Settings!$B$6,"")),"")</f>
        <v>0.333333333333333</v>
      </c>
      <c r="M299" s="34" t="n">
        <f aca="false">IF(OR(K299="Present",K299="Manual Work",K299="Partial Vacation",K299="Partial Sick Leave"),IF(ISNUMBER(G299),G299,IF(AND(K299="Present",U299),V299,"")),"")</f>
        <v>0.6875</v>
      </c>
      <c r="N299" s="14" t="n">
        <f aca="false">IF(AND(ISNUMBER(L299),ISNUMBER(M299)),MAX(0,(M299-L299)*24),0)</f>
        <v>8.5</v>
      </c>
      <c r="O299" s="14" t="n">
        <f aca="false">IF(NOT(U299),0,IF(K299="Vacation",IF(C299="Eve",Settings!$B$9*Settings!$B$11,W299),IF(K299="Partial Vacation",IF(AND(ISNUMBER(H299),ISNUMBER(I299)),MAX(0,(I299-H299)*24),0),0)))</f>
        <v>0</v>
      </c>
      <c r="P299" s="14" t="n">
        <f aca="false">IF(NOT(U299),0,IF(K299="Sick Leave",W299,IF(K299="Partial Sick Leave",IF(AND(ISNUMBER(H299),ISNUMBER(I299)),MAX(0,(I299-H299)*24),0),0)))</f>
        <v>0</v>
      </c>
      <c r="Q299" s="14" t="n">
        <f aca="false">IF(NOT(U299),0,IF(K299="Vacation",IF(C299="Eve",Settings!$B$11,1),IF(K299="Partial Vacation",O299/Settings!$B$9,0)))</f>
        <v>0</v>
      </c>
      <c r="R299" s="14" t="n">
        <f aca="false">IF(NOT(U299),0,IF(K299="Sick Leave",1,IF(K299="Partial Sick Leave",P299/Settings!$B$9,0)))</f>
        <v>0</v>
      </c>
      <c r="S299" s="35" t="str">
        <f aca="false">IF(AND(OR(E299="Vacation",E299="Sick Leave",E299="Partial Vacation",E299="Partial Sick Leave"),NOT(U299)),"Leave not allowed on this day",IF(AND(E299="Manual Work",OR(NOT(ISNUMBER(F299)),NOT(ISNUMBER(G299)))),"Enter start and end",IF(AND(OR(E299="Partial Vacation",E299="Partial Sick Leave"),OR(NOT(ISNUMBER(H299)),NOT(ISNUMBER(I299)))),"Enter leave from and to",IF(AND(ISNUMBER(F299),ISNUMBER(G299),G299&lt;=F299),"End is before start",IF(AND(ISNUMBER(H299),ISNUMBER(I299),I299&lt;=H299),"Leave end is before start",IF(AND(ISNUMBER(F299),ISNUMBER(G299),ISNUMBER(H299),ISNUMBER(I299),F299&lt;I299,H299&lt;G299),"Work and leave hours overlap",IF(AND(E299&lt;&gt;"",WEEKDAY(A299)=7),"Saturday - administrator only","")))))))</f>
        <v/>
      </c>
      <c r="T299" s="36" t="n">
        <f aca="false">MONTH(A299)</f>
        <v>10</v>
      </c>
      <c r="U299" s="37" t="b">
        <f aca="false">OR(C299="Workday",C299="Eve")</f>
        <v>1</v>
      </c>
      <c r="V299" s="34" t="n">
        <f aca="false">IF(C299="Eve",Settings!$B$8,Settings!$B$7)</f>
        <v>0.6875</v>
      </c>
      <c r="W299" s="14" t="n">
        <f aca="false">IF(U299,(V299-Settings!$B$6)*24,0)</f>
        <v>8.5</v>
      </c>
    </row>
    <row r="300" customFormat="false" ht="15" hidden="false" customHeight="false" outlineLevel="0" collapsed="false">
      <c r="A300" s="29" t="n">
        <v>46316</v>
      </c>
      <c r="B300" s="30" t="str">
        <f aca="false">CHOOSE(WEEKDAY(A300),"Sun","Mon","Tue","Wed","Thu","Fri","Sat")</f>
        <v>Wed</v>
      </c>
      <c r="C300" s="30" t="str">
        <f aca="false">IF(IFERROR(INDEX(Holidays!$D$5:$D$60,MATCH(A300,Holidays!$A$5:$A$60,0)),"")="Holiday","Holiday",IF(WEEKDAY(A300)&gt;=6,"Weekend",IF(IFERROR(INDEX(Holidays!$D$5:$D$60,MATCH(A300,Holidays!$A$5:$A$60,0)),"")="Eve","Eve","Workday")))</f>
        <v>Workday</v>
      </c>
      <c r="D300" s="18" t="str">
        <f aca="false">IFERROR(INDEX(Holidays!$C$5:$C$60,MATCH(A300,Holidays!$A$5:$A$60,0)),"")</f>
        <v/>
      </c>
      <c r="E300" s="31"/>
      <c r="F300" s="32"/>
      <c r="G300" s="32"/>
      <c r="H300" s="32"/>
      <c r="I300" s="32"/>
      <c r="J300" s="31"/>
      <c r="K300" s="33" t="str">
        <f aca="false">IF(E300&lt;&gt;"",E300,IF(U300,"Present",IF(C300="Holiday","Holiday","Weekend")))</f>
        <v>Present</v>
      </c>
      <c r="L300" s="34" t="n">
        <f aca="false">IF(OR(K300="Present",K300="Manual Work",K300="Partial Vacation",K300="Partial Sick Leave"),IF(ISNUMBER(F300),F300,IF(AND(K300="Present",U300),Settings!$B$6,"")),"")</f>
        <v>0.333333333333333</v>
      </c>
      <c r="M300" s="34" t="n">
        <f aca="false">IF(OR(K300="Present",K300="Manual Work",K300="Partial Vacation",K300="Partial Sick Leave"),IF(ISNUMBER(G300),G300,IF(AND(K300="Present",U300),V300,"")),"")</f>
        <v>0.6875</v>
      </c>
      <c r="N300" s="14" t="n">
        <f aca="false">IF(AND(ISNUMBER(L300),ISNUMBER(M300)),MAX(0,(M300-L300)*24),0)</f>
        <v>8.5</v>
      </c>
      <c r="O300" s="14" t="n">
        <f aca="false">IF(NOT(U300),0,IF(K300="Vacation",IF(C300="Eve",Settings!$B$9*Settings!$B$11,W300),IF(K300="Partial Vacation",IF(AND(ISNUMBER(H300),ISNUMBER(I300)),MAX(0,(I300-H300)*24),0),0)))</f>
        <v>0</v>
      </c>
      <c r="P300" s="14" t="n">
        <f aca="false">IF(NOT(U300),0,IF(K300="Sick Leave",W300,IF(K300="Partial Sick Leave",IF(AND(ISNUMBER(H300),ISNUMBER(I300)),MAX(0,(I300-H300)*24),0),0)))</f>
        <v>0</v>
      </c>
      <c r="Q300" s="14" t="n">
        <f aca="false">IF(NOT(U300),0,IF(K300="Vacation",IF(C300="Eve",Settings!$B$11,1),IF(K300="Partial Vacation",O300/Settings!$B$9,0)))</f>
        <v>0</v>
      </c>
      <c r="R300" s="14" t="n">
        <f aca="false">IF(NOT(U300),0,IF(K300="Sick Leave",1,IF(K300="Partial Sick Leave",P300/Settings!$B$9,0)))</f>
        <v>0</v>
      </c>
      <c r="S300" s="35" t="str">
        <f aca="false">IF(AND(OR(E300="Vacation",E300="Sick Leave",E300="Partial Vacation",E300="Partial Sick Leave"),NOT(U300)),"Leave not allowed on this day",IF(AND(E300="Manual Work",OR(NOT(ISNUMBER(F300)),NOT(ISNUMBER(G300)))),"Enter start and end",IF(AND(OR(E300="Partial Vacation",E300="Partial Sick Leave"),OR(NOT(ISNUMBER(H300)),NOT(ISNUMBER(I300)))),"Enter leave from and to",IF(AND(ISNUMBER(F300),ISNUMBER(G300),G300&lt;=F300),"End is before start",IF(AND(ISNUMBER(H300),ISNUMBER(I300),I300&lt;=H300),"Leave end is before start",IF(AND(ISNUMBER(F300),ISNUMBER(G300),ISNUMBER(H300),ISNUMBER(I300),F300&lt;I300,H300&lt;G300),"Work and leave hours overlap",IF(AND(E300&lt;&gt;"",WEEKDAY(A300)=7),"Saturday - administrator only","")))))))</f>
        <v/>
      </c>
      <c r="T300" s="36" t="n">
        <f aca="false">MONTH(A300)</f>
        <v>10</v>
      </c>
      <c r="U300" s="37" t="b">
        <f aca="false">OR(C300="Workday",C300="Eve")</f>
        <v>1</v>
      </c>
      <c r="V300" s="34" t="n">
        <f aca="false">IF(C300="Eve",Settings!$B$8,Settings!$B$7)</f>
        <v>0.6875</v>
      </c>
      <c r="W300" s="14" t="n">
        <f aca="false">IF(U300,(V300-Settings!$B$6)*24,0)</f>
        <v>8.5</v>
      </c>
    </row>
    <row r="301" customFormat="false" ht="15" hidden="false" customHeight="false" outlineLevel="0" collapsed="false">
      <c r="A301" s="29" t="n">
        <v>46317</v>
      </c>
      <c r="B301" s="30" t="str">
        <f aca="false">CHOOSE(WEEKDAY(A301),"Sun","Mon","Tue","Wed","Thu","Fri","Sat")</f>
        <v>Thu</v>
      </c>
      <c r="C301" s="30" t="str">
        <f aca="false">IF(IFERROR(INDEX(Holidays!$D$5:$D$60,MATCH(A301,Holidays!$A$5:$A$60,0)),"")="Holiday","Holiday",IF(WEEKDAY(A301)&gt;=6,"Weekend",IF(IFERROR(INDEX(Holidays!$D$5:$D$60,MATCH(A301,Holidays!$A$5:$A$60,0)),"")="Eve","Eve","Workday")))</f>
        <v>Workday</v>
      </c>
      <c r="D301" s="18" t="str">
        <f aca="false">IFERROR(INDEX(Holidays!$C$5:$C$60,MATCH(A301,Holidays!$A$5:$A$60,0)),"")</f>
        <v/>
      </c>
      <c r="E301" s="31"/>
      <c r="F301" s="32"/>
      <c r="G301" s="32"/>
      <c r="H301" s="32"/>
      <c r="I301" s="32"/>
      <c r="J301" s="31"/>
      <c r="K301" s="33" t="str">
        <f aca="false">IF(E301&lt;&gt;"",E301,IF(U301,"Present",IF(C301="Holiday","Holiday","Weekend")))</f>
        <v>Present</v>
      </c>
      <c r="L301" s="34" t="n">
        <f aca="false">IF(OR(K301="Present",K301="Manual Work",K301="Partial Vacation",K301="Partial Sick Leave"),IF(ISNUMBER(F301),F301,IF(AND(K301="Present",U301),Settings!$B$6,"")),"")</f>
        <v>0.333333333333333</v>
      </c>
      <c r="M301" s="34" t="n">
        <f aca="false">IF(OR(K301="Present",K301="Manual Work",K301="Partial Vacation",K301="Partial Sick Leave"),IF(ISNUMBER(G301),G301,IF(AND(K301="Present",U301),V301,"")),"")</f>
        <v>0.6875</v>
      </c>
      <c r="N301" s="14" t="n">
        <f aca="false">IF(AND(ISNUMBER(L301),ISNUMBER(M301)),MAX(0,(M301-L301)*24),0)</f>
        <v>8.5</v>
      </c>
      <c r="O301" s="14" t="n">
        <f aca="false">IF(NOT(U301),0,IF(K301="Vacation",IF(C301="Eve",Settings!$B$9*Settings!$B$11,W301),IF(K301="Partial Vacation",IF(AND(ISNUMBER(H301),ISNUMBER(I301)),MAX(0,(I301-H301)*24),0),0)))</f>
        <v>0</v>
      </c>
      <c r="P301" s="14" t="n">
        <f aca="false">IF(NOT(U301),0,IF(K301="Sick Leave",W301,IF(K301="Partial Sick Leave",IF(AND(ISNUMBER(H301),ISNUMBER(I301)),MAX(0,(I301-H301)*24),0),0)))</f>
        <v>0</v>
      </c>
      <c r="Q301" s="14" t="n">
        <f aca="false">IF(NOT(U301),0,IF(K301="Vacation",IF(C301="Eve",Settings!$B$11,1),IF(K301="Partial Vacation",O301/Settings!$B$9,0)))</f>
        <v>0</v>
      </c>
      <c r="R301" s="14" t="n">
        <f aca="false">IF(NOT(U301),0,IF(K301="Sick Leave",1,IF(K301="Partial Sick Leave",P301/Settings!$B$9,0)))</f>
        <v>0</v>
      </c>
      <c r="S301" s="35" t="str">
        <f aca="false">IF(AND(OR(E301="Vacation",E301="Sick Leave",E301="Partial Vacation",E301="Partial Sick Leave"),NOT(U301)),"Leave not allowed on this day",IF(AND(E301="Manual Work",OR(NOT(ISNUMBER(F301)),NOT(ISNUMBER(G301)))),"Enter start and end",IF(AND(OR(E301="Partial Vacation",E301="Partial Sick Leave"),OR(NOT(ISNUMBER(H301)),NOT(ISNUMBER(I301)))),"Enter leave from and to",IF(AND(ISNUMBER(F301),ISNUMBER(G301),G301&lt;=F301),"End is before start",IF(AND(ISNUMBER(H301),ISNUMBER(I301),I301&lt;=H301),"Leave end is before start",IF(AND(ISNUMBER(F301),ISNUMBER(G301),ISNUMBER(H301),ISNUMBER(I301),F301&lt;I301,H301&lt;G301),"Work and leave hours overlap",IF(AND(E301&lt;&gt;"",WEEKDAY(A301)=7),"Saturday - administrator only","")))))))</f>
        <v/>
      </c>
      <c r="T301" s="36" t="n">
        <f aca="false">MONTH(A301)</f>
        <v>10</v>
      </c>
      <c r="U301" s="37" t="b">
        <f aca="false">OR(C301="Workday",C301="Eve")</f>
        <v>1</v>
      </c>
      <c r="V301" s="34" t="n">
        <f aca="false">IF(C301="Eve",Settings!$B$8,Settings!$B$7)</f>
        <v>0.6875</v>
      </c>
      <c r="W301" s="14" t="n">
        <f aca="false">IF(U301,(V301-Settings!$B$6)*24,0)</f>
        <v>8.5</v>
      </c>
    </row>
    <row r="302" customFormat="false" ht="15" hidden="false" customHeight="false" outlineLevel="0" collapsed="false">
      <c r="A302" s="29" t="n">
        <v>46318</v>
      </c>
      <c r="B302" s="30" t="str">
        <f aca="false">CHOOSE(WEEKDAY(A302),"Sun","Mon","Tue","Wed","Thu","Fri","Sat")</f>
        <v>Fri</v>
      </c>
      <c r="C302" s="30" t="str">
        <f aca="false">IF(IFERROR(INDEX(Holidays!$D$5:$D$60,MATCH(A302,Holidays!$A$5:$A$60,0)),"")="Holiday","Holiday",IF(WEEKDAY(A302)&gt;=6,"Weekend",IF(IFERROR(INDEX(Holidays!$D$5:$D$60,MATCH(A302,Holidays!$A$5:$A$60,0)),"")="Eve","Eve","Workday")))</f>
        <v>Weekend</v>
      </c>
      <c r="D302" s="18" t="str">
        <f aca="false">IFERROR(INDEX(Holidays!$C$5:$C$60,MATCH(A302,Holidays!$A$5:$A$60,0)),"")</f>
        <v/>
      </c>
      <c r="E302" s="31"/>
      <c r="F302" s="32"/>
      <c r="G302" s="32"/>
      <c r="H302" s="32"/>
      <c r="I302" s="32"/>
      <c r="J302" s="31"/>
      <c r="K302" s="33" t="str">
        <f aca="false">IF(E302&lt;&gt;"",E302,IF(U302,"Present",IF(C302="Holiday","Holiday","Weekend")))</f>
        <v>Weekend</v>
      </c>
      <c r="L302" s="34" t="str">
        <f aca="false">IF(OR(K302="Present",K302="Manual Work",K302="Partial Vacation",K302="Partial Sick Leave"),IF(ISNUMBER(F302),F302,IF(AND(K302="Present",U302),Settings!$B$6,"")),"")</f>
        <v/>
      </c>
      <c r="M302" s="34" t="str">
        <f aca="false">IF(OR(K302="Present",K302="Manual Work",K302="Partial Vacation",K302="Partial Sick Leave"),IF(ISNUMBER(G302),G302,IF(AND(K302="Present",U302),V302,"")),"")</f>
        <v/>
      </c>
      <c r="N302" s="14" t="n">
        <f aca="false">IF(AND(ISNUMBER(L302),ISNUMBER(M302)),MAX(0,(M302-L302)*24),0)</f>
        <v>0</v>
      </c>
      <c r="O302" s="14" t="n">
        <f aca="false">IF(NOT(U302),0,IF(K302="Vacation",IF(C302="Eve",Settings!$B$9*Settings!$B$11,W302),IF(K302="Partial Vacation",IF(AND(ISNUMBER(H302),ISNUMBER(I302)),MAX(0,(I302-H302)*24),0),0)))</f>
        <v>0</v>
      </c>
      <c r="P302" s="14" t="n">
        <f aca="false">IF(NOT(U302),0,IF(K302="Sick Leave",W302,IF(K302="Partial Sick Leave",IF(AND(ISNUMBER(H302),ISNUMBER(I302)),MAX(0,(I302-H302)*24),0),0)))</f>
        <v>0</v>
      </c>
      <c r="Q302" s="14" t="n">
        <f aca="false">IF(NOT(U302),0,IF(K302="Vacation",IF(C302="Eve",Settings!$B$11,1),IF(K302="Partial Vacation",O302/Settings!$B$9,0)))</f>
        <v>0</v>
      </c>
      <c r="R302" s="14" t="n">
        <f aca="false">IF(NOT(U302),0,IF(K302="Sick Leave",1,IF(K302="Partial Sick Leave",P302/Settings!$B$9,0)))</f>
        <v>0</v>
      </c>
      <c r="S302" s="35" t="str">
        <f aca="false">IF(AND(OR(E302="Vacation",E302="Sick Leave",E302="Partial Vacation",E302="Partial Sick Leave"),NOT(U302)),"Leave not allowed on this day",IF(AND(E302="Manual Work",OR(NOT(ISNUMBER(F302)),NOT(ISNUMBER(G302)))),"Enter start and end",IF(AND(OR(E302="Partial Vacation",E302="Partial Sick Leave"),OR(NOT(ISNUMBER(H302)),NOT(ISNUMBER(I302)))),"Enter leave from and to",IF(AND(ISNUMBER(F302),ISNUMBER(G302),G302&lt;=F302),"End is before start",IF(AND(ISNUMBER(H302),ISNUMBER(I302),I302&lt;=H302),"Leave end is before start",IF(AND(ISNUMBER(F302),ISNUMBER(G302),ISNUMBER(H302),ISNUMBER(I302),F302&lt;I302,H302&lt;G302),"Work and leave hours overlap",IF(AND(E302&lt;&gt;"",WEEKDAY(A302)=7),"Saturday - administrator only","")))))))</f>
        <v/>
      </c>
      <c r="T302" s="36" t="n">
        <f aca="false">MONTH(A302)</f>
        <v>10</v>
      </c>
      <c r="U302" s="37" t="b">
        <f aca="false">OR(C302="Workday",C302="Eve")</f>
        <v>0</v>
      </c>
      <c r="V302" s="34" t="n">
        <f aca="false">IF(C302="Eve",Settings!$B$8,Settings!$B$7)</f>
        <v>0.6875</v>
      </c>
      <c r="W302" s="14" t="n">
        <f aca="false">IF(U302,(V302-Settings!$B$6)*24,0)</f>
        <v>0</v>
      </c>
    </row>
    <row r="303" customFormat="false" ht="15" hidden="false" customHeight="false" outlineLevel="0" collapsed="false">
      <c r="A303" s="29" t="n">
        <v>46319</v>
      </c>
      <c r="B303" s="30" t="str">
        <f aca="false">CHOOSE(WEEKDAY(A303),"Sun","Mon","Tue","Wed","Thu","Fri","Sat")</f>
        <v>Sat</v>
      </c>
      <c r="C303" s="30" t="str">
        <f aca="false">IF(IFERROR(INDEX(Holidays!$D$5:$D$60,MATCH(A303,Holidays!$A$5:$A$60,0)),"")="Holiday","Holiday",IF(WEEKDAY(A303)&gt;=6,"Weekend",IF(IFERROR(INDEX(Holidays!$D$5:$D$60,MATCH(A303,Holidays!$A$5:$A$60,0)),"")="Eve","Eve","Workday")))</f>
        <v>Weekend</v>
      </c>
      <c r="D303" s="18" t="str">
        <f aca="false">IFERROR(INDEX(Holidays!$C$5:$C$60,MATCH(A303,Holidays!$A$5:$A$60,0)),"")</f>
        <v/>
      </c>
      <c r="E303" s="31"/>
      <c r="F303" s="32"/>
      <c r="G303" s="32"/>
      <c r="H303" s="32"/>
      <c r="I303" s="32"/>
      <c r="J303" s="31"/>
      <c r="K303" s="33" t="str">
        <f aca="false">IF(E303&lt;&gt;"",E303,IF(U303,"Present",IF(C303="Holiday","Holiday","Weekend")))</f>
        <v>Weekend</v>
      </c>
      <c r="L303" s="34" t="str">
        <f aca="false">IF(OR(K303="Present",K303="Manual Work",K303="Partial Vacation",K303="Partial Sick Leave"),IF(ISNUMBER(F303),F303,IF(AND(K303="Present",U303),Settings!$B$6,"")),"")</f>
        <v/>
      </c>
      <c r="M303" s="34" t="str">
        <f aca="false">IF(OR(K303="Present",K303="Manual Work",K303="Partial Vacation",K303="Partial Sick Leave"),IF(ISNUMBER(G303),G303,IF(AND(K303="Present",U303),V303,"")),"")</f>
        <v/>
      </c>
      <c r="N303" s="14" t="n">
        <f aca="false">IF(AND(ISNUMBER(L303),ISNUMBER(M303)),MAX(0,(M303-L303)*24),0)</f>
        <v>0</v>
      </c>
      <c r="O303" s="14" t="n">
        <f aca="false">IF(NOT(U303),0,IF(K303="Vacation",IF(C303="Eve",Settings!$B$9*Settings!$B$11,W303),IF(K303="Partial Vacation",IF(AND(ISNUMBER(H303),ISNUMBER(I303)),MAX(0,(I303-H303)*24),0),0)))</f>
        <v>0</v>
      </c>
      <c r="P303" s="14" t="n">
        <f aca="false">IF(NOT(U303),0,IF(K303="Sick Leave",W303,IF(K303="Partial Sick Leave",IF(AND(ISNUMBER(H303),ISNUMBER(I303)),MAX(0,(I303-H303)*24),0),0)))</f>
        <v>0</v>
      </c>
      <c r="Q303" s="14" t="n">
        <f aca="false">IF(NOT(U303),0,IF(K303="Vacation",IF(C303="Eve",Settings!$B$11,1),IF(K303="Partial Vacation",O303/Settings!$B$9,0)))</f>
        <v>0</v>
      </c>
      <c r="R303" s="14" t="n">
        <f aca="false">IF(NOT(U303),0,IF(K303="Sick Leave",1,IF(K303="Partial Sick Leave",P303/Settings!$B$9,0)))</f>
        <v>0</v>
      </c>
      <c r="S303" s="35" t="str">
        <f aca="false">IF(AND(OR(E303="Vacation",E303="Sick Leave",E303="Partial Vacation",E303="Partial Sick Leave"),NOT(U303)),"Leave not allowed on this day",IF(AND(E303="Manual Work",OR(NOT(ISNUMBER(F303)),NOT(ISNUMBER(G303)))),"Enter start and end",IF(AND(OR(E303="Partial Vacation",E303="Partial Sick Leave"),OR(NOT(ISNUMBER(H303)),NOT(ISNUMBER(I303)))),"Enter leave from and to",IF(AND(ISNUMBER(F303),ISNUMBER(G303),G303&lt;=F303),"End is before start",IF(AND(ISNUMBER(H303),ISNUMBER(I303),I303&lt;=H303),"Leave end is before start",IF(AND(ISNUMBER(F303),ISNUMBER(G303),ISNUMBER(H303),ISNUMBER(I303),F303&lt;I303,H303&lt;G303),"Work and leave hours overlap",IF(AND(E303&lt;&gt;"",WEEKDAY(A303)=7),"Saturday - administrator only","")))))))</f>
        <v/>
      </c>
      <c r="T303" s="36" t="n">
        <f aca="false">MONTH(A303)</f>
        <v>10</v>
      </c>
      <c r="U303" s="37" t="b">
        <f aca="false">OR(C303="Workday",C303="Eve")</f>
        <v>0</v>
      </c>
      <c r="V303" s="34" t="n">
        <f aca="false">IF(C303="Eve",Settings!$B$8,Settings!$B$7)</f>
        <v>0.6875</v>
      </c>
      <c r="W303" s="14" t="n">
        <f aca="false">IF(U303,(V303-Settings!$B$6)*24,0)</f>
        <v>0</v>
      </c>
    </row>
    <row r="304" customFormat="false" ht="15" hidden="false" customHeight="false" outlineLevel="0" collapsed="false">
      <c r="A304" s="29" t="n">
        <v>46320</v>
      </c>
      <c r="B304" s="30" t="str">
        <f aca="false">CHOOSE(WEEKDAY(A304),"Sun","Mon","Tue","Wed","Thu","Fri","Sat")</f>
        <v>Sun</v>
      </c>
      <c r="C304" s="30" t="str">
        <f aca="false">IF(IFERROR(INDEX(Holidays!$D$5:$D$60,MATCH(A304,Holidays!$A$5:$A$60,0)),"")="Holiday","Holiday",IF(WEEKDAY(A304)&gt;=6,"Weekend",IF(IFERROR(INDEX(Holidays!$D$5:$D$60,MATCH(A304,Holidays!$A$5:$A$60,0)),"")="Eve","Eve","Workday")))</f>
        <v>Workday</v>
      </c>
      <c r="D304" s="18" t="str">
        <f aca="false">IFERROR(INDEX(Holidays!$C$5:$C$60,MATCH(A304,Holidays!$A$5:$A$60,0)),"")</f>
        <v/>
      </c>
      <c r="E304" s="31"/>
      <c r="F304" s="32"/>
      <c r="G304" s="32"/>
      <c r="H304" s="32"/>
      <c r="I304" s="32"/>
      <c r="J304" s="31"/>
      <c r="K304" s="33" t="str">
        <f aca="false">IF(E304&lt;&gt;"",E304,IF(U304,"Present",IF(C304="Holiday","Holiday","Weekend")))</f>
        <v>Present</v>
      </c>
      <c r="L304" s="34" t="n">
        <f aca="false">IF(OR(K304="Present",K304="Manual Work",K304="Partial Vacation",K304="Partial Sick Leave"),IF(ISNUMBER(F304),F304,IF(AND(K304="Present",U304),Settings!$B$6,"")),"")</f>
        <v>0.333333333333333</v>
      </c>
      <c r="M304" s="34" t="n">
        <f aca="false">IF(OR(K304="Present",K304="Manual Work",K304="Partial Vacation",K304="Partial Sick Leave"),IF(ISNUMBER(G304),G304,IF(AND(K304="Present",U304),V304,"")),"")</f>
        <v>0.6875</v>
      </c>
      <c r="N304" s="14" t="n">
        <f aca="false">IF(AND(ISNUMBER(L304),ISNUMBER(M304)),MAX(0,(M304-L304)*24),0)</f>
        <v>8.5</v>
      </c>
      <c r="O304" s="14" t="n">
        <f aca="false">IF(NOT(U304),0,IF(K304="Vacation",IF(C304="Eve",Settings!$B$9*Settings!$B$11,W304),IF(K304="Partial Vacation",IF(AND(ISNUMBER(H304),ISNUMBER(I304)),MAX(0,(I304-H304)*24),0),0)))</f>
        <v>0</v>
      </c>
      <c r="P304" s="14" t="n">
        <f aca="false">IF(NOT(U304),0,IF(K304="Sick Leave",W304,IF(K304="Partial Sick Leave",IF(AND(ISNUMBER(H304),ISNUMBER(I304)),MAX(0,(I304-H304)*24),0),0)))</f>
        <v>0</v>
      </c>
      <c r="Q304" s="14" t="n">
        <f aca="false">IF(NOT(U304),0,IF(K304="Vacation",IF(C304="Eve",Settings!$B$11,1),IF(K304="Partial Vacation",O304/Settings!$B$9,0)))</f>
        <v>0</v>
      </c>
      <c r="R304" s="14" t="n">
        <f aca="false">IF(NOT(U304),0,IF(K304="Sick Leave",1,IF(K304="Partial Sick Leave",P304/Settings!$B$9,0)))</f>
        <v>0</v>
      </c>
      <c r="S304" s="35" t="str">
        <f aca="false">IF(AND(OR(E304="Vacation",E304="Sick Leave",E304="Partial Vacation",E304="Partial Sick Leave"),NOT(U304)),"Leave not allowed on this day",IF(AND(E304="Manual Work",OR(NOT(ISNUMBER(F304)),NOT(ISNUMBER(G304)))),"Enter start and end",IF(AND(OR(E304="Partial Vacation",E304="Partial Sick Leave"),OR(NOT(ISNUMBER(H304)),NOT(ISNUMBER(I304)))),"Enter leave from and to",IF(AND(ISNUMBER(F304),ISNUMBER(G304),G304&lt;=F304),"End is before start",IF(AND(ISNUMBER(H304),ISNUMBER(I304),I304&lt;=H304),"Leave end is before start",IF(AND(ISNUMBER(F304),ISNUMBER(G304),ISNUMBER(H304),ISNUMBER(I304),F304&lt;I304,H304&lt;G304),"Work and leave hours overlap",IF(AND(E304&lt;&gt;"",WEEKDAY(A304)=7),"Saturday - administrator only","")))))))</f>
        <v/>
      </c>
      <c r="T304" s="36" t="n">
        <f aca="false">MONTH(A304)</f>
        <v>10</v>
      </c>
      <c r="U304" s="37" t="b">
        <f aca="false">OR(C304="Workday",C304="Eve")</f>
        <v>1</v>
      </c>
      <c r="V304" s="34" t="n">
        <f aca="false">IF(C304="Eve",Settings!$B$8,Settings!$B$7)</f>
        <v>0.6875</v>
      </c>
      <c r="W304" s="14" t="n">
        <f aca="false">IF(U304,(V304-Settings!$B$6)*24,0)</f>
        <v>8.5</v>
      </c>
    </row>
    <row r="305" customFormat="false" ht="15" hidden="false" customHeight="false" outlineLevel="0" collapsed="false">
      <c r="A305" s="29" t="n">
        <v>46321</v>
      </c>
      <c r="B305" s="30" t="str">
        <f aca="false">CHOOSE(WEEKDAY(A305),"Sun","Mon","Tue","Wed","Thu","Fri","Sat")</f>
        <v>Mon</v>
      </c>
      <c r="C305" s="30" t="str">
        <f aca="false">IF(IFERROR(INDEX(Holidays!$D$5:$D$60,MATCH(A305,Holidays!$A$5:$A$60,0)),"")="Holiday","Holiday",IF(WEEKDAY(A305)&gt;=6,"Weekend",IF(IFERROR(INDEX(Holidays!$D$5:$D$60,MATCH(A305,Holidays!$A$5:$A$60,0)),"")="Eve","Eve","Workday")))</f>
        <v>Workday</v>
      </c>
      <c r="D305" s="18" t="str">
        <f aca="false">IFERROR(INDEX(Holidays!$C$5:$C$60,MATCH(A305,Holidays!$A$5:$A$60,0)),"")</f>
        <v/>
      </c>
      <c r="E305" s="31"/>
      <c r="F305" s="32"/>
      <c r="G305" s="32"/>
      <c r="H305" s="32"/>
      <c r="I305" s="32"/>
      <c r="J305" s="31"/>
      <c r="K305" s="33" t="str">
        <f aca="false">IF(E305&lt;&gt;"",E305,IF(U305,"Present",IF(C305="Holiday","Holiday","Weekend")))</f>
        <v>Present</v>
      </c>
      <c r="L305" s="34" t="n">
        <f aca="false">IF(OR(K305="Present",K305="Manual Work",K305="Partial Vacation",K305="Partial Sick Leave"),IF(ISNUMBER(F305),F305,IF(AND(K305="Present",U305),Settings!$B$6,"")),"")</f>
        <v>0.333333333333333</v>
      </c>
      <c r="M305" s="34" t="n">
        <f aca="false">IF(OR(K305="Present",K305="Manual Work",K305="Partial Vacation",K305="Partial Sick Leave"),IF(ISNUMBER(G305),G305,IF(AND(K305="Present",U305),V305,"")),"")</f>
        <v>0.6875</v>
      </c>
      <c r="N305" s="14" t="n">
        <f aca="false">IF(AND(ISNUMBER(L305),ISNUMBER(M305)),MAX(0,(M305-L305)*24),0)</f>
        <v>8.5</v>
      </c>
      <c r="O305" s="14" t="n">
        <f aca="false">IF(NOT(U305),0,IF(K305="Vacation",IF(C305="Eve",Settings!$B$9*Settings!$B$11,W305),IF(K305="Partial Vacation",IF(AND(ISNUMBER(H305),ISNUMBER(I305)),MAX(0,(I305-H305)*24),0),0)))</f>
        <v>0</v>
      </c>
      <c r="P305" s="14" t="n">
        <f aca="false">IF(NOT(U305),0,IF(K305="Sick Leave",W305,IF(K305="Partial Sick Leave",IF(AND(ISNUMBER(H305),ISNUMBER(I305)),MAX(0,(I305-H305)*24),0),0)))</f>
        <v>0</v>
      </c>
      <c r="Q305" s="14" t="n">
        <f aca="false">IF(NOT(U305),0,IF(K305="Vacation",IF(C305="Eve",Settings!$B$11,1),IF(K305="Partial Vacation",O305/Settings!$B$9,0)))</f>
        <v>0</v>
      </c>
      <c r="R305" s="14" t="n">
        <f aca="false">IF(NOT(U305),0,IF(K305="Sick Leave",1,IF(K305="Partial Sick Leave",P305/Settings!$B$9,0)))</f>
        <v>0</v>
      </c>
      <c r="S305" s="35" t="str">
        <f aca="false">IF(AND(OR(E305="Vacation",E305="Sick Leave",E305="Partial Vacation",E305="Partial Sick Leave"),NOT(U305)),"Leave not allowed on this day",IF(AND(E305="Manual Work",OR(NOT(ISNUMBER(F305)),NOT(ISNUMBER(G305)))),"Enter start and end",IF(AND(OR(E305="Partial Vacation",E305="Partial Sick Leave"),OR(NOT(ISNUMBER(H305)),NOT(ISNUMBER(I305)))),"Enter leave from and to",IF(AND(ISNUMBER(F305),ISNUMBER(G305),G305&lt;=F305),"End is before start",IF(AND(ISNUMBER(H305),ISNUMBER(I305),I305&lt;=H305),"Leave end is before start",IF(AND(ISNUMBER(F305),ISNUMBER(G305),ISNUMBER(H305),ISNUMBER(I305),F305&lt;I305,H305&lt;G305),"Work and leave hours overlap",IF(AND(E305&lt;&gt;"",WEEKDAY(A305)=7),"Saturday - administrator only","")))))))</f>
        <v/>
      </c>
      <c r="T305" s="36" t="n">
        <f aca="false">MONTH(A305)</f>
        <v>10</v>
      </c>
      <c r="U305" s="37" t="b">
        <f aca="false">OR(C305="Workday",C305="Eve")</f>
        <v>1</v>
      </c>
      <c r="V305" s="34" t="n">
        <f aca="false">IF(C305="Eve",Settings!$B$8,Settings!$B$7)</f>
        <v>0.6875</v>
      </c>
      <c r="W305" s="14" t="n">
        <f aca="false">IF(U305,(V305-Settings!$B$6)*24,0)</f>
        <v>8.5</v>
      </c>
    </row>
    <row r="306" customFormat="false" ht="15" hidden="false" customHeight="false" outlineLevel="0" collapsed="false">
      <c r="A306" s="29" t="n">
        <v>46322</v>
      </c>
      <c r="B306" s="30" t="str">
        <f aca="false">CHOOSE(WEEKDAY(A306),"Sun","Mon","Tue","Wed","Thu","Fri","Sat")</f>
        <v>Tue</v>
      </c>
      <c r="C306" s="30" t="str">
        <f aca="false">IF(IFERROR(INDEX(Holidays!$D$5:$D$60,MATCH(A306,Holidays!$A$5:$A$60,0)),"")="Holiday","Holiday",IF(WEEKDAY(A306)&gt;=6,"Weekend",IF(IFERROR(INDEX(Holidays!$D$5:$D$60,MATCH(A306,Holidays!$A$5:$A$60,0)),"")="Eve","Eve","Workday")))</f>
        <v>Workday</v>
      </c>
      <c r="D306" s="18" t="str">
        <f aca="false">IFERROR(INDEX(Holidays!$C$5:$C$60,MATCH(A306,Holidays!$A$5:$A$60,0)),"")</f>
        <v/>
      </c>
      <c r="E306" s="31"/>
      <c r="F306" s="32"/>
      <c r="G306" s="32"/>
      <c r="H306" s="32"/>
      <c r="I306" s="32"/>
      <c r="J306" s="31"/>
      <c r="K306" s="33" t="str">
        <f aca="false">IF(E306&lt;&gt;"",E306,IF(U306,"Present",IF(C306="Holiday","Holiday","Weekend")))</f>
        <v>Present</v>
      </c>
      <c r="L306" s="34" t="n">
        <f aca="false">IF(OR(K306="Present",K306="Manual Work",K306="Partial Vacation",K306="Partial Sick Leave"),IF(ISNUMBER(F306),F306,IF(AND(K306="Present",U306),Settings!$B$6,"")),"")</f>
        <v>0.333333333333333</v>
      </c>
      <c r="M306" s="34" t="n">
        <f aca="false">IF(OR(K306="Present",K306="Manual Work",K306="Partial Vacation",K306="Partial Sick Leave"),IF(ISNUMBER(G306),G306,IF(AND(K306="Present",U306),V306,"")),"")</f>
        <v>0.6875</v>
      </c>
      <c r="N306" s="14" t="n">
        <f aca="false">IF(AND(ISNUMBER(L306),ISNUMBER(M306)),MAX(0,(M306-L306)*24),0)</f>
        <v>8.5</v>
      </c>
      <c r="O306" s="14" t="n">
        <f aca="false">IF(NOT(U306),0,IF(K306="Vacation",IF(C306="Eve",Settings!$B$9*Settings!$B$11,W306),IF(K306="Partial Vacation",IF(AND(ISNUMBER(H306),ISNUMBER(I306)),MAX(0,(I306-H306)*24),0),0)))</f>
        <v>0</v>
      </c>
      <c r="P306" s="14" t="n">
        <f aca="false">IF(NOT(U306),0,IF(K306="Sick Leave",W306,IF(K306="Partial Sick Leave",IF(AND(ISNUMBER(H306),ISNUMBER(I306)),MAX(0,(I306-H306)*24),0),0)))</f>
        <v>0</v>
      </c>
      <c r="Q306" s="14" t="n">
        <f aca="false">IF(NOT(U306),0,IF(K306="Vacation",IF(C306="Eve",Settings!$B$11,1),IF(K306="Partial Vacation",O306/Settings!$B$9,0)))</f>
        <v>0</v>
      </c>
      <c r="R306" s="14" t="n">
        <f aca="false">IF(NOT(U306),0,IF(K306="Sick Leave",1,IF(K306="Partial Sick Leave",P306/Settings!$B$9,0)))</f>
        <v>0</v>
      </c>
      <c r="S306" s="35" t="str">
        <f aca="false">IF(AND(OR(E306="Vacation",E306="Sick Leave",E306="Partial Vacation",E306="Partial Sick Leave"),NOT(U306)),"Leave not allowed on this day",IF(AND(E306="Manual Work",OR(NOT(ISNUMBER(F306)),NOT(ISNUMBER(G306)))),"Enter start and end",IF(AND(OR(E306="Partial Vacation",E306="Partial Sick Leave"),OR(NOT(ISNUMBER(H306)),NOT(ISNUMBER(I306)))),"Enter leave from and to",IF(AND(ISNUMBER(F306),ISNUMBER(G306),G306&lt;=F306),"End is before start",IF(AND(ISNUMBER(H306),ISNUMBER(I306),I306&lt;=H306),"Leave end is before start",IF(AND(ISNUMBER(F306),ISNUMBER(G306),ISNUMBER(H306),ISNUMBER(I306),F306&lt;I306,H306&lt;G306),"Work and leave hours overlap",IF(AND(E306&lt;&gt;"",WEEKDAY(A306)=7),"Saturday - administrator only","")))))))</f>
        <v/>
      </c>
      <c r="T306" s="36" t="n">
        <f aca="false">MONTH(A306)</f>
        <v>10</v>
      </c>
      <c r="U306" s="37" t="b">
        <f aca="false">OR(C306="Workday",C306="Eve")</f>
        <v>1</v>
      </c>
      <c r="V306" s="34" t="n">
        <f aca="false">IF(C306="Eve",Settings!$B$8,Settings!$B$7)</f>
        <v>0.6875</v>
      </c>
      <c r="W306" s="14" t="n">
        <f aca="false">IF(U306,(V306-Settings!$B$6)*24,0)</f>
        <v>8.5</v>
      </c>
    </row>
    <row r="307" customFormat="false" ht="15" hidden="false" customHeight="false" outlineLevel="0" collapsed="false">
      <c r="A307" s="29" t="n">
        <v>46323</v>
      </c>
      <c r="B307" s="30" t="str">
        <f aca="false">CHOOSE(WEEKDAY(A307),"Sun","Mon","Tue","Wed","Thu","Fri","Sat")</f>
        <v>Wed</v>
      </c>
      <c r="C307" s="30" t="str">
        <f aca="false">IF(IFERROR(INDEX(Holidays!$D$5:$D$60,MATCH(A307,Holidays!$A$5:$A$60,0)),"")="Holiday","Holiday",IF(WEEKDAY(A307)&gt;=6,"Weekend",IF(IFERROR(INDEX(Holidays!$D$5:$D$60,MATCH(A307,Holidays!$A$5:$A$60,0)),"")="Eve","Eve","Workday")))</f>
        <v>Workday</v>
      </c>
      <c r="D307" s="18" t="str">
        <f aca="false">IFERROR(INDEX(Holidays!$C$5:$C$60,MATCH(A307,Holidays!$A$5:$A$60,0)),"")</f>
        <v/>
      </c>
      <c r="E307" s="31"/>
      <c r="F307" s="32"/>
      <c r="G307" s="32"/>
      <c r="H307" s="32"/>
      <c r="I307" s="32"/>
      <c r="J307" s="31"/>
      <c r="K307" s="33" t="str">
        <f aca="false">IF(E307&lt;&gt;"",E307,IF(U307,"Present",IF(C307="Holiday","Holiday","Weekend")))</f>
        <v>Present</v>
      </c>
      <c r="L307" s="34" t="n">
        <f aca="false">IF(OR(K307="Present",K307="Manual Work",K307="Partial Vacation",K307="Partial Sick Leave"),IF(ISNUMBER(F307),F307,IF(AND(K307="Present",U307),Settings!$B$6,"")),"")</f>
        <v>0.333333333333333</v>
      </c>
      <c r="M307" s="34" t="n">
        <f aca="false">IF(OR(K307="Present",K307="Manual Work",K307="Partial Vacation",K307="Partial Sick Leave"),IF(ISNUMBER(G307),G307,IF(AND(K307="Present",U307),V307,"")),"")</f>
        <v>0.6875</v>
      </c>
      <c r="N307" s="14" t="n">
        <f aca="false">IF(AND(ISNUMBER(L307),ISNUMBER(M307)),MAX(0,(M307-L307)*24),0)</f>
        <v>8.5</v>
      </c>
      <c r="O307" s="14" t="n">
        <f aca="false">IF(NOT(U307),0,IF(K307="Vacation",IF(C307="Eve",Settings!$B$9*Settings!$B$11,W307),IF(K307="Partial Vacation",IF(AND(ISNUMBER(H307),ISNUMBER(I307)),MAX(0,(I307-H307)*24),0),0)))</f>
        <v>0</v>
      </c>
      <c r="P307" s="14" t="n">
        <f aca="false">IF(NOT(U307),0,IF(K307="Sick Leave",W307,IF(K307="Partial Sick Leave",IF(AND(ISNUMBER(H307),ISNUMBER(I307)),MAX(0,(I307-H307)*24),0),0)))</f>
        <v>0</v>
      </c>
      <c r="Q307" s="14" t="n">
        <f aca="false">IF(NOT(U307),0,IF(K307="Vacation",IF(C307="Eve",Settings!$B$11,1),IF(K307="Partial Vacation",O307/Settings!$B$9,0)))</f>
        <v>0</v>
      </c>
      <c r="R307" s="14" t="n">
        <f aca="false">IF(NOT(U307),0,IF(K307="Sick Leave",1,IF(K307="Partial Sick Leave",P307/Settings!$B$9,0)))</f>
        <v>0</v>
      </c>
      <c r="S307" s="35" t="str">
        <f aca="false">IF(AND(OR(E307="Vacation",E307="Sick Leave",E307="Partial Vacation",E307="Partial Sick Leave"),NOT(U307)),"Leave not allowed on this day",IF(AND(E307="Manual Work",OR(NOT(ISNUMBER(F307)),NOT(ISNUMBER(G307)))),"Enter start and end",IF(AND(OR(E307="Partial Vacation",E307="Partial Sick Leave"),OR(NOT(ISNUMBER(H307)),NOT(ISNUMBER(I307)))),"Enter leave from and to",IF(AND(ISNUMBER(F307),ISNUMBER(G307),G307&lt;=F307),"End is before start",IF(AND(ISNUMBER(H307),ISNUMBER(I307),I307&lt;=H307),"Leave end is before start",IF(AND(ISNUMBER(F307),ISNUMBER(G307),ISNUMBER(H307),ISNUMBER(I307),F307&lt;I307,H307&lt;G307),"Work and leave hours overlap",IF(AND(E307&lt;&gt;"",WEEKDAY(A307)=7),"Saturday - administrator only","")))))))</f>
        <v/>
      </c>
      <c r="T307" s="36" t="n">
        <f aca="false">MONTH(A307)</f>
        <v>10</v>
      </c>
      <c r="U307" s="37" t="b">
        <f aca="false">OR(C307="Workday",C307="Eve")</f>
        <v>1</v>
      </c>
      <c r="V307" s="34" t="n">
        <f aca="false">IF(C307="Eve",Settings!$B$8,Settings!$B$7)</f>
        <v>0.6875</v>
      </c>
      <c r="W307" s="14" t="n">
        <f aca="false">IF(U307,(V307-Settings!$B$6)*24,0)</f>
        <v>8.5</v>
      </c>
    </row>
    <row r="308" customFormat="false" ht="15" hidden="false" customHeight="false" outlineLevel="0" collapsed="false">
      <c r="A308" s="29" t="n">
        <v>46324</v>
      </c>
      <c r="B308" s="30" t="str">
        <f aca="false">CHOOSE(WEEKDAY(A308),"Sun","Mon","Tue","Wed","Thu","Fri","Sat")</f>
        <v>Thu</v>
      </c>
      <c r="C308" s="30" t="str">
        <f aca="false">IF(IFERROR(INDEX(Holidays!$D$5:$D$60,MATCH(A308,Holidays!$A$5:$A$60,0)),"")="Holiday","Holiday",IF(WEEKDAY(A308)&gt;=6,"Weekend",IF(IFERROR(INDEX(Holidays!$D$5:$D$60,MATCH(A308,Holidays!$A$5:$A$60,0)),"")="Eve","Eve","Workday")))</f>
        <v>Workday</v>
      </c>
      <c r="D308" s="18" t="str">
        <f aca="false">IFERROR(INDEX(Holidays!$C$5:$C$60,MATCH(A308,Holidays!$A$5:$A$60,0)),"")</f>
        <v/>
      </c>
      <c r="E308" s="31"/>
      <c r="F308" s="32"/>
      <c r="G308" s="32"/>
      <c r="H308" s="32"/>
      <c r="I308" s="32"/>
      <c r="J308" s="31"/>
      <c r="K308" s="33" t="str">
        <f aca="false">IF(E308&lt;&gt;"",E308,IF(U308,"Present",IF(C308="Holiday","Holiday","Weekend")))</f>
        <v>Present</v>
      </c>
      <c r="L308" s="34" t="n">
        <f aca="false">IF(OR(K308="Present",K308="Manual Work",K308="Partial Vacation",K308="Partial Sick Leave"),IF(ISNUMBER(F308),F308,IF(AND(K308="Present",U308),Settings!$B$6,"")),"")</f>
        <v>0.333333333333333</v>
      </c>
      <c r="M308" s="34" t="n">
        <f aca="false">IF(OR(K308="Present",K308="Manual Work",K308="Partial Vacation",K308="Partial Sick Leave"),IF(ISNUMBER(G308),G308,IF(AND(K308="Present",U308),V308,"")),"")</f>
        <v>0.6875</v>
      </c>
      <c r="N308" s="14" t="n">
        <f aca="false">IF(AND(ISNUMBER(L308),ISNUMBER(M308)),MAX(0,(M308-L308)*24),0)</f>
        <v>8.5</v>
      </c>
      <c r="O308" s="14" t="n">
        <f aca="false">IF(NOT(U308),0,IF(K308="Vacation",IF(C308="Eve",Settings!$B$9*Settings!$B$11,W308),IF(K308="Partial Vacation",IF(AND(ISNUMBER(H308),ISNUMBER(I308)),MAX(0,(I308-H308)*24),0),0)))</f>
        <v>0</v>
      </c>
      <c r="P308" s="14" t="n">
        <f aca="false">IF(NOT(U308),0,IF(K308="Sick Leave",W308,IF(K308="Partial Sick Leave",IF(AND(ISNUMBER(H308),ISNUMBER(I308)),MAX(0,(I308-H308)*24),0),0)))</f>
        <v>0</v>
      </c>
      <c r="Q308" s="14" t="n">
        <f aca="false">IF(NOT(U308),0,IF(K308="Vacation",IF(C308="Eve",Settings!$B$11,1),IF(K308="Partial Vacation",O308/Settings!$B$9,0)))</f>
        <v>0</v>
      </c>
      <c r="R308" s="14" t="n">
        <f aca="false">IF(NOT(U308),0,IF(K308="Sick Leave",1,IF(K308="Partial Sick Leave",P308/Settings!$B$9,0)))</f>
        <v>0</v>
      </c>
      <c r="S308" s="35" t="str">
        <f aca="false">IF(AND(OR(E308="Vacation",E308="Sick Leave",E308="Partial Vacation",E308="Partial Sick Leave"),NOT(U308)),"Leave not allowed on this day",IF(AND(E308="Manual Work",OR(NOT(ISNUMBER(F308)),NOT(ISNUMBER(G308)))),"Enter start and end",IF(AND(OR(E308="Partial Vacation",E308="Partial Sick Leave"),OR(NOT(ISNUMBER(H308)),NOT(ISNUMBER(I308)))),"Enter leave from and to",IF(AND(ISNUMBER(F308),ISNUMBER(G308),G308&lt;=F308),"End is before start",IF(AND(ISNUMBER(H308),ISNUMBER(I308),I308&lt;=H308),"Leave end is before start",IF(AND(ISNUMBER(F308),ISNUMBER(G308),ISNUMBER(H308),ISNUMBER(I308),F308&lt;I308,H308&lt;G308),"Work and leave hours overlap",IF(AND(E308&lt;&gt;"",WEEKDAY(A308)=7),"Saturday - administrator only","")))))))</f>
        <v/>
      </c>
      <c r="T308" s="36" t="n">
        <f aca="false">MONTH(A308)</f>
        <v>10</v>
      </c>
      <c r="U308" s="37" t="b">
        <f aca="false">OR(C308="Workday",C308="Eve")</f>
        <v>1</v>
      </c>
      <c r="V308" s="34" t="n">
        <f aca="false">IF(C308="Eve",Settings!$B$8,Settings!$B$7)</f>
        <v>0.6875</v>
      </c>
      <c r="W308" s="14" t="n">
        <f aca="false">IF(U308,(V308-Settings!$B$6)*24,0)</f>
        <v>8.5</v>
      </c>
    </row>
    <row r="309" customFormat="false" ht="15" hidden="false" customHeight="false" outlineLevel="0" collapsed="false">
      <c r="A309" s="29" t="n">
        <v>46325</v>
      </c>
      <c r="B309" s="30" t="str">
        <f aca="false">CHOOSE(WEEKDAY(A309),"Sun","Mon","Tue","Wed","Thu","Fri","Sat")</f>
        <v>Fri</v>
      </c>
      <c r="C309" s="30" t="str">
        <f aca="false">IF(IFERROR(INDEX(Holidays!$D$5:$D$60,MATCH(A309,Holidays!$A$5:$A$60,0)),"")="Holiday","Holiday",IF(WEEKDAY(A309)&gt;=6,"Weekend",IF(IFERROR(INDEX(Holidays!$D$5:$D$60,MATCH(A309,Holidays!$A$5:$A$60,0)),"")="Eve","Eve","Workday")))</f>
        <v>Weekend</v>
      </c>
      <c r="D309" s="18" t="str">
        <f aca="false">IFERROR(INDEX(Holidays!$C$5:$C$60,MATCH(A309,Holidays!$A$5:$A$60,0)),"")</f>
        <v/>
      </c>
      <c r="E309" s="31"/>
      <c r="F309" s="32"/>
      <c r="G309" s="32"/>
      <c r="H309" s="32"/>
      <c r="I309" s="32"/>
      <c r="J309" s="31"/>
      <c r="K309" s="33" t="str">
        <f aca="false">IF(E309&lt;&gt;"",E309,IF(U309,"Present",IF(C309="Holiday","Holiday","Weekend")))</f>
        <v>Weekend</v>
      </c>
      <c r="L309" s="34" t="str">
        <f aca="false">IF(OR(K309="Present",K309="Manual Work",K309="Partial Vacation",K309="Partial Sick Leave"),IF(ISNUMBER(F309),F309,IF(AND(K309="Present",U309),Settings!$B$6,"")),"")</f>
        <v/>
      </c>
      <c r="M309" s="34" t="str">
        <f aca="false">IF(OR(K309="Present",K309="Manual Work",K309="Partial Vacation",K309="Partial Sick Leave"),IF(ISNUMBER(G309),G309,IF(AND(K309="Present",U309),V309,"")),"")</f>
        <v/>
      </c>
      <c r="N309" s="14" t="n">
        <f aca="false">IF(AND(ISNUMBER(L309),ISNUMBER(M309)),MAX(0,(M309-L309)*24),0)</f>
        <v>0</v>
      </c>
      <c r="O309" s="14" t="n">
        <f aca="false">IF(NOT(U309),0,IF(K309="Vacation",IF(C309="Eve",Settings!$B$9*Settings!$B$11,W309),IF(K309="Partial Vacation",IF(AND(ISNUMBER(H309),ISNUMBER(I309)),MAX(0,(I309-H309)*24),0),0)))</f>
        <v>0</v>
      </c>
      <c r="P309" s="14" t="n">
        <f aca="false">IF(NOT(U309),0,IF(K309="Sick Leave",W309,IF(K309="Partial Sick Leave",IF(AND(ISNUMBER(H309),ISNUMBER(I309)),MAX(0,(I309-H309)*24),0),0)))</f>
        <v>0</v>
      </c>
      <c r="Q309" s="14" t="n">
        <f aca="false">IF(NOT(U309),0,IF(K309="Vacation",IF(C309="Eve",Settings!$B$11,1),IF(K309="Partial Vacation",O309/Settings!$B$9,0)))</f>
        <v>0</v>
      </c>
      <c r="R309" s="14" t="n">
        <f aca="false">IF(NOT(U309),0,IF(K309="Sick Leave",1,IF(K309="Partial Sick Leave",P309/Settings!$B$9,0)))</f>
        <v>0</v>
      </c>
      <c r="S309" s="35" t="str">
        <f aca="false">IF(AND(OR(E309="Vacation",E309="Sick Leave",E309="Partial Vacation",E309="Partial Sick Leave"),NOT(U309)),"Leave not allowed on this day",IF(AND(E309="Manual Work",OR(NOT(ISNUMBER(F309)),NOT(ISNUMBER(G309)))),"Enter start and end",IF(AND(OR(E309="Partial Vacation",E309="Partial Sick Leave"),OR(NOT(ISNUMBER(H309)),NOT(ISNUMBER(I309)))),"Enter leave from and to",IF(AND(ISNUMBER(F309),ISNUMBER(G309),G309&lt;=F309),"End is before start",IF(AND(ISNUMBER(H309),ISNUMBER(I309),I309&lt;=H309),"Leave end is before start",IF(AND(ISNUMBER(F309),ISNUMBER(G309),ISNUMBER(H309),ISNUMBER(I309),F309&lt;I309,H309&lt;G309),"Work and leave hours overlap",IF(AND(E309&lt;&gt;"",WEEKDAY(A309)=7),"Saturday - administrator only","")))))))</f>
        <v/>
      </c>
      <c r="T309" s="36" t="n">
        <f aca="false">MONTH(A309)</f>
        <v>10</v>
      </c>
      <c r="U309" s="37" t="b">
        <f aca="false">OR(C309="Workday",C309="Eve")</f>
        <v>0</v>
      </c>
      <c r="V309" s="34" t="n">
        <f aca="false">IF(C309="Eve",Settings!$B$8,Settings!$B$7)</f>
        <v>0.6875</v>
      </c>
      <c r="W309" s="14" t="n">
        <f aca="false">IF(U309,(V309-Settings!$B$6)*24,0)</f>
        <v>0</v>
      </c>
    </row>
    <row r="310" customFormat="false" ht="15" hidden="false" customHeight="false" outlineLevel="0" collapsed="false">
      <c r="A310" s="29" t="n">
        <v>46326</v>
      </c>
      <c r="B310" s="30" t="str">
        <f aca="false">CHOOSE(WEEKDAY(A310),"Sun","Mon","Tue","Wed","Thu","Fri","Sat")</f>
        <v>Sat</v>
      </c>
      <c r="C310" s="30" t="str">
        <f aca="false">IF(IFERROR(INDEX(Holidays!$D$5:$D$60,MATCH(A310,Holidays!$A$5:$A$60,0)),"")="Holiday","Holiday",IF(WEEKDAY(A310)&gt;=6,"Weekend",IF(IFERROR(INDEX(Holidays!$D$5:$D$60,MATCH(A310,Holidays!$A$5:$A$60,0)),"")="Eve","Eve","Workday")))</f>
        <v>Weekend</v>
      </c>
      <c r="D310" s="18" t="str">
        <f aca="false">IFERROR(INDEX(Holidays!$C$5:$C$60,MATCH(A310,Holidays!$A$5:$A$60,0)),"")</f>
        <v/>
      </c>
      <c r="E310" s="31"/>
      <c r="F310" s="32"/>
      <c r="G310" s="32"/>
      <c r="H310" s="32"/>
      <c r="I310" s="32"/>
      <c r="J310" s="31"/>
      <c r="K310" s="33" t="str">
        <f aca="false">IF(E310&lt;&gt;"",E310,IF(U310,"Present",IF(C310="Holiday","Holiday","Weekend")))</f>
        <v>Weekend</v>
      </c>
      <c r="L310" s="34" t="str">
        <f aca="false">IF(OR(K310="Present",K310="Manual Work",K310="Partial Vacation",K310="Partial Sick Leave"),IF(ISNUMBER(F310),F310,IF(AND(K310="Present",U310),Settings!$B$6,"")),"")</f>
        <v/>
      </c>
      <c r="M310" s="34" t="str">
        <f aca="false">IF(OR(K310="Present",K310="Manual Work",K310="Partial Vacation",K310="Partial Sick Leave"),IF(ISNUMBER(G310),G310,IF(AND(K310="Present",U310),V310,"")),"")</f>
        <v/>
      </c>
      <c r="N310" s="14" t="n">
        <f aca="false">IF(AND(ISNUMBER(L310),ISNUMBER(M310)),MAX(0,(M310-L310)*24),0)</f>
        <v>0</v>
      </c>
      <c r="O310" s="14" t="n">
        <f aca="false">IF(NOT(U310),0,IF(K310="Vacation",IF(C310="Eve",Settings!$B$9*Settings!$B$11,W310),IF(K310="Partial Vacation",IF(AND(ISNUMBER(H310),ISNUMBER(I310)),MAX(0,(I310-H310)*24),0),0)))</f>
        <v>0</v>
      </c>
      <c r="P310" s="14" t="n">
        <f aca="false">IF(NOT(U310),0,IF(K310="Sick Leave",W310,IF(K310="Partial Sick Leave",IF(AND(ISNUMBER(H310),ISNUMBER(I310)),MAX(0,(I310-H310)*24),0),0)))</f>
        <v>0</v>
      </c>
      <c r="Q310" s="14" t="n">
        <f aca="false">IF(NOT(U310),0,IF(K310="Vacation",IF(C310="Eve",Settings!$B$11,1),IF(K310="Partial Vacation",O310/Settings!$B$9,0)))</f>
        <v>0</v>
      </c>
      <c r="R310" s="14" t="n">
        <f aca="false">IF(NOT(U310),0,IF(K310="Sick Leave",1,IF(K310="Partial Sick Leave",P310/Settings!$B$9,0)))</f>
        <v>0</v>
      </c>
      <c r="S310" s="35" t="str">
        <f aca="false">IF(AND(OR(E310="Vacation",E310="Sick Leave",E310="Partial Vacation",E310="Partial Sick Leave"),NOT(U310)),"Leave not allowed on this day",IF(AND(E310="Manual Work",OR(NOT(ISNUMBER(F310)),NOT(ISNUMBER(G310)))),"Enter start and end",IF(AND(OR(E310="Partial Vacation",E310="Partial Sick Leave"),OR(NOT(ISNUMBER(H310)),NOT(ISNUMBER(I310)))),"Enter leave from and to",IF(AND(ISNUMBER(F310),ISNUMBER(G310),G310&lt;=F310),"End is before start",IF(AND(ISNUMBER(H310),ISNUMBER(I310),I310&lt;=H310),"Leave end is before start",IF(AND(ISNUMBER(F310),ISNUMBER(G310),ISNUMBER(H310),ISNUMBER(I310),F310&lt;I310,H310&lt;G310),"Work and leave hours overlap",IF(AND(E310&lt;&gt;"",WEEKDAY(A310)=7),"Saturday - administrator only","")))))))</f>
        <v/>
      </c>
      <c r="T310" s="36" t="n">
        <f aca="false">MONTH(A310)</f>
        <v>10</v>
      </c>
      <c r="U310" s="37" t="b">
        <f aca="false">OR(C310="Workday",C310="Eve")</f>
        <v>0</v>
      </c>
      <c r="V310" s="34" t="n">
        <f aca="false">IF(C310="Eve",Settings!$B$8,Settings!$B$7)</f>
        <v>0.6875</v>
      </c>
      <c r="W310" s="14" t="n">
        <f aca="false">IF(U310,(V310-Settings!$B$6)*24,0)</f>
        <v>0</v>
      </c>
    </row>
    <row r="311" customFormat="false" ht="15" hidden="false" customHeight="false" outlineLevel="0" collapsed="false">
      <c r="A311" s="29" t="n">
        <v>46327</v>
      </c>
      <c r="B311" s="30" t="str">
        <f aca="false">CHOOSE(WEEKDAY(A311),"Sun","Mon","Tue","Wed","Thu","Fri","Sat")</f>
        <v>Sun</v>
      </c>
      <c r="C311" s="30" t="str">
        <f aca="false">IF(IFERROR(INDEX(Holidays!$D$5:$D$60,MATCH(A311,Holidays!$A$5:$A$60,0)),"")="Holiday","Holiday",IF(WEEKDAY(A311)&gt;=6,"Weekend",IF(IFERROR(INDEX(Holidays!$D$5:$D$60,MATCH(A311,Holidays!$A$5:$A$60,0)),"")="Eve","Eve","Workday")))</f>
        <v>Workday</v>
      </c>
      <c r="D311" s="18" t="str">
        <f aca="false">IFERROR(INDEX(Holidays!$C$5:$C$60,MATCH(A311,Holidays!$A$5:$A$60,0)),"")</f>
        <v/>
      </c>
      <c r="E311" s="31"/>
      <c r="F311" s="32"/>
      <c r="G311" s="32"/>
      <c r="H311" s="32"/>
      <c r="I311" s="32"/>
      <c r="J311" s="31"/>
      <c r="K311" s="33" t="str">
        <f aca="false">IF(E311&lt;&gt;"",E311,IF(U311,"Present",IF(C311="Holiday","Holiday","Weekend")))</f>
        <v>Present</v>
      </c>
      <c r="L311" s="34" t="n">
        <f aca="false">IF(OR(K311="Present",K311="Manual Work",K311="Partial Vacation",K311="Partial Sick Leave"),IF(ISNUMBER(F311),F311,IF(AND(K311="Present",U311),Settings!$B$6,"")),"")</f>
        <v>0.333333333333333</v>
      </c>
      <c r="M311" s="34" t="n">
        <f aca="false">IF(OR(K311="Present",K311="Manual Work",K311="Partial Vacation",K311="Partial Sick Leave"),IF(ISNUMBER(G311),G311,IF(AND(K311="Present",U311),V311,"")),"")</f>
        <v>0.6875</v>
      </c>
      <c r="N311" s="14" t="n">
        <f aca="false">IF(AND(ISNUMBER(L311),ISNUMBER(M311)),MAX(0,(M311-L311)*24),0)</f>
        <v>8.5</v>
      </c>
      <c r="O311" s="14" t="n">
        <f aca="false">IF(NOT(U311),0,IF(K311="Vacation",IF(C311="Eve",Settings!$B$9*Settings!$B$11,W311),IF(K311="Partial Vacation",IF(AND(ISNUMBER(H311),ISNUMBER(I311)),MAX(0,(I311-H311)*24),0),0)))</f>
        <v>0</v>
      </c>
      <c r="P311" s="14" t="n">
        <f aca="false">IF(NOT(U311),0,IF(K311="Sick Leave",W311,IF(K311="Partial Sick Leave",IF(AND(ISNUMBER(H311),ISNUMBER(I311)),MAX(0,(I311-H311)*24),0),0)))</f>
        <v>0</v>
      </c>
      <c r="Q311" s="14" t="n">
        <f aca="false">IF(NOT(U311),0,IF(K311="Vacation",IF(C311="Eve",Settings!$B$11,1),IF(K311="Partial Vacation",O311/Settings!$B$9,0)))</f>
        <v>0</v>
      </c>
      <c r="R311" s="14" t="n">
        <f aca="false">IF(NOT(U311),0,IF(K311="Sick Leave",1,IF(K311="Partial Sick Leave",P311/Settings!$B$9,0)))</f>
        <v>0</v>
      </c>
      <c r="S311" s="35" t="str">
        <f aca="false">IF(AND(OR(E311="Vacation",E311="Sick Leave",E311="Partial Vacation",E311="Partial Sick Leave"),NOT(U311)),"Leave not allowed on this day",IF(AND(E311="Manual Work",OR(NOT(ISNUMBER(F311)),NOT(ISNUMBER(G311)))),"Enter start and end",IF(AND(OR(E311="Partial Vacation",E311="Partial Sick Leave"),OR(NOT(ISNUMBER(H311)),NOT(ISNUMBER(I311)))),"Enter leave from and to",IF(AND(ISNUMBER(F311),ISNUMBER(G311),G311&lt;=F311),"End is before start",IF(AND(ISNUMBER(H311),ISNUMBER(I311),I311&lt;=H311),"Leave end is before start",IF(AND(ISNUMBER(F311),ISNUMBER(G311),ISNUMBER(H311),ISNUMBER(I311),F311&lt;I311,H311&lt;G311),"Work and leave hours overlap",IF(AND(E311&lt;&gt;"",WEEKDAY(A311)=7),"Saturday - administrator only","")))))))</f>
        <v/>
      </c>
      <c r="T311" s="36" t="n">
        <f aca="false">MONTH(A311)</f>
        <v>11</v>
      </c>
      <c r="U311" s="37" t="b">
        <f aca="false">OR(C311="Workday",C311="Eve")</f>
        <v>1</v>
      </c>
      <c r="V311" s="34" t="n">
        <f aca="false">IF(C311="Eve",Settings!$B$8,Settings!$B$7)</f>
        <v>0.6875</v>
      </c>
      <c r="W311" s="14" t="n">
        <f aca="false">IF(U311,(V311-Settings!$B$6)*24,0)</f>
        <v>8.5</v>
      </c>
    </row>
    <row r="312" customFormat="false" ht="15" hidden="false" customHeight="false" outlineLevel="0" collapsed="false">
      <c r="A312" s="29" t="n">
        <v>46328</v>
      </c>
      <c r="B312" s="30" t="str">
        <f aca="false">CHOOSE(WEEKDAY(A312),"Sun","Mon","Tue","Wed","Thu","Fri","Sat")</f>
        <v>Mon</v>
      </c>
      <c r="C312" s="30" t="str">
        <f aca="false">IF(IFERROR(INDEX(Holidays!$D$5:$D$60,MATCH(A312,Holidays!$A$5:$A$60,0)),"")="Holiday","Holiday",IF(WEEKDAY(A312)&gt;=6,"Weekend",IF(IFERROR(INDEX(Holidays!$D$5:$D$60,MATCH(A312,Holidays!$A$5:$A$60,0)),"")="Eve","Eve","Workday")))</f>
        <v>Workday</v>
      </c>
      <c r="D312" s="18" t="str">
        <f aca="false">IFERROR(INDEX(Holidays!$C$5:$C$60,MATCH(A312,Holidays!$A$5:$A$60,0)),"")</f>
        <v/>
      </c>
      <c r="E312" s="31"/>
      <c r="F312" s="32"/>
      <c r="G312" s="32"/>
      <c r="H312" s="32"/>
      <c r="I312" s="32"/>
      <c r="J312" s="31"/>
      <c r="K312" s="33" t="str">
        <f aca="false">IF(E312&lt;&gt;"",E312,IF(U312,"Present",IF(C312="Holiday","Holiday","Weekend")))</f>
        <v>Present</v>
      </c>
      <c r="L312" s="34" t="n">
        <f aca="false">IF(OR(K312="Present",K312="Manual Work",K312="Partial Vacation",K312="Partial Sick Leave"),IF(ISNUMBER(F312),F312,IF(AND(K312="Present",U312),Settings!$B$6,"")),"")</f>
        <v>0.333333333333333</v>
      </c>
      <c r="M312" s="34" t="n">
        <f aca="false">IF(OR(K312="Present",K312="Manual Work",K312="Partial Vacation",K312="Partial Sick Leave"),IF(ISNUMBER(G312),G312,IF(AND(K312="Present",U312),V312,"")),"")</f>
        <v>0.6875</v>
      </c>
      <c r="N312" s="14" t="n">
        <f aca="false">IF(AND(ISNUMBER(L312),ISNUMBER(M312)),MAX(0,(M312-L312)*24),0)</f>
        <v>8.5</v>
      </c>
      <c r="O312" s="14" t="n">
        <f aca="false">IF(NOT(U312),0,IF(K312="Vacation",IF(C312="Eve",Settings!$B$9*Settings!$B$11,W312),IF(K312="Partial Vacation",IF(AND(ISNUMBER(H312),ISNUMBER(I312)),MAX(0,(I312-H312)*24),0),0)))</f>
        <v>0</v>
      </c>
      <c r="P312" s="14" t="n">
        <f aca="false">IF(NOT(U312),0,IF(K312="Sick Leave",W312,IF(K312="Partial Sick Leave",IF(AND(ISNUMBER(H312),ISNUMBER(I312)),MAX(0,(I312-H312)*24),0),0)))</f>
        <v>0</v>
      </c>
      <c r="Q312" s="14" t="n">
        <f aca="false">IF(NOT(U312),0,IF(K312="Vacation",IF(C312="Eve",Settings!$B$11,1),IF(K312="Partial Vacation",O312/Settings!$B$9,0)))</f>
        <v>0</v>
      </c>
      <c r="R312" s="14" t="n">
        <f aca="false">IF(NOT(U312),0,IF(K312="Sick Leave",1,IF(K312="Partial Sick Leave",P312/Settings!$B$9,0)))</f>
        <v>0</v>
      </c>
      <c r="S312" s="35" t="str">
        <f aca="false">IF(AND(OR(E312="Vacation",E312="Sick Leave",E312="Partial Vacation",E312="Partial Sick Leave"),NOT(U312)),"Leave not allowed on this day",IF(AND(E312="Manual Work",OR(NOT(ISNUMBER(F312)),NOT(ISNUMBER(G312)))),"Enter start and end",IF(AND(OR(E312="Partial Vacation",E312="Partial Sick Leave"),OR(NOT(ISNUMBER(H312)),NOT(ISNUMBER(I312)))),"Enter leave from and to",IF(AND(ISNUMBER(F312),ISNUMBER(G312),G312&lt;=F312),"End is before start",IF(AND(ISNUMBER(H312),ISNUMBER(I312),I312&lt;=H312),"Leave end is before start",IF(AND(ISNUMBER(F312),ISNUMBER(G312),ISNUMBER(H312),ISNUMBER(I312),F312&lt;I312,H312&lt;G312),"Work and leave hours overlap",IF(AND(E312&lt;&gt;"",WEEKDAY(A312)=7),"Saturday - administrator only","")))))))</f>
        <v/>
      </c>
      <c r="T312" s="36" t="n">
        <f aca="false">MONTH(A312)</f>
        <v>11</v>
      </c>
      <c r="U312" s="37" t="b">
        <f aca="false">OR(C312="Workday",C312="Eve")</f>
        <v>1</v>
      </c>
      <c r="V312" s="34" t="n">
        <f aca="false">IF(C312="Eve",Settings!$B$8,Settings!$B$7)</f>
        <v>0.6875</v>
      </c>
      <c r="W312" s="14" t="n">
        <f aca="false">IF(U312,(V312-Settings!$B$6)*24,0)</f>
        <v>8.5</v>
      </c>
    </row>
    <row r="313" customFormat="false" ht="15" hidden="false" customHeight="false" outlineLevel="0" collapsed="false">
      <c r="A313" s="29" t="n">
        <v>46329</v>
      </c>
      <c r="B313" s="30" t="str">
        <f aca="false">CHOOSE(WEEKDAY(A313),"Sun","Mon","Tue","Wed","Thu","Fri","Sat")</f>
        <v>Tue</v>
      </c>
      <c r="C313" s="30" t="str">
        <f aca="false">IF(IFERROR(INDEX(Holidays!$D$5:$D$60,MATCH(A313,Holidays!$A$5:$A$60,0)),"")="Holiday","Holiday",IF(WEEKDAY(A313)&gt;=6,"Weekend",IF(IFERROR(INDEX(Holidays!$D$5:$D$60,MATCH(A313,Holidays!$A$5:$A$60,0)),"")="Eve","Eve","Workday")))</f>
        <v>Workday</v>
      </c>
      <c r="D313" s="18" t="str">
        <f aca="false">IFERROR(INDEX(Holidays!$C$5:$C$60,MATCH(A313,Holidays!$A$5:$A$60,0)),"")</f>
        <v/>
      </c>
      <c r="E313" s="31"/>
      <c r="F313" s="32"/>
      <c r="G313" s="32"/>
      <c r="H313" s="32"/>
      <c r="I313" s="32"/>
      <c r="J313" s="31"/>
      <c r="K313" s="33" t="str">
        <f aca="false">IF(E313&lt;&gt;"",E313,IF(U313,"Present",IF(C313="Holiday","Holiday","Weekend")))</f>
        <v>Present</v>
      </c>
      <c r="L313" s="34" t="n">
        <f aca="false">IF(OR(K313="Present",K313="Manual Work",K313="Partial Vacation",K313="Partial Sick Leave"),IF(ISNUMBER(F313),F313,IF(AND(K313="Present",U313),Settings!$B$6,"")),"")</f>
        <v>0.333333333333333</v>
      </c>
      <c r="M313" s="34" t="n">
        <f aca="false">IF(OR(K313="Present",K313="Manual Work",K313="Partial Vacation",K313="Partial Sick Leave"),IF(ISNUMBER(G313),G313,IF(AND(K313="Present",U313),V313,"")),"")</f>
        <v>0.6875</v>
      </c>
      <c r="N313" s="14" t="n">
        <f aca="false">IF(AND(ISNUMBER(L313),ISNUMBER(M313)),MAX(0,(M313-L313)*24),0)</f>
        <v>8.5</v>
      </c>
      <c r="O313" s="14" t="n">
        <f aca="false">IF(NOT(U313),0,IF(K313="Vacation",IF(C313="Eve",Settings!$B$9*Settings!$B$11,W313),IF(K313="Partial Vacation",IF(AND(ISNUMBER(H313),ISNUMBER(I313)),MAX(0,(I313-H313)*24),0),0)))</f>
        <v>0</v>
      </c>
      <c r="P313" s="14" t="n">
        <f aca="false">IF(NOT(U313),0,IF(K313="Sick Leave",W313,IF(K313="Partial Sick Leave",IF(AND(ISNUMBER(H313),ISNUMBER(I313)),MAX(0,(I313-H313)*24),0),0)))</f>
        <v>0</v>
      </c>
      <c r="Q313" s="14" t="n">
        <f aca="false">IF(NOT(U313),0,IF(K313="Vacation",IF(C313="Eve",Settings!$B$11,1),IF(K313="Partial Vacation",O313/Settings!$B$9,0)))</f>
        <v>0</v>
      </c>
      <c r="R313" s="14" t="n">
        <f aca="false">IF(NOT(U313),0,IF(K313="Sick Leave",1,IF(K313="Partial Sick Leave",P313/Settings!$B$9,0)))</f>
        <v>0</v>
      </c>
      <c r="S313" s="35" t="str">
        <f aca="false">IF(AND(OR(E313="Vacation",E313="Sick Leave",E313="Partial Vacation",E313="Partial Sick Leave"),NOT(U313)),"Leave not allowed on this day",IF(AND(E313="Manual Work",OR(NOT(ISNUMBER(F313)),NOT(ISNUMBER(G313)))),"Enter start and end",IF(AND(OR(E313="Partial Vacation",E313="Partial Sick Leave"),OR(NOT(ISNUMBER(H313)),NOT(ISNUMBER(I313)))),"Enter leave from and to",IF(AND(ISNUMBER(F313),ISNUMBER(G313),G313&lt;=F313),"End is before start",IF(AND(ISNUMBER(H313),ISNUMBER(I313),I313&lt;=H313),"Leave end is before start",IF(AND(ISNUMBER(F313),ISNUMBER(G313),ISNUMBER(H313),ISNUMBER(I313),F313&lt;I313,H313&lt;G313),"Work and leave hours overlap",IF(AND(E313&lt;&gt;"",WEEKDAY(A313)=7),"Saturday - administrator only","")))))))</f>
        <v/>
      </c>
      <c r="T313" s="36" t="n">
        <f aca="false">MONTH(A313)</f>
        <v>11</v>
      </c>
      <c r="U313" s="37" t="b">
        <f aca="false">OR(C313="Workday",C313="Eve")</f>
        <v>1</v>
      </c>
      <c r="V313" s="34" t="n">
        <f aca="false">IF(C313="Eve",Settings!$B$8,Settings!$B$7)</f>
        <v>0.6875</v>
      </c>
      <c r="W313" s="14" t="n">
        <f aca="false">IF(U313,(V313-Settings!$B$6)*24,0)</f>
        <v>8.5</v>
      </c>
    </row>
    <row r="314" customFormat="false" ht="15" hidden="false" customHeight="false" outlineLevel="0" collapsed="false">
      <c r="A314" s="29" t="n">
        <v>46330</v>
      </c>
      <c r="B314" s="30" t="str">
        <f aca="false">CHOOSE(WEEKDAY(A314),"Sun","Mon","Tue","Wed","Thu","Fri","Sat")</f>
        <v>Wed</v>
      </c>
      <c r="C314" s="30" t="str">
        <f aca="false">IF(IFERROR(INDEX(Holidays!$D$5:$D$60,MATCH(A314,Holidays!$A$5:$A$60,0)),"")="Holiday","Holiday",IF(WEEKDAY(A314)&gt;=6,"Weekend",IF(IFERROR(INDEX(Holidays!$D$5:$D$60,MATCH(A314,Holidays!$A$5:$A$60,0)),"")="Eve","Eve","Workday")))</f>
        <v>Workday</v>
      </c>
      <c r="D314" s="18" t="str">
        <f aca="false">IFERROR(INDEX(Holidays!$C$5:$C$60,MATCH(A314,Holidays!$A$5:$A$60,0)),"")</f>
        <v/>
      </c>
      <c r="E314" s="31"/>
      <c r="F314" s="32"/>
      <c r="G314" s="32"/>
      <c r="H314" s="32"/>
      <c r="I314" s="32"/>
      <c r="J314" s="31"/>
      <c r="K314" s="33" t="str">
        <f aca="false">IF(E314&lt;&gt;"",E314,IF(U314,"Present",IF(C314="Holiday","Holiday","Weekend")))</f>
        <v>Present</v>
      </c>
      <c r="L314" s="34" t="n">
        <f aca="false">IF(OR(K314="Present",K314="Manual Work",K314="Partial Vacation",K314="Partial Sick Leave"),IF(ISNUMBER(F314),F314,IF(AND(K314="Present",U314),Settings!$B$6,"")),"")</f>
        <v>0.333333333333333</v>
      </c>
      <c r="M314" s="34" t="n">
        <f aca="false">IF(OR(K314="Present",K314="Manual Work",K314="Partial Vacation",K314="Partial Sick Leave"),IF(ISNUMBER(G314),G314,IF(AND(K314="Present",U314),V314,"")),"")</f>
        <v>0.6875</v>
      </c>
      <c r="N314" s="14" t="n">
        <f aca="false">IF(AND(ISNUMBER(L314),ISNUMBER(M314)),MAX(0,(M314-L314)*24),0)</f>
        <v>8.5</v>
      </c>
      <c r="O314" s="14" t="n">
        <f aca="false">IF(NOT(U314),0,IF(K314="Vacation",IF(C314="Eve",Settings!$B$9*Settings!$B$11,W314),IF(K314="Partial Vacation",IF(AND(ISNUMBER(H314),ISNUMBER(I314)),MAX(0,(I314-H314)*24),0),0)))</f>
        <v>0</v>
      </c>
      <c r="P314" s="14" t="n">
        <f aca="false">IF(NOT(U314),0,IF(K314="Sick Leave",W314,IF(K314="Partial Sick Leave",IF(AND(ISNUMBER(H314),ISNUMBER(I314)),MAX(0,(I314-H314)*24),0),0)))</f>
        <v>0</v>
      </c>
      <c r="Q314" s="14" t="n">
        <f aca="false">IF(NOT(U314),0,IF(K314="Vacation",IF(C314="Eve",Settings!$B$11,1),IF(K314="Partial Vacation",O314/Settings!$B$9,0)))</f>
        <v>0</v>
      </c>
      <c r="R314" s="14" t="n">
        <f aca="false">IF(NOT(U314),0,IF(K314="Sick Leave",1,IF(K314="Partial Sick Leave",P314/Settings!$B$9,0)))</f>
        <v>0</v>
      </c>
      <c r="S314" s="35" t="str">
        <f aca="false">IF(AND(OR(E314="Vacation",E314="Sick Leave",E314="Partial Vacation",E314="Partial Sick Leave"),NOT(U314)),"Leave not allowed on this day",IF(AND(E314="Manual Work",OR(NOT(ISNUMBER(F314)),NOT(ISNUMBER(G314)))),"Enter start and end",IF(AND(OR(E314="Partial Vacation",E314="Partial Sick Leave"),OR(NOT(ISNUMBER(H314)),NOT(ISNUMBER(I314)))),"Enter leave from and to",IF(AND(ISNUMBER(F314),ISNUMBER(G314),G314&lt;=F314),"End is before start",IF(AND(ISNUMBER(H314),ISNUMBER(I314),I314&lt;=H314),"Leave end is before start",IF(AND(ISNUMBER(F314),ISNUMBER(G314),ISNUMBER(H314),ISNUMBER(I314),F314&lt;I314,H314&lt;G314),"Work and leave hours overlap",IF(AND(E314&lt;&gt;"",WEEKDAY(A314)=7),"Saturday - administrator only","")))))))</f>
        <v/>
      </c>
      <c r="T314" s="36" t="n">
        <f aca="false">MONTH(A314)</f>
        <v>11</v>
      </c>
      <c r="U314" s="37" t="b">
        <f aca="false">OR(C314="Workday",C314="Eve")</f>
        <v>1</v>
      </c>
      <c r="V314" s="34" t="n">
        <f aca="false">IF(C314="Eve",Settings!$B$8,Settings!$B$7)</f>
        <v>0.6875</v>
      </c>
      <c r="W314" s="14" t="n">
        <f aca="false">IF(U314,(V314-Settings!$B$6)*24,0)</f>
        <v>8.5</v>
      </c>
    </row>
    <row r="315" customFormat="false" ht="15" hidden="false" customHeight="false" outlineLevel="0" collapsed="false">
      <c r="A315" s="29" t="n">
        <v>46331</v>
      </c>
      <c r="B315" s="30" t="str">
        <f aca="false">CHOOSE(WEEKDAY(A315),"Sun","Mon","Tue","Wed","Thu","Fri","Sat")</f>
        <v>Thu</v>
      </c>
      <c r="C315" s="30" t="str">
        <f aca="false">IF(IFERROR(INDEX(Holidays!$D$5:$D$60,MATCH(A315,Holidays!$A$5:$A$60,0)),"")="Holiday","Holiday",IF(WEEKDAY(A315)&gt;=6,"Weekend",IF(IFERROR(INDEX(Holidays!$D$5:$D$60,MATCH(A315,Holidays!$A$5:$A$60,0)),"")="Eve","Eve","Workday")))</f>
        <v>Workday</v>
      </c>
      <c r="D315" s="18" t="str">
        <f aca="false">IFERROR(INDEX(Holidays!$C$5:$C$60,MATCH(A315,Holidays!$A$5:$A$60,0)),"")</f>
        <v/>
      </c>
      <c r="E315" s="31"/>
      <c r="F315" s="32"/>
      <c r="G315" s="32"/>
      <c r="H315" s="32"/>
      <c r="I315" s="32"/>
      <c r="J315" s="31"/>
      <c r="K315" s="33" t="str">
        <f aca="false">IF(E315&lt;&gt;"",E315,IF(U315,"Present",IF(C315="Holiday","Holiday","Weekend")))</f>
        <v>Present</v>
      </c>
      <c r="L315" s="34" t="n">
        <f aca="false">IF(OR(K315="Present",K315="Manual Work",K315="Partial Vacation",K315="Partial Sick Leave"),IF(ISNUMBER(F315),F315,IF(AND(K315="Present",U315),Settings!$B$6,"")),"")</f>
        <v>0.333333333333333</v>
      </c>
      <c r="M315" s="34" t="n">
        <f aca="false">IF(OR(K315="Present",K315="Manual Work",K315="Partial Vacation",K315="Partial Sick Leave"),IF(ISNUMBER(G315),G315,IF(AND(K315="Present",U315),V315,"")),"")</f>
        <v>0.6875</v>
      </c>
      <c r="N315" s="14" t="n">
        <f aca="false">IF(AND(ISNUMBER(L315),ISNUMBER(M315)),MAX(0,(M315-L315)*24),0)</f>
        <v>8.5</v>
      </c>
      <c r="O315" s="14" t="n">
        <f aca="false">IF(NOT(U315),0,IF(K315="Vacation",IF(C315="Eve",Settings!$B$9*Settings!$B$11,W315),IF(K315="Partial Vacation",IF(AND(ISNUMBER(H315),ISNUMBER(I315)),MAX(0,(I315-H315)*24),0),0)))</f>
        <v>0</v>
      </c>
      <c r="P315" s="14" t="n">
        <f aca="false">IF(NOT(U315),0,IF(K315="Sick Leave",W315,IF(K315="Partial Sick Leave",IF(AND(ISNUMBER(H315),ISNUMBER(I315)),MAX(0,(I315-H315)*24),0),0)))</f>
        <v>0</v>
      </c>
      <c r="Q315" s="14" t="n">
        <f aca="false">IF(NOT(U315),0,IF(K315="Vacation",IF(C315="Eve",Settings!$B$11,1),IF(K315="Partial Vacation",O315/Settings!$B$9,0)))</f>
        <v>0</v>
      </c>
      <c r="R315" s="14" t="n">
        <f aca="false">IF(NOT(U315),0,IF(K315="Sick Leave",1,IF(K315="Partial Sick Leave",P315/Settings!$B$9,0)))</f>
        <v>0</v>
      </c>
      <c r="S315" s="35" t="str">
        <f aca="false">IF(AND(OR(E315="Vacation",E315="Sick Leave",E315="Partial Vacation",E315="Partial Sick Leave"),NOT(U315)),"Leave not allowed on this day",IF(AND(E315="Manual Work",OR(NOT(ISNUMBER(F315)),NOT(ISNUMBER(G315)))),"Enter start and end",IF(AND(OR(E315="Partial Vacation",E315="Partial Sick Leave"),OR(NOT(ISNUMBER(H315)),NOT(ISNUMBER(I315)))),"Enter leave from and to",IF(AND(ISNUMBER(F315),ISNUMBER(G315),G315&lt;=F315),"End is before start",IF(AND(ISNUMBER(H315),ISNUMBER(I315),I315&lt;=H315),"Leave end is before start",IF(AND(ISNUMBER(F315),ISNUMBER(G315),ISNUMBER(H315),ISNUMBER(I315),F315&lt;I315,H315&lt;G315),"Work and leave hours overlap",IF(AND(E315&lt;&gt;"",WEEKDAY(A315)=7),"Saturday - administrator only","")))))))</f>
        <v/>
      </c>
      <c r="T315" s="36" t="n">
        <f aca="false">MONTH(A315)</f>
        <v>11</v>
      </c>
      <c r="U315" s="37" t="b">
        <f aca="false">OR(C315="Workday",C315="Eve")</f>
        <v>1</v>
      </c>
      <c r="V315" s="34" t="n">
        <f aca="false">IF(C315="Eve",Settings!$B$8,Settings!$B$7)</f>
        <v>0.6875</v>
      </c>
      <c r="W315" s="14" t="n">
        <f aca="false">IF(U315,(V315-Settings!$B$6)*24,0)</f>
        <v>8.5</v>
      </c>
    </row>
    <row r="316" customFormat="false" ht="15" hidden="false" customHeight="false" outlineLevel="0" collapsed="false">
      <c r="A316" s="29" t="n">
        <v>46332</v>
      </c>
      <c r="B316" s="30" t="str">
        <f aca="false">CHOOSE(WEEKDAY(A316),"Sun","Mon","Tue","Wed","Thu","Fri","Sat")</f>
        <v>Fri</v>
      </c>
      <c r="C316" s="30" t="str">
        <f aca="false">IF(IFERROR(INDEX(Holidays!$D$5:$D$60,MATCH(A316,Holidays!$A$5:$A$60,0)),"")="Holiday","Holiday",IF(WEEKDAY(A316)&gt;=6,"Weekend",IF(IFERROR(INDEX(Holidays!$D$5:$D$60,MATCH(A316,Holidays!$A$5:$A$60,0)),"")="Eve","Eve","Workday")))</f>
        <v>Weekend</v>
      </c>
      <c r="D316" s="18" t="str">
        <f aca="false">IFERROR(INDEX(Holidays!$C$5:$C$60,MATCH(A316,Holidays!$A$5:$A$60,0)),"")</f>
        <v/>
      </c>
      <c r="E316" s="31"/>
      <c r="F316" s="32"/>
      <c r="G316" s="32"/>
      <c r="H316" s="32"/>
      <c r="I316" s="32"/>
      <c r="J316" s="31"/>
      <c r="K316" s="33" t="str">
        <f aca="false">IF(E316&lt;&gt;"",E316,IF(U316,"Present",IF(C316="Holiday","Holiday","Weekend")))</f>
        <v>Weekend</v>
      </c>
      <c r="L316" s="34" t="str">
        <f aca="false">IF(OR(K316="Present",K316="Manual Work",K316="Partial Vacation",K316="Partial Sick Leave"),IF(ISNUMBER(F316),F316,IF(AND(K316="Present",U316),Settings!$B$6,"")),"")</f>
        <v/>
      </c>
      <c r="M316" s="34" t="str">
        <f aca="false">IF(OR(K316="Present",K316="Manual Work",K316="Partial Vacation",K316="Partial Sick Leave"),IF(ISNUMBER(G316),G316,IF(AND(K316="Present",U316),V316,"")),"")</f>
        <v/>
      </c>
      <c r="N316" s="14" t="n">
        <f aca="false">IF(AND(ISNUMBER(L316),ISNUMBER(M316)),MAX(0,(M316-L316)*24),0)</f>
        <v>0</v>
      </c>
      <c r="O316" s="14" t="n">
        <f aca="false">IF(NOT(U316),0,IF(K316="Vacation",IF(C316="Eve",Settings!$B$9*Settings!$B$11,W316),IF(K316="Partial Vacation",IF(AND(ISNUMBER(H316),ISNUMBER(I316)),MAX(0,(I316-H316)*24),0),0)))</f>
        <v>0</v>
      </c>
      <c r="P316" s="14" t="n">
        <f aca="false">IF(NOT(U316),0,IF(K316="Sick Leave",W316,IF(K316="Partial Sick Leave",IF(AND(ISNUMBER(H316),ISNUMBER(I316)),MAX(0,(I316-H316)*24),0),0)))</f>
        <v>0</v>
      </c>
      <c r="Q316" s="14" t="n">
        <f aca="false">IF(NOT(U316),0,IF(K316="Vacation",IF(C316="Eve",Settings!$B$11,1),IF(K316="Partial Vacation",O316/Settings!$B$9,0)))</f>
        <v>0</v>
      </c>
      <c r="R316" s="14" t="n">
        <f aca="false">IF(NOT(U316),0,IF(K316="Sick Leave",1,IF(K316="Partial Sick Leave",P316/Settings!$B$9,0)))</f>
        <v>0</v>
      </c>
      <c r="S316" s="35" t="str">
        <f aca="false">IF(AND(OR(E316="Vacation",E316="Sick Leave",E316="Partial Vacation",E316="Partial Sick Leave"),NOT(U316)),"Leave not allowed on this day",IF(AND(E316="Manual Work",OR(NOT(ISNUMBER(F316)),NOT(ISNUMBER(G316)))),"Enter start and end",IF(AND(OR(E316="Partial Vacation",E316="Partial Sick Leave"),OR(NOT(ISNUMBER(H316)),NOT(ISNUMBER(I316)))),"Enter leave from and to",IF(AND(ISNUMBER(F316),ISNUMBER(G316),G316&lt;=F316),"End is before start",IF(AND(ISNUMBER(H316),ISNUMBER(I316),I316&lt;=H316),"Leave end is before start",IF(AND(ISNUMBER(F316),ISNUMBER(G316),ISNUMBER(H316),ISNUMBER(I316),F316&lt;I316,H316&lt;G316),"Work and leave hours overlap",IF(AND(E316&lt;&gt;"",WEEKDAY(A316)=7),"Saturday - administrator only","")))))))</f>
        <v/>
      </c>
      <c r="T316" s="36" t="n">
        <f aca="false">MONTH(A316)</f>
        <v>11</v>
      </c>
      <c r="U316" s="37" t="b">
        <f aca="false">OR(C316="Workday",C316="Eve")</f>
        <v>0</v>
      </c>
      <c r="V316" s="34" t="n">
        <f aca="false">IF(C316="Eve",Settings!$B$8,Settings!$B$7)</f>
        <v>0.6875</v>
      </c>
      <c r="W316" s="14" t="n">
        <f aca="false">IF(U316,(V316-Settings!$B$6)*24,0)</f>
        <v>0</v>
      </c>
    </row>
    <row r="317" customFormat="false" ht="15" hidden="false" customHeight="false" outlineLevel="0" collapsed="false">
      <c r="A317" s="29" t="n">
        <v>46333</v>
      </c>
      <c r="B317" s="30" t="str">
        <f aca="false">CHOOSE(WEEKDAY(A317),"Sun","Mon","Tue","Wed","Thu","Fri","Sat")</f>
        <v>Sat</v>
      </c>
      <c r="C317" s="30" t="str">
        <f aca="false">IF(IFERROR(INDEX(Holidays!$D$5:$D$60,MATCH(A317,Holidays!$A$5:$A$60,0)),"")="Holiday","Holiday",IF(WEEKDAY(A317)&gt;=6,"Weekend",IF(IFERROR(INDEX(Holidays!$D$5:$D$60,MATCH(A317,Holidays!$A$5:$A$60,0)),"")="Eve","Eve","Workday")))</f>
        <v>Weekend</v>
      </c>
      <c r="D317" s="18" t="str">
        <f aca="false">IFERROR(INDEX(Holidays!$C$5:$C$60,MATCH(A317,Holidays!$A$5:$A$60,0)),"")</f>
        <v/>
      </c>
      <c r="E317" s="31"/>
      <c r="F317" s="32"/>
      <c r="G317" s="32"/>
      <c r="H317" s="32"/>
      <c r="I317" s="32"/>
      <c r="J317" s="31"/>
      <c r="K317" s="33" t="str">
        <f aca="false">IF(E317&lt;&gt;"",E317,IF(U317,"Present",IF(C317="Holiday","Holiday","Weekend")))</f>
        <v>Weekend</v>
      </c>
      <c r="L317" s="34" t="str">
        <f aca="false">IF(OR(K317="Present",K317="Manual Work",K317="Partial Vacation",K317="Partial Sick Leave"),IF(ISNUMBER(F317),F317,IF(AND(K317="Present",U317),Settings!$B$6,"")),"")</f>
        <v/>
      </c>
      <c r="M317" s="34" t="str">
        <f aca="false">IF(OR(K317="Present",K317="Manual Work",K317="Partial Vacation",K317="Partial Sick Leave"),IF(ISNUMBER(G317),G317,IF(AND(K317="Present",U317),V317,"")),"")</f>
        <v/>
      </c>
      <c r="N317" s="14" t="n">
        <f aca="false">IF(AND(ISNUMBER(L317),ISNUMBER(M317)),MAX(0,(M317-L317)*24),0)</f>
        <v>0</v>
      </c>
      <c r="O317" s="14" t="n">
        <f aca="false">IF(NOT(U317),0,IF(K317="Vacation",IF(C317="Eve",Settings!$B$9*Settings!$B$11,W317),IF(K317="Partial Vacation",IF(AND(ISNUMBER(H317),ISNUMBER(I317)),MAX(0,(I317-H317)*24),0),0)))</f>
        <v>0</v>
      </c>
      <c r="P317" s="14" t="n">
        <f aca="false">IF(NOT(U317),0,IF(K317="Sick Leave",W317,IF(K317="Partial Sick Leave",IF(AND(ISNUMBER(H317),ISNUMBER(I317)),MAX(0,(I317-H317)*24),0),0)))</f>
        <v>0</v>
      </c>
      <c r="Q317" s="14" t="n">
        <f aca="false">IF(NOT(U317),0,IF(K317="Vacation",IF(C317="Eve",Settings!$B$11,1),IF(K317="Partial Vacation",O317/Settings!$B$9,0)))</f>
        <v>0</v>
      </c>
      <c r="R317" s="14" t="n">
        <f aca="false">IF(NOT(U317),0,IF(K317="Sick Leave",1,IF(K317="Partial Sick Leave",P317/Settings!$B$9,0)))</f>
        <v>0</v>
      </c>
      <c r="S317" s="35" t="str">
        <f aca="false">IF(AND(OR(E317="Vacation",E317="Sick Leave",E317="Partial Vacation",E317="Partial Sick Leave"),NOT(U317)),"Leave not allowed on this day",IF(AND(E317="Manual Work",OR(NOT(ISNUMBER(F317)),NOT(ISNUMBER(G317)))),"Enter start and end",IF(AND(OR(E317="Partial Vacation",E317="Partial Sick Leave"),OR(NOT(ISNUMBER(H317)),NOT(ISNUMBER(I317)))),"Enter leave from and to",IF(AND(ISNUMBER(F317),ISNUMBER(G317),G317&lt;=F317),"End is before start",IF(AND(ISNUMBER(H317),ISNUMBER(I317),I317&lt;=H317),"Leave end is before start",IF(AND(ISNUMBER(F317),ISNUMBER(G317),ISNUMBER(H317),ISNUMBER(I317),F317&lt;I317,H317&lt;G317),"Work and leave hours overlap",IF(AND(E317&lt;&gt;"",WEEKDAY(A317)=7),"Saturday - administrator only","")))))))</f>
        <v/>
      </c>
      <c r="T317" s="36" t="n">
        <f aca="false">MONTH(A317)</f>
        <v>11</v>
      </c>
      <c r="U317" s="37" t="b">
        <f aca="false">OR(C317="Workday",C317="Eve")</f>
        <v>0</v>
      </c>
      <c r="V317" s="34" t="n">
        <f aca="false">IF(C317="Eve",Settings!$B$8,Settings!$B$7)</f>
        <v>0.6875</v>
      </c>
      <c r="W317" s="14" t="n">
        <f aca="false">IF(U317,(V317-Settings!$B$6)*24,0)</f>
        <v>0</v>
      </c>
    </row>
    <row r="318" customFormat="false" ht="15" hidden="false" customHeight="false" outlineLevel="0" collapsed="false">
      <c r="A318" s="29" t="n">
        <v>46334</v>
      </c>
      <c r="B318" s="30" t="str">
        <f aca="false">CHOOSE(WEEKDAY(A318),"Sun","Mon","Tue","Wed","Thu","Fri","Sat")</f>
        <v>Sun</v>
      </c>
      <c r="C318" s="30" t="str">
        <f aca="false">IF(IFERROR(INDEX(Holidays!$D$5:$D$60,MATCH(A318,Holidays!$A$5:$A$60,0)),"")="Holiday","Holiday",IF(WEEKDAY(A318)&gt;=6,"Weekend",IF(IFERROR(INDEX(Holidays!$D$5:$D$60,MATCH(A318,Holidays!$A$5:$A$60,0)),"")="Eve","Eve","Workday")))</f>
        <v>Workday</v>
      </c>
      <c r="D318" s="18" t="str">
        <f aca="false">IFERROR(INDEX(Holidays!$C$5:$C$60,MATCH(A318,Holidays!$A$5:$A$60,0)),"")</f>
        <v/>
      </c>
      <c r="E318" s="31"/>
      <c r="F318" s="32"/>
      <c r="G318" s="32"/>
      <c r="H318" s="32"/>
      <c r="I318" s="32"/>
      <c r="J318" s="31"/>
      <c r="K318" s="33" t="str">
        <f aca="false">IF(E318&lt;&gt;"",E318,IF(U318,"Present",IF(C318="Holiday","Holiday","Weekend")))</f>
        <v>Present</v>
      </c>
      <c r="L318" s="34" t="n">
        <f aca="false">IF(OR(K318="Present",K318="Manual Work",K318="Partial Vacation",K318="Partial Sick Leave"),IF(ISNUMBER(F318),F318,IF(AND(K318="Present",U318),Settings!$B$6,"")),"")</f>
        <v>0.333333333333333</v>
      </c>
      <c r="M318" s="34" t="n">
        <f aca="false">IF(OR(K318="Present",K318="Manual Work",K318="Partial Vacation",K318="Partial Sick Leave"),IF(ISNUMBER(G318),G318,IF(AND(K318="Present",U318),V318,"")),"")</f>
        <v>0.6875</v>
      </c>
      <c r="N318" s="14" t="n">
        <f aca="false">IF(AND(ISNUMBER(L318),ISNUMBER(M318)),MAX(0,(M318-L318)*24),0)</f>
        <v>8.5</v>
      </c>
      <c r="O318" s="14" t="n">
        <f aca="false">IF(NOT(U318),0,IF(K318="Vacation",IF(C318="Eve",Settings!$B$9*Settings!$B$11,W318),IF(K318="Partial Vacation",IF(AND(ISNUMBER(H318),ISNUMBER(I318)),MAX(0,(I318-H318)*24),0),0)))</f>
        <v>0</v>
      </c>
      <c r="P318" s="14" t="n">
        <f aca="false">IF(NOT(U318),0,IF(K318="Sick Leave",W318,IF(K318="Partial Sick Leave",IF(AND(ISNUMBER(H318),ISNUMBER(I318)),MAX(0,(I318-H318)*24),0),0)))</f>
        <v>0</v>
      </c>
      <c r="Q318" s="14" t="n">
        <f aca="false">IF(NOT(U318),0,IF(K318="Vacation",IF(C318="Eve",Settings!$B$11,1),IF(K318="Partial Vacation",O318/Settings!$B$9,0)))</f>
        <v>0</v>
      </c>
      <c r="R318" s="14" t="n">
        <f aca="false">IF(NOT(U318),0,IF(K318="Sick Leave",1,IF(K318="Partial Sick Leave",P318/Settings!$B$9,0)))</f>
        <v>0</v>
      </c>
      <c r="S318" s="35" t="str">
        <f aca="false">IF(AND(OR(E318="Vacation",E318="Sick Leave",E318="Partial Vacation",E318="Partial Sick Leave"),NOT(U318)),"Leave not allowed on this day",IF(AND(E318="Manual Work",OR(NOT(ISNUMBER(F318)),NOT(ISNUMBER(G318)))),"Enter start and end",IF(AND(OR(E318="Partial Vacation",E318="Partial Sick Leave"),OR(NOT(ISNUMBER(H318)),NOT(ISNUMBER(I318)))),"Enter leave from and to",IF(AND(ISNUMBER(F318),ISNUMBER(G318),G318&lt;=F318),"End is before start",IF(AND(ISNUMBER(H318),ISNUMBER(I318),I318&lt;=H318),"Leave end is before start",IF(AND(ISNUMBER(F318),ISNUMBER(G318),ISNUMBER(H318),ISNUMBER(I318),F318&lt;I318,H318&lt;G318),"Work and leave hours overlap",IF(AND(E318&lt;&gt;"",WEEKDAY(A318)=7),"Saturday - administrator only","")))))))</f>
        <v/>
      </c>
      <c r="T318" s="36" t="n">
        <f aca="false">MONTH(A318)</f>
        <v>11</v>
      </c>
      <c r="U318" s="37" t="b">
        <f aca="false">OR(C318="Workday",C318="Eve")</f>
        <v>1</v>
      </c>
      <c r="V318" s="34" t="n">
        <f aca="false">IF(C318="Eve",Settings!$B$8,Settings!$B$7)</f>
        <v>0.6875</v>
      </c>
      <c r="W318" s="14" t="n">
        <f aca="false">IF(U318,(V318-Settings!$B$6)*24,0)</f>
        <v>8.5</v>
      </c>
    </row>
    <row r="319" customFormat="false" ht="15" hidden="false" customHeight="false" outlineLevel="0" collapsed="false">
      <c r="A319" s="29" t="n">
        <v>46335</v>
      </c>
      <c r="B319" s="30" t="str">
        <f aca="false">CHOOSE(WEEKDAY(A319),"Sun","Mon","Tue","Wed","Thu","Fri","Sat")</f>
        <v>Mon</v>
      </c>
      <c r="C319" s="30" t="str">
        <f aca="false">IF(IFERROR(INDEX(Holidays!$D$5:$D$60,MATCH(A319,Holidays!$A$5:$A$60,0)),"")="Holiday","Holiday",IF(WEEKDAY(A319)&gt;=6,"Weekend",IF(IFERROR(INDEX(Holidays!$D$5:$D$60,MATCH(A319,Holidays!$A$5:$A$60,0)),"")="Eve","Eve","Workday")))</f>
        <v>Workday</v>
      </c>
      <c r="D319" s="18" t="str">
        <f aca="false">IFERROR(INDEX(Holidays!$C$5:$C$60,MATCH(A319,Holidays!$A$5:$A$60,0)),"")</f>
        <v/>
      </c>
      <c r="E319" s="31"/>
      <c r="F319" s="32"/>
      <c r="G319" s="32"/>
      <c r="H319" s="32"/>
      <c r="I319" s="32"/>
      <c r="J319" s="31"/>
      <c r="K319" s="33" t="str">
        <f aca="false">IF(E319&lt;&gt;"",E319,IF(U319,"Present",IF(C319="Holiday","Holiday","Weekend")))</f>
        <v>Present</v>
      </c>
      <c r="L319" s="34" t="n">
        <f aca="false">IF(OR(K319="Present",K319="Manual Work",K319="Partial Vacation",K319="Partial Sick Leave"),IF(ISNUMBER(F319),F319,IF(AND(K319="Present",U319),Settings!$B$6,"")),"")</f>
        <v>0.333333333333333</v>
      </c>
      <c r="M319" s="34" t="n">
        <f aca="false">IF(OR(K319="Present",K319="Manual Work",K319="Partial Vacation",K319="Partial Sick Leave"),IF(ISNUMBER(G319),G319,IF(AND(K319="Present",U319),V319,"")),"")</f>
        <v>0.6875</v>
      </c>
      <c r="N319" s="14" t="n">
        <f aca="false">IF(AND(ISNUMBER(L319),ISNUMBER(M319)),MAX(0,(M319-L319)*24),0)</f>
        <v>8.5</v>
      </c>
      <c r="O319" s="14" t="n">
        <f aca="false">IF(NOT(U319),0,IF(K319="Vacation",IF(C319="Eve",Settings!$B$9*Settings!$B$11,W319),IF(K319="Partial Vacation",IF(AND(ISNUMBER(H319),ISNUMBER(I319)),MAX(0,(I319-H319)*24),0),0)))</f>
        <v>0</v>
      </c>
      <c r="P319" s="14" t="n">
        <f aca="false">IF(NOT(U319),0,IF(K319="Sick Leave",W319,IF(K319="Partial Sick Leave",IF(AND(ISNUMBER(H319),ISNUMBER(I319)),MAX(0,(I319-H319)*24),0),0)))</f>
        <v>0</v>
      </c>
      <c r="Q319" s="14" t="n">
        <f aca="false">IF(NOT(U319),0,IF(K319="Vacation",IF(C319="Eve",Settings!$B$11,1),IF(K319="Partial Vacation",O319/Settings!$B$9,0)))</f>
        <v>0</v>
      </c>
      <c r="R319" s="14" t="n">
        <f aca="false">IF(NOT(U319),0,IF(K319="Sick Leave",1,IF(K319="Partial Sick Leave",P319/Settings!$B$9,0)))</f>
        <v>0</v>
      </c>
      <c r="S319" s="35" t="str">
        <f aca="false">IF(AND(OR(E319="Vacation",E319="Sick Leave",E319="Partial Vacation",E319="Partial Sick Leave"),NOT(U319)),"Leave not allowed on this day",IF(AND(E319="Manual Work",OR(NOT(ISNUMBER(F319)),NOT(ISNUMBER(G319)))),"Enter start and end",IF(AND(OR(E319="Partial Vacation",E319="Partial Sick Leave"),OR(NOT(ISNUMBER(H319)),NOT(ISNUMBER(I319)))),"Enter leave from and to",IF(AND(ISNUMBER(F319),ISNUMBER(G319),G319&lt;=F319),"End is before start",IF(AND(ISNUMBER(H319),ISNUMBER(I319),I319&lt;=H319),"Leave end is before start",IF(AND(ISNUMBER(F319),ISNUMBER(G319),ISNUMBER(H319),ISNUMBER(I319),F319&lt;I319,H319&lt;G319),"Work and leave hours overlap",IF(AND(E319&lt;&gt;"",WEEKDAY(A319)=7),"Saturday - administrator only","")))))))</f>
        <v/>
      </c>
      <c r="T319" s="36" t="n">
        <f aca="false">MONTH(A319)</f>
        <v>11</v>
      </c>
      <c r="U319" s="37" t="b">
        <f aca="false">OR(C319="Workday",C319="Eve")</f>
        <v>1</v>
      </c>
      <c r="V319" s="34" t="n">
        <f aca="false">IF(C319="Eve",Settings!$B$8,Settings!$B$7)</f>
        <v>0.6875</v>
      </c>
      <c r="W319" s="14" t="n">
        <f aca="false">IF(U319,(V319-Settings!$B$6)*24,0)</f>
        <v>8.5</v>
      </c>
    </row>
    <row r="320" customFormat="false" ht="15" hidden="false" customHeight="false" outlineLevel="0" collapsed="false">
      <c r="A320" s="29" t="n">
        <v>46336</v>
      </c>
      <c r="B320" s="30" t="str">
        <f aca="false">CHOOSE(WEEKDAY(A320),"Sun","Mon","Tue","Wed","Thu","Fri","Sat")</f>
        <v>Tue</v>
      </c>
      <c r="C320" s="30" t="str">
        <f aca="false">IF(IFERROR(INDEX(Holidays!$D$5:$D$60,MATCH(A320,Holidays!$A$5:$A$60,0)),"")="Holiday","Holiday",IF(WEEKDAY(A320)&gt;=6,"Weekend",IF(IFERROR(INDEX(Holidays!$D$5:$D$60,MATCH(A320,Holidays!$A$5:$A$60,0)),"")="Eve","Eve","Workday")))</f>
        <v>Workday</v>
      </c>
      <c r="D320" s="18" t="str">
        <f aca="false">IFERROR(INDEX(Holidays!$C$5:$C$60,MATCH(A320,Holidays!$A$5:$A$60,0)),"")</f>
        <v/>
      </c>
      <c r="E320" s="31"/>
      <c r="F320" s="32"/>
      <c r="G320" s="32"/>
      <c r="H320" s="32"/>
      <c r="I320" s="32"/>
      <c r="J320" s="31"/>
      <c r="K320" s="33" t="str">
        <f aca="false">IF(E320&lt;&gt;"",E320,IF(U320,"Present",IF(C320="Holiday","Holiday","Weekend")))</f>
        <v>Present</v>
      </c>
      <c r="L320" s="34" t="n">
        <f aca="false">IF(OR(K320="Present",K320="Manual Work",K320="Partial Vacation",K320="Partial Sick Leave"),IF(ISNUMBER(F320),F320,IF(AND(K320="Present",U320),Settings!$B$6,"")),"")</f>
        <v>0.333333333333333</v>
      </c>
      <c r="M320" s="34" t="n">
        <f aca="false">IF(OR(K320="Present",K320="Manual Work",K320="Partial Vacation",K320="Partial Sick Leave"),IF(ISNUMBER(G320),G320,IF(AND(K320="Present",U320),V320,"")),"")</f>
        <v>0.6875</v>
      </c>
      <c r="N320" s="14" t="n">
        <f aca="false">IF(AND(ISNUMBER(L320),ISNUMBER(M320)),MAX(0,(M320-L320)*24),0)</f>
        <v>8.5</v>
      </c>
      <c r="O320" s="14" t="n">
        <f aca="false">IF(NOT(U320),0,IF(K320="Vacation",IF(C320="Eve",Settings!$B$9*Settings!$B$11,W320),IF(K320="Partial Vacation",IF(AND(ISNUMBER(H320),ISNUMBER(I320)),MAX(0,(I320-H320)*24),0),0)))</f>
        <v>0</v>
      </c>
      <c r="P320" s="14" t="n">
        <f aca="false">IF(NOT(U320),0,IF(K320="Sick Leave",W320,IF(K320="Partial Sick Leave",IF(AND(ISNUMBER(H320),ISNUMBER(I320)),MAX(0,(I320-H320)*24),0),0)))</f>
        <v>0</v>
      </c>
      <c r="Q320" s="14" t="n">
        <f aca="false">IF(NOT(U320),0,IF(K320="Vacation",IF(C320="Eve",Settings!$B$11,1),IF(K320="Partial Vacation",O320/Settings!$B$9,0)))</f>
        <v>0</v>
      </c>
      <c r="R320" s="14" t="n">
        <f aca="false">IF(NOT(U320),0,IF(K320="Sick Leave",1,IF(K320="Partial Sick Leave",P320/Settings!$B$9,0)))</f>
        <v>0</v>
      </c>
      <c r="S320" s="35" t="str">
        <f aca="false">IF(AND(OR(E320="Vacation",E320="Sick Leave",E320="Partial Vacation",E320="Partial Sick Leave"),NOT(U320)),"Leave not allowed on this day",IF(AND(E320="Manual Work",OR(NOT(ISNUMBER(F320)),NOT(ISNUMBER(G320)))),"Enter start and end",IF(AND(OR(E320="Partial Vacation",E320="Partial Sick Leave"),OR(NOT(ISNUMBER(H320)),NOT(ISNUMBER(I320)))),"Enter leave from and to",IF(AND(ISNUMBER(F320),ISNUMBER(G320),G320&lt;=F320),"End is before start",IF(AND(ISNUMBER(H320),ISNUMBER(I320),I320&lt;=H320),"Leave end is before start",IF(AND(ISNUMBER(F320),ISNUMBER(G320),ISNUMBER(H320),ISNUMBER(I320),F320&lt;I320,H320&lt;G320),"Work and leave hours overlap",IF(AND(E320&lt;&gt;"",WEEKDAY(A320)=7),"Saturday - administrator only","")))))))</f>
        <v/>
      </c>
      <c r="T320" s="36" t="n">
        <f aca="false">MONTH(A320)</f>
        <v>11</v>
      </c>
      <c r="U320" s="37" t="b">
        <f aca="false">OR(C320="Workday",C320="Eve")</f>
        <v>1</v>
      </c>
      <c r="V320" s="34" t="n">
        <f aca="false">IF(C320="Eve",Settings!$B$8,Settings!$B$7)</f>
        <v>0.6875</v>
      </c>
      <c r="W320" s="14" t="n">
        <f aca="false">IF(U320,(V320-Settings!$B$6)*24,0)</f>
        <v>8.5</v>
      </c>
    </row>
    <row r="321" customFormat="false" ht="15" hidden="false" customHeight="false" outlineLevel="0" collapsed="false">
      <c r="A321" s="29" t="n">
        <v>46337</v>
      </c>
      <c r="B321" s="30" t="str">
        <f aca="false">CHOOSE(WEEKDAY(A321),"Sun","Mon","Tue","Wed","Thu","Fri","Sat")</f>
        <v>Wed</v>
      </c>
      <c r="C321" s="30" t="str">
        <f aca="false">IF(IFERROR(INDEX(Holidays!$D$5:$D$60,MATCH(A321,Holidays!$A$5:$A$60,0)),"")="Holiday","Holiday",IF(WEEKDAY(A321)&gt;=6,"Weekend",IF(IFERROR(INDEX(Holidays!$D$5:$D$60,MATCH(A321,Holidays!$A$5:$A$60,0)),"")="Eve","Eve","Workday")))</f>
        <v>Workday</v>
      </c>
      <c r="D321" s="18" t="str">
        <f aca="false">IFERROR(INDEX(Holidays!$C$5:$C$60,MATCH(A321,Holidays!$A$5:$A$60,0)),"")</f>
        <v/>
      </c>
      <c r="E321" s="31"/>
      <c r="F321" s="32"/>
      <c r="G321" s="32"/>
      <c r="H321" s="32"/>
      <c r="I321" s="32"/>
      <c r="J321" s="31"/>
      <c r="K321" s="33" t="str">
        <f aca="false">IF(E321&lt;&gt;"",E321,IF(U321,"Present",IF(C321="Holiday","Holiday","Weekend")))</f>
        <v>Present</v>
      </c>
      <c r="L321" s="34" t="n">
        <f aca="false">IF(OR(K321="Present",K321="Manual Work",K321="Partial Vacation",K321="Partial Sick Leave"),IF(ISNUMBER(F321),F321,IF(AND(K321="Present",U321),Settings!$B$6,"")),"")</f>
        <v>0.333333333333333</v>
      </c>
      <c r="M321" s="34" t="n">
        <f aca="false">IF(OR(K321="Present",K321="Manual Work",K321="Partial Vacation",K321="Partial Sick Leave"),IF(ISNUMBER(G321),G321,IF(AND(K321="Present",U321),V321,"")),"")</f>
        <v>0.6875</v>
      </c>
      <c r="N321" s="14" t="n">
        <f aca="false">IF(AND(ISNUMBER(L321),ISNUMBER(M321)),MAX(0,(M321-L321)*24),0)</f>
        <v>8.5</v>
      </c>
      <c r="O321" s="14" t="n">
        <f aca="false">IF(NOT(U321),0,IF(K321="Vacation",IF(C321="Eve",Settings!$B$9*Settings!$B$11,W321),IF(K321="Partial Vacation",IF(AND(ISNUMBER(H321),ISNUMBER(I321)),MAX(0,(I321-H321)*24),0),0)))</f>
        <v>0</v>
      </c>
      <c r="P321" s="14" t="n">
        <f aca="false">IF(NOT(U321),0,IF(K321="Sick Leave",W321,IF(K321="Partial Sick Leave",IF(AND(ISNUMBER(H321),ISNUMBER(I321)),MAX(0,(I321-H321)*24),0),0)))</f>
        <v>0</v>
      </c>
      <c r="Q321" s="14" t="n">
        <f aca="false">IF(NOT(U321),0,IF(K321="Vacation",IF(C321="Eve",Settings!$B$11,1),IF(K321="Partial Vacation",O321/Settings!$B$9,0)))</f>
        <v>0</v>
      </c>
      <c r="R321" s="14" t="n">
        <f aca="false">IF(NOT(U321),0,IF(K321="Sick Leave",1,IF(K321="Partial Sick Leave",P321/Settings!$B$9,0)))</f>
        <v>0</v>
      </c>
      <c r="S321" s="35" t="str">
        <f aca="false">IF(AND(OR(E321="Vacation",E321="Sick Leave",E321="Partial Vacation",E321="Partial Sick Leave"),NOT(U321)),"Leave not allowed on this day",IF(AND(E321="Manual Work",OR(NOT(ISNUMBER(F321)),NOT(ISNUMBER(G321)))),"Enter start and end",IF(AND(OR(E321="Partial Vacation",E321="Partial Sick Leave"),OR(NOT(ISNUMBER(H321)),NOT(ISNUMBER(I321)))),"Enter leave from and to",IF(AND(ISNUMBER(F321),ISNUMBER(G321),G321&lt;=F321),"End is before start",IF(AND(ISNUMBER(H321),ISNUMBER(I321),I321&lt;=H321),"Leave end is before start",IF(AND(ISNUMBER(F321),ISNUMBER(G321),ISNUMBER(H321),ISNUMBER(I321),F321&lt;I321,H321&lt;G321),"Work and leave hours overlap",IF(AND(E321&lt;&gt;"",WEEKDAY(A321)=7),"Saturday - administrator only","")))))))</f>
        <v/>
      </c>
      <c r="T321" s="36" t="n">
        <f aca="false">MONTH(A321)</f>
        <v>11</v>
      </c>
      <c r="U321" s="37" t="b">
        <f aca="false">OR(C321="Workday",C321="Eve")</f>
        <v>1</v>
      </c>
      <c r="V321" s="34" t="n">
        <f aca="false">IF(C321="Eve",Settings!$B$8,Settings!$B$7)</f>
        <v>0.6875</v>
      </c>
      <c r="W321" s="14" t="n">
        <f aca="false">IF(U321,(V321-Settings!$B$6)*24,0)</f>
        <v>8.5</v>
      </c>
    </row>
    <row r="322" customFormat="false" ht="15" hidden="false" customHeight="false" outlineLevel="0" collapsed="false">
      <c r="A322" s="29" t="n">
        <v>46338</v>
      </c>
      <c r="B322" s="30" t="str">
        <f aca="false">CHOOSE(WEEKDAY(A322),"Sun","Mon","Tue","Wed","Thu","Fri","Sat")</f>
        <v>Thu</v>
      </c>
      <c r="C322" s="30" t="str">
        <f aca="false">IF(IFERROR(INDEX(Holidays!$D$5:$D$60,MATCH(A322,Holidays!$A$5:$A$60,0)),"")="Holiday","Holiday",IF(WEEKDAY(A322)&gt;=6,"Weekend",IF(IFERROR(INDEX(Holidays!$D$5:$D$60,MATCH(A322,Holidays!$A$5:$A$60,0)),"")="Eve","Eve","Workday")))</f>
        <v>Workday</v>
      </c>
      <c r="D322" s="18" t="str">
        <f aca="false">IFERROR(INDEX(Holidays!$C$5:$C$60,MATCH(A322,Holidays!$A$5:$A$60,0)),"")</f>
        <v/>
      </c>
      <c r="E322" s="31"/>
      <c r="F322" s="32"/>
      <c r="G322" s="32"/>
      <c r="H322" s="32"/>
      <c r="I322" s="32"/>
      <c r="J322" s="31"/>
      <c r="K322" s="33" t="str">
        <f aca="false">IF(E322&lt;&gt;"",E322,IF(U322,"Present",IF(C322="Holiday","Holiday","Weekend")))</f>
        <v>Present</v>
      </c>
      <c r="L322" s="34" t="n">
        <f aca="false">IF(OR(K322="Present",K322="Manual Work",K322="Partial Vacation",K322="Partial Sick Leave"),IF(ISNUMBER(F322),F322,IF(AND(K322="Present",U322),Settings!$B$6,"")),"")</f>
        <v>0.333333333333333</v>
      </c>
      <c r="M322" s="34" t="n">
        <f aca="false">IF(OR(K322="Present",K322="Manual Work",K322="Partial Vacation",K322="Partial Sick Leave"),IF(ISNUMBER(G322),G322,IF(AND(K322="Present",U322),V322,"")),"")</f>
        <v>0.6875</v>
      </c>
      <c r="N322" s="14" t="n">
        <f aca="false">IF(AND(ISNUMBER(L322),ISNUMBER(M322)),MAX(0,(M322-L322)*24),0)</f>
        <v>8.5</v>
      </c>
      <c r="O322" s="14" t="n">
        <f aca="false">IF(NOT(U322),0,IF(K322="Vacation",IF(C322="Eve",Settings!$B$9*Settings!$B$11,W322),IF(K322="Partial Vacation",IF(AND(ISNUMBER(H322),ISNUMBER(I322)),MAX(0,(I322-H322)*24),0),0)))</f>
        <v>0</v>
      </c>
      <c r="P322" s="14" t="n">
        <f aca="false">IF(NOT(U322),0,IF(K322="Sick Leave",W322,IF(K322="Partial Sick Leave",IF(AND(ISNUMBER(H322),ISNUMBER(I322)),MAX(0,(I322-H322)*24),0),0)))</f>
        <v>0</v>
      </c>
      <c r="Q322" s="14" t="n">
        <f aca="false">IF(NOT(U322),0,IF(K322="Vacation",IF(C322="Eve",Settings!$B$11,1),IF(K322="Partial Vacation",O322/Settings!$B$9,0)))</f>
        <v>0</v>
      </c>
      <c r="R322" s="14" t="n">
        <f aca="false">IF(NOT(U322),0,IF(K322="Sick Leave",1,IF(K322="Partial Sick Leave",P322/Settings!$B$9,0)))</f>
        <v>0</v>
      </c>
      <c r="S322" s="35" t="str">
        <f aca="false">IF(AND(OR(E322="Vacation",E322="Sick Leave",E322="Partial Vacation",E322="Partial Sick Leave"),NOT(U322)),"Leave not allowed on this day",IF(AND(E322="Manual Work",OR(NOT(ISNUMBER(F322)),NOT(ISNUMBER(G322)))),"Enter start and end",IF(AND(OR(E322="Partial Vacation",E322="Partial Sick Leave"),OR(NOT(ISNUMBER(H322)),NOT(ISNUMBER(I322)))),"Enter leave from and to",IF(AND(ISNUMBER(F322),ISNUMBER(G322),G322&lt;=F322),"End is before start",IF(AND(ISNUMBER(H322),ISNUMBER(I322),I322&lt;=H322),"Leave end is before start",IF(AND(ISNUMBER(F322),ISNUMBER(G322),ISNUMBER(H322),ISNUMBER(I322),F322&lt;I322,H322&lt;G322),"Work and leave hours overlap",IF(AND(E322&lt;&gt;"",WEEKDAY(A322)=7),"Saturday - administrator only","")))))))</f>
        <v/>
      </c>
      <c r="T322" s="36" t="n">
        <f aca="false">MONTH(A322)</f>
        <v>11</v>
      </c>
      <c r="U322" s="37" t="b">
        <f aca="false">OR(C322="Workday",C322="Eve")</f>
        <v>1</v>
      </c>
      <c r="V322" s="34" t="n">
        <f aca="false">IF(C322="Eve",Settings!$B$8,Settings!$B$7)</f>
        <v>0.6875</v>
      </c>
      <c r="W322" s="14" t="n">
        <f aca="false">IF(U322,(V322-Settings!$B$6)*24,0)</f>
        <v>8.5</v>
      </c>
    </row>
    <row r="323" customFormat="false" ht="15" hidden="false" customHeight="false" outlineLevel="0" collapsed="false">
      <c r="A323" s="29" t="n">
        <v>46339</v>
      </c>
      <c r="B323" s="30" t="str">
        <f aca="false">CHOOSE(WEEKDAY(A323),"Sun","Mon","Tue","Wed","Thu","Fri","Sat")</f>
        <v>Fri</v>
      </c>
      <c r="C323" s="30" t="str">
        <f aca="false">IF(IFERROR(INDEX(Holidays!$D$5:$D$60,MATCH(A323,Holidays!$A$5:$A$60,0)),"")="Holiday","Holiday",IF(WEEKDAY(A323)&gt;=6,"Weekend",IF(IFERROR(INDEX(Holidays!$D$5:$D$60,MATCH(A323,Holidays!$A$5:$A$60,0)),"")="Eve","Eve","Workday")))</f>
        <v>Weekend</v>
      </c>
      <c r="D323" s="18" t="str">
        <f aca="false">IFERROR(INDEX(Holidays!$C$5:$C$60,MATCH(A323,Holidays!$A$5:$A$60,0)),"")</f>
        <v/>
      </c>
      <c r="E323" s="31"/>
      <c r="F323" s="32"/>
      <c r="G323" s="32"/>
      <c r="H323" s="32"/>
      <c r="I323" s="32"/>
      <c r="J323" s="31"/>
      <c r="K323" s="33" t="str">
        <f aca="false">IF(E323&lt;&gt;"",E323,IF(U323,"Present",IF(C323="Holiday","Holiday","Weekend")))</f>
        <v>Weekend</v>
      </c>
      <c r="L323" s="34" t="str">
        <f aca="false">IF(OR(K323="Present",K323="Manual Work",K323="Partial Vacation",K323="Partial Sick Leave"),IF(ISNUMBER(F323),F323,IF(AND(K323="Present",U323),Settings!$B$6,"")),"")</f>
        <v/>
      </c>
      <c r="M323" s="34" t="str">
        <f aca="false">IF(OR(K323="Present",K323="Manual Work",K323="Partial Vacation",K323="Partial Sick Leave"),IF(ISNUMBER(G323),G323,IF(AND(K323="Present",U323),V323,"")),"")</f>
        <v/>
      </c>
      <c r="N323" s="14" t="n">
        <f aca="false">IF(AND(ISNUMBER(L323),ISNUMBER(M323)),MAX(0,(M323-L323)*24),0)</f>
        <v>0</v>
      </c>
      <c r="O323" s="14" t="n">
        <f aca="false">IF(NOT(U323),0,IF(K323="Vacation",IF(C323="Eve",Settings!$B$9*Settings!$B$11,W323),IF(K323="Partial Vacation",IF(AND(ISNUMBER(H323),ISNUMBER(I323)),MAX(0,(I323-H323)*24),0),0)))</f>
        <v>0</v>
      </c>
      <c r="P323" s="14" t="n">
        <f aca="false">IF(NOT(U323),0,IF(K323="Sick Leave",W323,IF(K323="Partial Sick Leave",IF(AND(ISNUMBER(H323),ISNUMBER(I323)),MAX(0,(I323-H323)*24),0),0)))</f>
        <v>0</v>
      </c>
      <c r="Q323" s="14" t="n">
        <f aca="false">IF(NOT(U323),0,IF(K323="Vacation",IF(C323="Eve",Settings!$B$11,1),IF(K323="Partial Vacation",O323/Settings!$B$9,0)))</f>
        <v>0</v>
      </c>
      <c r="R323" s="14" t="n">
        <f aca="false">IF(NOT(U323),0,IF(K323="Sick Leave",1,IF(K323="Partial Sick Leave",P323/Settings!$B$9,0)))</f>
        <v>0</v>
      </c>
      <c r="S323" s="35" t="str">
        <f aca="false">IF(AND(OR(E323="Vacation",E323="Sick Leave",E323="Partial Vacation",E323="Partial Sick Leave"),NOT(U323)),"Leave not allowed on this day",IF(AND(E323="Manual Work",OR(NOT(ISNUMBER(F323)),NOT(ISNUMBER(G323)))),"Enter start and end",IF(AND(OR(E323="Partial Vacation",E323="Partial Sick Leave"),OR(NOT(ISNUMBER(H323)),NOT(ISNUMBER(I323)))),"Enter leave from and to",IF(AND(ISNUMBER(F323),ISNUMBER(G323),G323&lt;=F323),"End is before start",IF(AND(ISNUMBER(H323),ISNUMBER(I323),I323&lt;=H323),"Leave end is before start",IF(AND(ISNUMBER(F323),ISNUMBER(G323),ISNUMBER(H323),ISNUMBER(I323),F323&lt;I323,H323&lt;G323),"Work and leave hours overlap",IF(AND(E323&lt;&gt;"",WEEKDAY(A323)=7),"Saturday - administrator only","")))))))</f>
        <v/>
      </c>
      <c r="T323" s="36" t="n">
        <f aca="false">MONTH(A323)</f>
        <v>11</v>
      </c>
      <c r="U323" s="37" t="b">
        <f aca="false">OR(C323="Workday",C323="Eve")</f>
        <v>0</v>
      </c>
      <c r="V323" s="34" t="n">
        <f aca="false">IF(C323="Eve",Settings!$B$8,Settings!$B$7)</f>
        <v>0.6875</v>
      </c>
      <c r="W323" s="14" t="n">
        <f aca="false">IF(U323,(V323-Settings!$B$6)*24,0)</f>
        <v>0</v>
      </c>
    </row>
    <row r="324" customFormat="false" ht="15" hidden="false" customHeight="false" outlineLevel="0" collapsed="false">
      <c r="A324" s="29" t="n">
        <v>46340</v>
      </c>
      <c r="B324" s="30" t="str">
        <f aca="false">CHOOSE(WEEKDAY(A324),"Sun","Mon","Tue","Wed","Thu","Fri","Sat")</f>
        <v>Sat</v>
      </c>
      <c r="C324" s="30" t="str">
        <f aca="false">IF(IFERROR(INDEX(Holidays!$D$5:$D$60,MATCH(A324,Holidays!$A$5:$A$60,0)),"")="Holiday","Holiday",IF(WEEKDAY(A324)&gt;=6,"Weekend",IF(IFERROR(INDEX(Holidays!$D$5:$D$60,MATCH(A324,Holidays!$A$5:$A$60,0)),"")="Eve","Eve","Workday")))</f>
        <v>Weekend</v>
      </c>
      <c r="D324" s="18" t="str">
        <f aca="false">IFERROR(INDEX(Holidays!$C$5:$C$60,MATCH(A324,Holidays!$A$5:$A$60,0)),"")</f>
        <v/>
      </c>
      <c r="E324" s="31"/>
      <c r="F324" s="32"/>
      <c r="G324" s="32"/>
      <c r="H324" s="32"/>
      <c r="I324" s="32"/>
      <c r="J324" s="31"/>
      <c r="K324" s="33" t="str">
        <f aca="false">IF(E324&lt;&gt;"",E324,IF(U324,"Present",IF(C324="Holiday","Holiday","Weekend")))</f>
        <v>Weekend</v>
      </c>
      <c r="L324" s="34" t="str">
        <f aca="false">IF(OR(K324="Present",K324="Manual Work",K324="Partial Vacation",K324="Partial Sick Leave"),IF(ISNUMBER(F324),F324,IF(AND(K324="Present",U324),Settings!$B$6,"")),"")</f>
        <v/>
      </c>
      <c r="M324" s="34" t="str">
        <f aca="false">IF(OR(K324="Present",K324="Manual Work",K324="Partial Vacation",K324="Partial Sick Leave"),IF(ISNUMBER(G324),G324,IF(AND(K324="Present",U324),V324,"")),"")</f>
        <v/>
      </c>
      <c r="N324" s="14" t="n">
        <f aca="false">IF(AND(ISNUMBER(L324),ISNUMBER(M324)),MAX(0,(M324-L324)*24),0)</f>
        <v>0</v>
      </c>
      <c r="O324" s="14" t="n">
        <f aca="false">IF(NOT(U324),0,IF(K324="Vacation",IF(C324="Eve",Settings!$B$9*Settings!$B$11,W324),IF(K324="Partial Vacation",IF(AND(ISNUMBER(H324),ISNUMBER(I324)),MAX(0,(I324-H324)*24),0),0)))</f>
        <v>0</v>
      </c>
      <c r="P324" s="14" t="n">
        <f aca="false">IF(NOT(U324),0,IF(K324="Sick Leave",W324,IF(K324="Partial Sick Leave",IF(AND(ISNUMBER(H324),ISNUMBER(I324)),MAX(0,(I324-H324)*24),0),0)))</f>
        <v>0</v>
      </c>
      <c r="Q324" s="14" t="n">
        <f aca="false">IF(NOT(U324),0,IF(K324="Vacation",IF(C324="Eve",Settings!$B$11,1),IF(K324="Partial Vacation",O324/Settings!$B$9,0)))</f>
        <v>0</v>
      </c>
      <c r="R324" s="14" t="n">
        <f aca="false">IF(NOT(U324),0,IF(K324="Sick Leave",1,IF(K324="Partial Sick Leave",P324/Settings!$B$9,0)))</f>
        <v>0</v>
      </c>
      <c r="S324" s="35" t="str">
        <f aca="false">IF(AND(OR(E324="Vacation",E324="Sick Leave",E324="Partial Vacation",E324="Partial Sick Leave"),NOT(U324)),"Leave not allowed on this day",IF(AND(E324="Manual Work",OR(NOT(ISNUMBER(F324)),NOT(ISNUMBER(G324)))),"Enter start and end",IF(AND(OR(E324="Partial Vacation",E324="Partial Sick Leave"),OR(NOT(ISNUMBER(H324)),NOT(ISNUMBER(I324)))),"Enter leave from and to",IF(AND(ISNUMBER(F324),ISNUMBER(G324),G324&lt;=F324),"End is before start",IF(AND(ISNUMBER(H324),ISNUMBER(I324),I324&lt;=H324),"Leave end is before start",IF(AND(ISNUMBER(F324),ISNUMBER(G324),ISNUMBER(H324),ISNUMBER(I324),F324&lt;I324,H324&lt;G324),"Work and leave hours overlap",IF(AND(E324&lt;&gt;"",WEEKDAY(A324)=7),"Saturday - administrator only","")))))))</f>
        <v/>
      </c>
      <c r="T324" s="36" t="n">
        <f aca="false">MONTH(A324)</f>
        <v>11</v>
      </c>
      <c r="U324" s="37" t="b">
        <f aca="false">OR(C324="Workday",C324="Eve")</f>
        <v>0</v>
      </c>
      <c r="V324" s="34" t="n">
        <f aca="false">IF(C324="Eve",Settings!$B$8,Settings!$B$7)</f>
        <v>0.6875</v>
      </c>
      <c r="W324" s="14" t="n">
        <f aca="false">IF(U324,(V324-Settings!$B$6)*24,0)</f>
        <v>0</v>
      </c>
    </row>
    <row r="325" customFormat="false" ht="15" hidden="false" customHeight="false" outlineLevel="0" collapsed="false">
      <c r="A325" s="29" t="n">
        <v>46341</v>
      </c>
      <c r="B325" s="30" t="str">
        <f aca="false">CHOOSE(WEEKDAY(A325),"Sun","Mon","Tue","Wed","Thu","Fri","Sat")</f>
        <v>Sun</v>
      </c>
      <c r="C325" s="30" t="str">
        <f aca="false">IF(IFERROR(INDEX(Holidays!$D$5:$D$60,MATCH(A325,Holidays!$A$5:$A$60,0)),"")="Holiday","Holiday",IF(WEEKDAY(A325)&gt;=6,"Weekend",IF(IFERROR(INDEX(Holidays!$D$5:$D$60,MATCH(A325,Holidays!$A$5:$A$60,0)),"")="Eve","Eve","Workday")))</f>
        <v>Workday</v>
      </c>
      <c r="D325" s="18" t="str">
        <f aca="false">IFERROR(INDEX(Holidays!$C$5:$C$60,MATCH(A325,Holidays!$A$5:$A$60,0)),"")</f>
        <v/>
      </c>
      <c r="E325" s="31"/>
      <c r="F325" s="32"/>
      <c r="G325" s="32"/>
      <c r="H325" s="32"/>
      <c r="I325" s="32"/>
      <c r="J325" s="31"/>
      <c r="K325" s="33" t="str">
        <f aca="false">IF(E325&lt;&gt;"",E325,IF(U325,"Present",IF(C325="Holiday","Holiday","Weekend")))</f>
        <v>Present</v>
      </c>
      <c r="L325" s="34" t="n">
        <f aca="false">IF(OR(K325="Present",K325="Manual Work",K325="Partial Vacation",K325="Partial Sick Leave"),IF(ISNUMBER(F325),F325,IF(AND(K325="Present",U325),Settings!$B$6,"")),"")</f>
        <v>0.333333333333333</v>
      </c>
      <c r="M325" s="34" t="n">
        <f aca="false">IF(OR(K325="Present",K325="Manual Work",K325="Partial Vacation",K325="Partial Sick Leave"),IF(ISNUMBER(G325),G325,IF(AND(K325="Present",U325),V325,"")),"")</f>
        <v>0.6875</v>
      </c>
      <c r="N325" s="14" t="n">
        <f aca="false">IF(AND(ISNUMBER(L325),ISNUMBER(M325)),MAX(0,(M325-L325)*24),0)</f>
        <v>8.5</v>
      </c>
      <c r="O325" s="14" t="n">
        <f aca="false">IF(NOT(U325),0,IF(K325="Vacation",IF(C325="Eve",Settings!$B$9*Settings!$B$11,W325),IF(K325="Partial Vacation",IF(AND(ISNUMBER(H325),ISNUMBER(I325)),MAX(0,(I325-H325)*24),0),0)))</f>
        <v>0</v>
      </c>
      <c r="P325" s="14" t="n">
        <f aca="false">IF(NOT(U325),0,IF(K325="Sick Leave",W325,IF(K325="Partial Sick Leave",IF(AND(ISNUMBER(H325),ISNUMBER(I325)),MAX(0,(I325-H325)*24),0),0)))</f>
        <v>0</v>
      </c>
      <c r="Q325" s="14" t="n">
        <f aca="false">IF(NOT(U325),0,IF(K325="Vacation",IF(C325="Eve",Settings!$B$11,1),IF(K325="Partial Vacation",O325/Settings!$B$9,0)))</f>
        <v>0</v>
      </c>
      <c r="R325" s="14" t="n">
        <f aca="false">IF(NOT(U325),0,IF(K325="Sick Leave",1,IF(K325="Partial Sick Leave",P325/Settings!$B$9,0)))</f>
        <v>0</v>
      </c>
      <c r="S325" s="35" t="str">
        <f aca="false">IF(AND(OR(E325="Vacation",E325="Sick Leave",E325="Partial Vacation",E325="Partial Sick Leave"),NOT(U325)),"Leave not allowed on this day",IF(AND(E325="Manual Work",OR(NOT(ISNUMBER(F325)),NOT(ISNUMBER(G325)))),"Enter start and end",IF(AND(OR(E325="Partial Vacation",E325="Partial Sick Leave"),OR(NOT(ISNUMBER(H325)),NOT(ISNUMBER(I325)))),"Enter leave from and to",IF(AND(ISNUMBER(F325),ISNUMBER(G325),G325&lt;=F325),"End is before start",IF(AND(ISNUMBER(H325),ISNUMBER(I325),I325&lt;=H325),"Leave end is before start",IF(AND(ISNUMBER(F325),ISNUMBER(G325),ISNUMBER(H325),ISNUMBER(I325),F325&lt;I325,H325&lt;G325),"Work and leave hours overlap",IF(AND(E325&lt;&gt;"",WEEKDAY(A325)=7),"Saturday - administrator only","")))))))</f>
        <v/>
      </c>
      <c r="T325" s="36" t="n">
        <f aca="false">MONTH(A325)</f>
        <v>11</v>
      </c>
      <c r="U325" s="37" t="b">
        <f aca="false">OR(C325="Workday",C325="Eve")</f>
        <v>1</v>
      </c>
      <c r="V325" s="34" t="n">
        <f aca="false">IF(C325="Eve",Settings!$B$8,Settings!$B$7)</f>
        <v>0.6875</v>
      </c>
      <c r="W325" s="14" t="n">
        <f aca="false">IF(U325,(V325-Settings!$B$6)*24,0)</f>
        <v>8.5</v>
      </c>
    </row>
    <row r="326" customFormat="false" ht="15" hidden="false" customHeight="false" outlineLevel="0" collapsed="false">
      <c r="A326" s="29" t="n">
        <v>46342</v>
      </c>
      <c r="B326" s="30" t="str">
        <f aca="false">CHOOSE(WEEKDAY(A326),"Sun","Mon","Tue","Wed","Thu","Fri","Sat")</f>
        <v>Mon</v>
      </c>
      <c r="C326" s="30" t="str">
        <f aca="false">IF(IFERROR(INDEX(Holidays!$D$5:$D$60,MATCH(A326,Holidays!$A$5:$A$60,0)),"")="Holiday","Holiday",IF(WEEKDAY(A326)&gt;=6,"Weekend",IF(IFERROR(INDEX(Holidays!$D$5:$D$60,MATCH(A326,Holidays!$A$5:$A$60,0)),"")="Eve","Eve","Workday")))</f>
        <v>Workday</v>
      </c>
      <c r="D326" s="18" t="str">
        <f aca="false">IFERROR(INDEX(Holidays!$C$5:$C$60,MATCH(A326,Holidays!$A$5:$A$60,0)),"")</f>
        <v/>
      </c>
      <c r="E326" s="31"/>
      <c r="F326" s="32"/>
      <c r="G326" s="32"/>
      <c r="H326" s="32"/>
      <c r="I326" s="32"/>
      <c r="J326" s="31"/>
      <c r="K326" s="33" t="str">
        <f aca="false">IF(E326&lt;&gt;"",E326,IF(U326,"Present",IF(C326="Holiday","Holiday","Weekend")))</f>
        <v>Present</v>
      </c>
      <c r="L326" s="34" t="n">
        <f aca="false">IF(OR(K326="Present",K326="Manual Work",K326="Partial Vacation",K326="Partial Sick Leave"),IF(ISNUMBER(F326),F326,IF(AND(K326="Present",U326),Settings!$B$6,"")),"")</f>
        <v>0.333333333333333</v>
      </c>
      <c r="M326" s="34" t="n">
        <f aca="false">IF(OR(K326="Present",K326="Manual Work",K326="Partial Vacation",K326="Partial Sick Leave"),IF(ISNUMBER(G326),G326,IF(AND(K326="Present",U326),V326,"")),"")</f>
        <v>0.6875</v>
      </c>
      <c r="N326" s="14" t="n">
        <f aca="false">IF(AND(ISNUMBER(L326),ISNUMBER(M326)),MAX(0,(M326-L326)*24),0)</f>
        <v>8.5</v>
      </c>
      <c r="O326" s="14" t="n">
        <f aca="false">IF(NOT(U326),0,IF(K326="Vacation",IF(C326="Eve",Settings!$B$9*Settings!$B$11,W326),IF(K326="Partial Vacation",IF(AND(ISNUMBER(H326),ISNUMBER(I326)),MAX(0,(I326-H326)*24),0),0)))</f>
        <v>0</v>
      </c>
      <c r="P326" s="14" t="n">
        <f aca="false">IF(NOT(U326),0,IF(K326="Sick Leave",W326,IF(K326="Partial Sick Leave",IF(AND(ISNUMBER(H326),ISNUMBER(I326)),MAX(0,(I326-H326)*24),0),0)))</f>
        <v>0</v>
      </c>
      <c r="Q326" s="14" t="n">
        <f aca="false">IF(NOT(U326),0,IF(K326="Vacation",IF(C326="Eve",Settings!$B$11,1),IF(K326="Partial Vacation",O326/Settings!$B$9,0)))</f>
        <v>0</v>
      </c>
      <c r="R326" s="14" t="n">
        <f aca="false">IF(NOT(U326),0,IF(K326="Sick Leave",1,IF(K326="Partial Sick Leave",P326/Settings!$B$9,0)))</f>
        <v>0</v>
      </c>
      <c r="S326" s="35" t="str">
        <f aca="false">IF(AND(OR(E326="Vacation",E326="Sick Leave",E326="Partial Vacation",E326="Partial Sick Leave"),NOT(U326)),"Leave not allowed on this day",IF(AND(E326="Manual Work",OR(NOT(ISNUMBER(F326)),NOT(ISNUMBER(G326)))),"Enter start and end",IF(AND(OR(E326="Partial Vacation",E326="Partial Sick Leave"),OR(NOT(ISNUMBER(H326)),NOT(ISNUMBER(I326)))),"Enter leave from and to",IF(AND(ISNUMBER(F326),ISNUMBER(G326),G326&lt;=F326),"End is before start",IF(AND(ISNUMBER(H326),ISNUMBER(I326),I326&lt;=H326),"Leave end is before start",IF(AND(ISNUMBER(F326),ISNUMBER(G326),ISNUMBER(H326),ISNUMBER(I326),F326&lt;I326,H326&lt;G326),"Work and leave hours overlap",IF(AND(E326&lt;&gt;"",WEEKDAY(A326)=7),"Saturday - administrator only","")))))))</f>
        <v/>
      </c>
      <c r="T326" s="36" t="n">
        <f aca="false">MONTH(A326)</f>
        <v>11</v>
      </c>
      <c r="U326" s="37" t="b">
        <f aca="false">OR(C326="Workday",C326="Eve")</f>
        <v>1</v>
      </c>
      <c r="V326" s="34" t="n">
        <f aca="false">IF(C326="Eve",Settings!$B$8,Settings!$B$7)</f>
        <v>0.6875</v>
      </c>
      <c r="W326" s="14" t="n">
        <f aca="false">IF(U326,(V326-Settings!$B$6)*24,0)</f>
        <v>8.5</v>
      </c>
    </row>
    <row r="327" customFormat="false" ht="15" hidden="false" customHeight="false" outlineLevel="0" collapsed="false">
      <c r="A327" s="29" t="n">
        <v>46343</v>
      </c>
      <c r="B327" s="30" t="str">
        <f aca="false">CHOOSE(WEEKDAY(A327),"Sun","Mon","Tue","Wed","Thu","Fri","Sat")</f>
        <v>Tue</v>
      </c>
      <c r="C327" s="30" t="str">
        <f aca="false">IF(IFERROR(INDEX(Holidays!$D$5:$D$60,MATCH(A327,Holidays!$A$5:$A$60,0)),"")="Holiday","Holiday",IF(WEEKDAY(A327)&gt;=6,"Weekend",IF(IFERROR(INDEX(Holidays!$D$5:$D$60,MATCH(A327,Holidays!$A$5:$A$60,0)),"")="Eve","Eve","Workday")))</f>
        <v>Workday</v>
      </c>
      <c r="D327" s="18" t="str">
        <f aca="false">IFERROR(INDEX(Holidays!$C$5:$C$60,MATCH(A327,Holidays!$A$5:$A$60,0)),"")</f>
        <v/>
      </c>
      <c r="E327" s="31"/>
      <c r="F327" s="32"/>
      <c r="G327" s="32"/>
      <c r="H327" s="32"/>
      <c r="I327" s="32"/>
      <c r="J327" s="31"/>
      <c r="K327" s="33" t="str">
        <f aca="false">IF(E327&lt;&gt;"",E327,IF(U327,"Present",IF(C327="Holiday","Holiday","Weekend")))</f>
        <v>Present</v>
      </c>
      <c r="L327" s="34" t="n">
        <f aca="false">IF(OR(K327="Present",K327="Manual Work",K327="Partial Vacation",K327="Partial Sick Leave"),IF(ISNUMBER(F327),F327,IF(AND(K327="Present",U327),Settings!$B$6,"")),"")</f>
        <v>0.333333333333333</v>
      </c>
      <c r="M327" s="34" t="n">
        <f aca="false">IF(OR(K327="Present",K327="Manual Work",K327="Partial Vacation",K327="Partial Sick Leave"),IF(ISNUMBER(G327),G327,IF(AND(K327="Present",U327),V327,"")),"")</f>
        <v>0.6875</v>
      </c>
      <c r="N327" s="14" t="n">
        <f aca="false">IF(AND(ISNUMBER(L327),ISNUMBER(M327)),MAX(0,(M327-L327)*24),0)</f>
        <v>8.5</v>
      </c>
      <c r="O327" s="14" t="n">
        <f aca="false">IF(NOT(U327),0,IF(K327="Vacation",IF(C327="Eve",Settings!$B$9*Settings!$B$11,W327),IF(K327="Partial Vacation",IF(AND(ISNUMBER(H327),ISNUMBER(I327)),MAX(0,(I327-H327)*24),0),0)))</f>
        <v>0</v>
      </c>
      <c r="P327" s="14" t="n">
        <f aca="false">IF(NOT(U327),0,IF(K327="Sick Leave",W327,IF(K327="Partial Sick Leave",IF(AND(ISNUMBER(H327),ISNUMBER(I327)),MAX(0,(I327-H327)*24),0),0)))</f>
        <v>0</v>
      </c>
      <c r="Q327" s="14" t="n">
        <f aca="false">IF(NOT(U327),0,IF(K327="Vacation",IF(C327="Eve",Settings!$B$11,1),IF(K327="Partial Vacation",O327/Settings!$B$9,0)))</f>
        <v>0</v>
      </c>
      <c r="R327" s="14" t="n">
        <f aca="false">IF(NOT(U327),0,IF(K327="Sick Leave",1,IF(K327="Partial Sick Leave",P327/Settings!$B$9,0)))</f>
        <v>0</v>
      </c>
      <c r="S327" s="35" t="str">
        <f aca="false">IF(AND(OR(E327="Vacation",E327="Sick Leave",E327="Partial Vacation",E327="Partial Sick Leave"),NOT(U327)),"Leave not allowed on this day",IF(AND(E327="Manual Work",OR(NOT(ISNUMBER(F327)),NOT(ISNUMBER(G327)))),"Enter start and end",IF(AND(OR(E327="Partial Vacation",E327="Partial Sick Leave"),OR(NOT(ISNUMBER(H327)),NOT(ISNUMBER(I327)))),"Enter leave from and to",IF(AND(ISNUMBER(F327),ISNUMBER(G327),G327&lt;=F327),"End is before start",IF(AND(ISNUMBER(H327),ISNUMBER(I327),I327&lt;=H327),"Leave end is before start",IF(AND(ISNUMBER(F327),ISNUMBER(G327),ISNUMBER(H327),ISNUMBER(I327),F327&lt;I327,H327&lt;G327),"Work and leave hours overlap",IF(AND(E327&lt;&gt;"",WEEKDAY(A327)=7),"Saturday - administrator only","")))))))</f>
        <v/>
      </c>
      <c r="T327" s="36" t="n">
        <f aca="false">MONTH(A327)</f>
        <v>11</v>
      </c>
      <c r="U327" s="37" t="b">
        <f aca="false">OR(C327="Workday",C327="Eve")</f>
        <v>1</v>
      </c>
      <c r="V327" s="34" t="n">
        <f aca="false">IF(C327="Eve",Settings!$B$8,Settings!$B$7)</f>
        <v>0.6875</v>
      </c>
      <c r="W327" s="14" t="n">
        <f aca="false">IF(U327,(V327-Settings!$B$6)*24,0)</f>
        <v>8.5</v>
      </c>
    </row>
    <row r="328" customFormat="false" ht="15" hidden="false" customHeight="false" outlineLevel="0" collapsed="false">
      <c r="A328" s="29" t="n">
        <v>46344</v>
      </c>
      <c r="B328" s="30" t="str">
        <f aca="false">CHOOSE(WEEKDAY(A328),"Sun","Mon","Tue","Wed","Thu","Fri","Sat")</f>
        <v>Wed</v>
      </c>
      <c r="C328" s="30" t="str">
        <f aca="false">IF(IFERROR(INDEX(Holidays!$D$5:$D$60,MATCH(A328,Holidays!$A$5:$A$60,0)),"")="Holiday","Holiday",IF(WEEKDAY(A328)&gt;=6,"Weekend",IF(IFERROR(INDEX(Holidays!$D$5:$D$60,MATCH(A328,Holidays!$A$5:$A$60,0)),"")="Eve","Eve","Workday")))</f>
        <v>Workday</v>
      </c>
      <c r="D328" s="18" t="str">
        <f aca="false">IFERROR(INDEX(Holidays!$C$5:$C$60,MATCH(A328,Holidays!$A$5:$A$60,0)),"")</f>
        <v/>
      </c>
      <c r="E328" s="31"/>
      <c r="F328" s="32"/>
      <c r="G328" s="32"/>
      <c r="H328" s="32"/>
      <c r="I328" s="32"/>
      <c r="J328" s="31"/>
      <c r="K328" s="33" t="str">
        <f aca="false">IF(E328&lt;&gt;"",E328,IF(U328,"Present",IF(C328="Holiday","Holiday","Weekend")))</f>
        <v>Present</v>
      </c>
      <c r="L328" s="34" t="n">
        <f aca="false">IF(OR(K328="Present",K328="Manual Work",K328="Partial Vacation",K328="Partial Sick Leave"),IF(ISNUMBER(F328),F328,IF(AND(K328="Present",U328),Settings!$B$6,"")),"")</f>
        <v>0.333333333333333</v>
      </c>
      <c r="M328" s="34" t="n">
        <f aca="false">IF(OR(K328="Present",K328="Manual Work",K328="Partial Vacation",K328="Partial Sick Leave"),IF(ISNUMBER(G328),G328,IF(AND(K328="Present",U328),V328,"")),"")</f>
        <v>0.6875</v>
      </c>
      <c r="N328" s="14" t="n">
        <f aca="false">IF(AND(ISNUMBER(L328),ISNUMBER(M328)),MAX(0,(M328-L328)*24),0)</f>
        <v>8.5</v>
      </c>
      <c r="O328" s="14" t="n">
        <f aca="false">IF(NOT(U328),0,IF(K328="Vacation",IF(C328="Eve",Settings!$B$9*Settings!$B$11,W328),IF(K328="Partial Vacation",IF(AND(ISNUMBER(H328),ISNUMBER(I328)),MAX(0,(I328-H328)*24),0),0)))</f>
        <v>0</v>
      </c>
      <c r="P328" s="14" t="n">
        <f aca="false">IF(NOT(U328),0,IF(K328="Sick Leave",W328,IF(K328="Partial Sick Leave",IF(AND(ISNUMBER(H328),ISNUMBER(I328)),MAX(0,(I328-H328)*24),0),0)))</f>
        <v>0</v>
      </c>
      <c r="Q328" s="14" t="n">
        <f aca="false">IF(NOT(U328),0,IF(K328="Vacation",IF(C328="Eve",Settings!$B$11,1),IF(K328="Partial Vacation",O328/Settings!$B$9,0)))</f>
        <v>0</v>
      </c>
      <c r="R328" s="14" t="n">
        <f aca="false">IF(NOT(U328),0,IF(K328="Sick Leave",1,IF(K328="Partial Sick Leave",P328/Settings!$B$9,0)))</f>
        <v>0</v>
      </c>
      <c r="S328" s="35" t="str">
        <f aca="false">IF(AND(OR(E328="Vacation",E328="Sick Leave",E328="Partial Vacation",E328="Partial Sick Leave"),NOT(U328)),"Leave not allowed on this day",IF(AND(E328="Manual Work",OR(NOT(ISNUMBER(F328)),NOT(ISNUMBER(G328)))),"Enter start and end",IF(AND(OR(E328="Partial Vacation",E328="Partial Sick Leave"),OR(NOT(ISNUMBER(H328)),NOT(ISNUMBER(I328)))),"Enter leave from and to",IF(AND(ISNUMBER(F328),ISNUMBER(G328),G328&lt;=F328),"End is before start",IF(AND(ISNUMBER(H328),ISNUMBER(I328),I328&lt;=H328),"Leave end is before start",IF(AND(ISNUMBER(F328),ISNUMBER(G328),ISNUMBER(H328),ISNUMBER(I328),F328&lt;I328,H328&lt;G328),"Work and leave hours overlap",IF(AND(E328&lt;&gt;"",WEEKDAY(A328)=7),"Saturday - administrator only","")))))))</f>
        <v/>
      </c>
      <c r="T328" s="36" t="n">
        <f aca="false">MONTH(A328)</f>
        <v>11</v>
      </c>
      <c r="U328" s="37" t="b">
        <f aca="false">OR(C328="Workday",C328="Eve")</f>
        <v>1</v>
      </c>
      <c r="V328" s="34" t="n">
        <f aca="false">IF(C328="Eve",Settings!$B$8,Settings!$B$7)</f>
        <v>0.6875</v>
      </c>
      <c r="W328" s="14" t="n">
        <f aca="false">IF(U328,(V328-Settings!$B$6)*24,0)</f>
        <v>8.5</v>
      </c>
    </row>
    <row r="329" customFormat="false" ht="15" hidden="false" customHeight="false" outlineLevel="0" collapsed="false">
      <c r="A329" s="29" t="n">
        <v>46345</v>
      </c>
      <c r="B329" s="30" t="str">
        <f aca="false">CHOOSE(WEEKDAY(A329),"Sun","Mon","Tue","Wed","Thu","Fri","Sat")</f>
        <v>Thu</v>
      </c>
      <c r="C329" s="30" t="str">
        <f aca="false">IF(IFERROR(INDEX(Holidays!$D$5:$D$60,MATCH(A329,Holidays!$A$5:$A$60,0)),"")="Holiday","Holiday",IF(WEEKDAY(A329)&gt;=6,"Weekend",IF(IFERROR(INDEX(Holidays!$D$5:$D$60,MATCH(A329,Holidays!$A$5:$A$60,0)),"")="Eve","Eve","Workday")))</f>
        <v>Workday</v>
      </c>
      <c r="D329" s="18" t="str">
        <f aca="false">IFERROR(INDEX(Holidays!$C$5:$C$60,MATCH(A329,Holidays!$A$5:$A$60,0)),"")</f>
        <v/>
      </c>
      <c r="E329" s="31"/>
      <c r="F329" s="32"/>
      <c r="G329" s="32"/>
      <c r="H329" s="32"/>
      <c r="I329" s="32"/>
      <c r="J329" s="31"/>
      <c r="K329" s="33" t="str">
        <f aca="false">IF(E329&lt;&gt;"",E329,IF(U329,"Present",IF(C329="Holiday","Holiday","Weekend")))</f>
        <v>Present</v>
      </c>
      <c r="L329" s="34" t="n">
        <f aca="false">IF(OR(K329="Present",K329="Manual Work",K329="Partial Vacation",K329="Partial Sick Leave"),IF(ISNUMBER(F329),F329,IF(AND(K329="Present",U329),Settings!$B$6,"")),"")</f>
        <v>0.333333333333333</v>
      </c>
      <c r="M329" s="34" t="n">
        <f aca="false">IF(OR(K329="Present",K329="Manual Work",K329="Partial Vacation",K329="Partial Sick Leave"),IF(ISNUMBER(G329),G329,IF(AND(K329="Present",U329),V329,"")),"")</f>
        <v>0.6875</v>
      </c>
      <c r="N329" s="14" t="n">
        <f aca="false">IF(AND(ISNUMBER(L329),ISNUMBER(M329)),MAX(0,(M329-L329)*24),0)</f>
        <v>8.5</v>
      </c>
      <c r="O329" s="14" t="n">
        <f aca="false">IF(NOT(U329),0,IF(K329="Vacation",IF(C329="Eve",Settings!$B$9*Settings!$B$11,W329),IF(K329="Partial Vacation",IF(AND(ISNUMBER(H329),ISNUMBER(I329)),MAX(0,(I329-H329)*24),0),0)))</f>
        <v>0</v>
      </c>
      <c r="P329" s="14" t="n">
        <f aca="false">IF(NOT(U329),0,IF(K329="Sick Leave",W329,IF(K329="Partial Sick Leave",IF(AND(ISNUMBER(H329),ISNUMBER(I329)),MAX(0,(I329-H329)*24),0),0)))</f>
        <v>0</v>
      </c>
      <c r="Q329" s="14" t="n">
        <f aca="false">IF(NOT(U329),0,IF(K329="Vacation",IF(C329="Eve",Settings!$B$11,1),IF(K329="Partial Vacation",O329/Settings!$B$9,0)))</f>
        <v>0</v>
      </c>
      <c r="R329" s="14" t="n">
        <f aca="false">IF(NOT(U329),0,IF(K329="Sick Leave",1,IF(K329="Partial Sick Leave",P329/Settings!$B$9,0)))</f>
        <v>0</v>
      </c>
      <c r="S329" s="35" t="str">
        <f aca="false">IF(AND(OR(E329="Vacation",E329="Sick Leave",E329="Partial Vacation",E329="Partial Sick Leave"),NOT(U329)),"Leave not allowed on this day",IF(AND(E329="Manual Work",OR(NOT(ISNUMBER(F329)),NOT(ISNUMBER(G329)))),"Enter start and end",IF(AND(OR(E329="Partial Vacation",E329="Partial Sick Leave"),OR(NOT(ISNUMBER(H329)),NOT(ISNUMBER(I329)))),"Enter leave from and to",IF(AND(ISNUMBER(F329),ISNUMBER(G329),G329&lt;=F329),"End is before start",IF(AND(ISNUMBER(H329),ISNUMBER(I329),I329&lt;=H329),"Leave end is before start",IF(AND(ISNUMBER(F329),ISNUMBER(G329),ISNUMBER(H329),ISNUMBER(I329),F329&lt;I329,H329&lt;G329),"Work and leave hours overlap",IF(AND(E329&lt;&gt;"",WEEKDAY(A329)=7),"Saturday - administrator only","")))))))</f>
        <v/>
      </c>
      <c r="T329" s="36" t="n">
        <f aca="false">MONTH(A329)</f>
        <v>11</v>
      </c>
      <c r="U329" s="37" t="b">
        <f aca="false">OR(C329="Workday",C329="Eve")</f>
        <v>1</v>
      </c>
      <c r="V329" s="34" t="n">
        <f aca="false">IF(C329="Eve",Settings!$B$8,Settings!$B$7)</f>
        <v>0.6875</v>
      </c>
      <c r="W329" s="14" t="n">
        <f aca="false">IF(U329,(V329-Settings!$B$6)*24,0)</f>
        <v>8.5</v>
      </c>
    </row>
    <row r="330" customFormat="false" ht="15" hidden="false" customHeight="false" outlineLevel="0" collapsed="false">
      <c r="A330" s="29" t="n">
        <v>46346</v>
      </c>
      <c r="B330" s="30" t="str">
        <f aca="false">CHOOSE(WEEKDAY(A330),"Sun","Mon","Tue","Wed","Thu","Fri","Sat")</f>
        <v>Fri</v>
      </c>
      <c r="C330" s="30" t="str">
        <f aca="false">IF(IFERROR(INDEX(Holidays!$D$5:$D$60,MATCH(A330,Holidays!$A$5:$A$60,0)),"")="Holiday","Holiday",IF(WEEKDAY(A330)&gt;=6,"Weekend",IF(IFERROR(INDEX(Holidays!$D$5:$D$60,MATCH(A330,Holidays!$A$5:$A$60,0)),"")="Eve","Eve","Workday")))</f>
        <v>Weekend</v>
      </c>
      <c r="D330" s="18" t="str">
        <f aca="false">IFERROR(INDEX(Holidays!$C$5:$C$60,MATCH(A330,Holidays!$A$5:$A$60,0)),"")</f>
        <v/>
      </c>
      <c r="E330" s="31"/>
      <c r="F330" s="32"/>
      <c r="G330" s="32"/>
      <c r="H330" s="32"/>
      <c r="I330" s="32"/>
      <c r="J330" s="31"/>
      <c r="K330" s="33" t="str">
        <f aca="false">IF(E330&lt;&gt;"",E330,IF(U330,"Present",IF(C330="Holiday","Holiday","Weekend")))</f>
        <v>Weekend</v>
      </c>
      <c r="L330" s="34" t="str">
        <f aca="false">IF(OR(K330="Present",K330="Manual Work",K330="Partial Vacation",K330="Partial Sick Leave"),IF(ISNUMBER(F330),F330,IF(AND(K330="Present",U330),Settings!$B$6,"")),"")</f>
        <v/>
      </c>
      <c r="M330" s="34" t="str">
        <f aca="false">IF(OR(K330="Present",K330="Manual Work",K330="Partial Vacation",K330="Partial Sick Leave"),IF(ISNUMBER(G330),G330,IF(AND(K330="Present",U330),V330,"")),"")</f>
        <v/>
      </c>
      <c r="N330" s="14" t="n">
        <f aca="false">IF(AND(ISNUMBER(L330),ISNUMBER(M330)),MAX(0,(M330-L330)*24),0)</f>
        <v>0</v>
      </c>
      <c r="O330" s="14" t="n">
        <f aca="false">IF(NOT(U330),0,IF(K330="Vacation",IF(C330="Eve",Settings!$B$9*Settings!$B$11,W330),IF(K330="Partial Vacation",IF(AND(ISNUMBER(H330),ISNUMBER(I330)),MAX(0,(I330-H330)*24),0),0)))</f>
        <v>0</v>
      </c>
      <c r="P330" s="14" t="n">
        <f aca="false">IF(NOT(U330),0,IF(K330="Sick Leave",W330,IF(K330="Partial Sick Leave",IF(AND(ISNUMBER(H330),ISNUMBER(I330)),MAX(0,(I330-H330)*24),0),0)))</f>
        <v>0</v>
      </c>
      <c r="Q330" s="14" t="n">
        <f aca="false">IF(NOT(U330),0,IF(K330="Vacation",IF(C330="Eve",Settings!$B$11,1),IF(K330="Partial Vacation",O330/Settings!$B$9,0)))</f>
        <v>0</v>
      </c>
      <c r="R330" s="14" t="n">
        <f aca="false">IF(NOT(U330),0,IF(K330="Sick Leave",1,IF(K330="Partial Sick Leave",P330/Settings!$B$9,0)))</f>
        <v>0</v>
      </c>
      <c r="S330" s="35" t="str">
        <f aca="false">IF(AND(OR(E330="Vacation",E330="Sick Leave",E330="Partial Vacation",E330="Partial Sick Leave"),NOT(U330)),"Leave not allowed on this day",IF(AND(E330="Manual Work",OR(NOT(ISNUMBER(F330)),NOT(ISNUMBER(G330)))),"Enter start and end",IF(AND(OR(E330="Partial Vacation",E330="Partial Sick Leave"),OR(NOT(ISNUMBER(H330)),NOT(ISNUMBER(I330)))),"Enter leave from and to",IF(AND(ISNUMBER(F330),ISNUMBER(G330),G330&lt;=F330),"End is before start",IF(AND(ISNUMBER(H330),ISNUMBER(I330),I330&lt;=H330),"Leave end is before start",IF(AND(ISNUMBER(F330),ISNUMBER(G330),ISNUMBER(H330),ISNUMBER(I330),F330&lt;I330,H330&lt;G330),"Work and leave hours overlap",IF(AND(E330&lt;&gt;"",WEEKDAY(A330)=7),"Saturday - administrator only","")))))))</f>
        <v/>
      </c>
      <c r="T330" s="36" t="n">
        <f aca="false">MONTH(A330)</f>
        <v>11</v>
      </c>
      <c r="U330" s="37" t="b">
        <f aca="false">OR(C330="Workday",C330="Eve")</f>
        <v>0</v>
      </c>
      <c r="V330" s="34" t="n">
        <f aca="false">IF(C330="Eve",Settings!$B$8,Settings!$B$7)</f>
        <v>0.6875</v>
      </c>
      <c r="W330" s="14" t="n">
        <f aca="false">IF(U330,(V330-Settings!$B$6)*24,0)</f>
        <v>0</v>
      </c>
    </row>
    <row r="331" customFormat="false" ht="15" hidden="false" customHeight="false" outlineLevel="0" collapsed="false">
      <c r="A331" s="29" t="n">
        <v>46347</v>
      </c>
      <c r="B331" s="30" t="str">
        <f aca="false">CHOOSE(WEEKDAY(A331),"Sun","Mon","Tue","Wed","Thu","Fri","Sat")</f>
        <v>Sat</v>
      </c>
      <c r="C331" s="30" t="str">
        <f aca="false">IF(IFERROR(INDEX(Holidays!$D$5:$D$60,MATCH(A331,Holidays!$A$5:$A$60,0)),"")="Holiday","Holiday",IF(WEEKDAY(A331)&gt;=6,"Weekend",IF(IFERROR(INDEX(Holidays!$D$5:$D$60,MATCH(A331,Holidays!$A$5:$A$60,0)),"")="Eve","Eve","Workday")))</f>
        <v>Weekend</v>
      </c>
      <c r="D331" s="18" t="str">
        <f aca="false">IFERROR(INDEX(Holidays!$C$5:$C$60,MATCH(A331,Holidays!$A$5:$A$60,0)),"")</f>
        <v/>
      </c>
      <c r="E331" s="31"/>
      <c r="F331" s="32"/>
      <c r="G331" s="32"/>
      <c r="H331" s="32"/>
      <c r="I331" s="32"/>
      <c r="J331" s="31"/>
      <c r="K331" s="33" t="str">
        <f aca="false">IF(E331&lt;&gt;"",E331,IF(U331,"Present",IF(C331="Holiday","Holiday","Weekend")))</f>
        <v>Weekend</v>
      </c>
      <c r="L331" s="34" t="str">
        <f aca="false">IF(OR(K331="Present",K331="Manual Work",K331="Partial Vacation",K331="Partial Sick Leave"),IF(ISNUMBER(F331),F331,IF(AND(K331="Present",U331),Settings!$B$6,"")),"")</f>
        <v/>
      </c>
      <c r="M331" s="34" t="str">
        <f aca="false">IF(OR(K331="Present",K331="Manual Work",K331="Partial Vacation",K331="Partial Sick Leave"),IF(ISNUMBER(G331),G331,IF(AND(K331="Present",U331),V331,"")),"")</f>
        <v/>
      </c>
      <c r="N331" s="14" t="n">
        <f aca="false">IF(AND(ISNUMBER(L331),ISNUMBER(M331)),MAX(0,(M331-L331)*24),0)</f>
        <v>0</v>
      </c>
      <c r="O331" s="14" t="n">
        <f aca="false">IF(NOT(U331),0,IF(K331="Vacation",IF(C331="Eve",Settings!$B$9*Settings!$B$11,W331),IF(K331="Partial Vacation",IF(AND(ISNUMBER(H331),ISNUMBER(I331)),MAX(0,(I331-H331)*24),0),0)))</f>
        <v>0</v>
      </c>
      <c r="P331" s="14" t="n">
        <f aca="false">IF(NOT(U331),0,IF(K331="Sick Leave",W331,IF(K331="Partial Sick Leave",IF(AND(ISNUMBER(H331),ISNUMBER(I331)),MAX(0,(I331-H331)*24),0),0)))</f>
        <v>0</v>
      </c>
      <c r="Q331" s="14" t="n">
        <f aca="false">IF(NOT(U331),0,IF(K331="Vacation",IF(C331="Eve",Settings!$B$11,1),IF(K331="Partial Vacation",O331/Settings!$B$9,0)))</f>
        <v>0</v>
      </c>
      <c r="R331" s="14" t="n">
        <f aca="false">IF(NOT(U331),0,IF(K331="Sick Leave",1,IF(K331="Partial Sick Leave",P331/Settings!$B$9,0)))</f>
        <v>0</v>
      </c>
      <c r="S331" s="35" t="str">
        <f aca="false">IF(AND(OR(E331="Vacation",E331="Sick Leave",E331="Partial Vacation",E331="Partial Sick Leave"),NOT(U331)),"Leave not allowed on this day",IF(AND(E331="Manual Work",OR(NOT(ISNUMBER(F331)),NOT(ISNUMBER(G331)))),"Enter start and end",IF(AND(OR(E331="Partial Vacation",E331="Partial Sick Leave"),OR(NOT(ISNUMBER(H331)),NOT(ISNUMBER(I331)))),"Enter leave from and to",IF(AND(ISNUMBER(F331),ISNUMBER(G331),G331&lt;=F331),"End is before start",IF(AND(ISNUMBER(H331),ISNUMBER(I331),I331&lt;=H331),"Leave end is before start",IF(AND(ISNUMBER(F331),ISNUMBER(G331),ISNUMBER(H331),ISNUMBER(I331),F331&lt;I331,H331&lt;G331),"Work and leave hours overlap",IF(AND(E331&lt;&gt;"",WEEKDAY(A331)=7),"Saturday - administrator only","")))))))</f>
        <v/>
      </c>
      <c r="T331" s="36" t="n">
        <f aca="false">MONTH(A331)</f>
        <v>11</v>
      </c>
      <c r="U331" s="37" t="b">
        <f aca="false">OR(C331="Workday",C331="Eve")</f>
        <v>0</v>
      </c>
      <c r="V331" s="34" t="n">
        <f aca="false">IF(C331="Eve",Settings!$B$8,Settings!$B$7)</f>
        <v>0.6875</v>
      </c>
      <c r="W331" s="14" t="n">
        <f aca="false">IF(U331,(V331-Settings!$B$6)*24,0)</f>
        <v>0</v>
      </c>
    </row>
    <row r="332" customFormat="false" ht="15" hidden="false" customHeight="false" outlineLevel="0" collapsed="false">
      <c r="A332" s="29" t="n">
        <v>46348</v>
      </c>
      <c r="B332" s="30" t="str">
        <f aca="false">CHOOSE(WEEKDAY(A332),"Sun","Mon","Tue","Wed","Thu","Fri","Sat")</f>
        <v>Sun</v>
      </c>
      <c r="C332" s="30" t="str">
        <f aca="false">IF(IFERROR(INDEX(Holidays!$D$5:$D$60,MATCH(A332,Holidays!$A$5:$A$60,0)),"")="Holiday","Holiday",IF(WEEKDAY(A332)&gt;=6,"Weekend",IF(IFERROR(INDEX(Holidays!$D$5:$D$60,MATCH(A332,Holidays!$A$5:$A$60,0)),"")="Eve","Eve","Workday")))</f>
        <v>Workday</v>
      </c>
      <c r="D332" s="18" t="str">
        <f aca="false">IFERROR(INDEX(Holidays!$C$5:$C$60,MATCH(A332,Holidays!$A$5:$A$60,0)),"")</f>
        <v/>
      </c>
      <c r="E332" s="31"/>
      <c r="F332" s="32"/>
      <c r="G332" s="32"/>
      <c r="H332" s="32"/>
      <c r="I332" s="32"/>
      <c r="J332" s="31"/>
      <c r="K332" s="33" t="str">
        <f aca="false">IF(E332&lt;&gt;"",E332,IF(U332,"Present",IF(C332="Holiday","Holiday","Weekend")))</f>
        <v>Present</v>
      </c>
      <c r="L332" s="34" t="n">
        <f aca="false">IF(OR(K332="Present",K332="Manual Work",K332="Partial Vacation",K332="Partial Sick Leave"),IF(ISNUMBER(F332),F332,IF(AND(K332="Present",U332),Settings!$B$6,"")),"")</f>
        <v>0.333333333333333</v>
      </c>
      <c r="M332" s="34" t="n">
        <f aca="false">IF(OR(K332="Present",K332="Manual Work",K332="Partial Vacation",K332="Partial Sick Leave"),IF(ISNUMBER(G332),G332,IF(AND(K332="Present",U332),V332,"")),"")</f>
        <v>0.6875</v>
      </c>
      <c r="N332" s="14" t="n">
        <f aca="false">IF(AND(ISNUMBER(L332),ISNUMBER(M332)),MAX(0,(M332-L332)*24),0)</f>
        <v>8.5</v>
      </c>
      <c r="O332" s="14" t="n">
        <f aca="false">IF(NOT(U332),0,IF(K332="Vacation",IF(C332="Eve",Settings!$B$9*Settings!$B$11,W332),IF(K332="Partial Vacation",IF(AND(ISNUMBER(H332),ISNUMBER(I332)),MAX(0,(I332-H332)*24),0),0)))</f>
        <v>0</v>
      </c>
      <c r="P332" s="14" t="n">
        <f aca="false">IF(NOT(U332),0,IF(K332="Sick Leave",W332,IF(K332="Partial Sick Leave",IF(AND(ISNUMBER(H332),ISNUMBER(I332)),MAX(0,(I332-H332)*24),0),0)))</f>
        <v>0</v>
      </c>
      <c r="Q332" s="14" t="n">
        <f aca="false">IF(NOT(U332),0,IF(K332="Vacation",IF(C332="Eve",Settings!$B$11,1),IF(K332="Partial Vacation",O332/Settings!$B$9,0)))</f>
        <v>0</v>
      </c>
      <c r="R332" s="14" t="n">
        <f aca="false">IF(NOT(U332),0,IF(K332="Sick Leave",1,IF(K332="Partial Sick Leave",P332/Settings!$B$9,0)))</f>
        <v>0</v>
      </c>
      <c r="S332" s="35" t="str">
        <f aca="false">IF(AND(OR(E332="Vacation",E332="Sick Leave",E332="Partial Vacation",E332="Partial Sick Leave"),NOT(U332)),"Leave not allowed on this day",IF(AND(E332="Manual Work",OR(NOT(ISNUMBER(F332)),NOT(ISNUMBER(G332)))),"Enter start and end",IF(AND(OR(E332="Partial Vacation",E332="Partial Sick Leave"),OR(NOT(ISNUMBER(H332)),NOT(ISNUMBER(I332)))),"Enter leave from and to",IF(AND(ISNUMBER(F332),ISNUMBER(G332),G332&lt;=F332),"End is before start",IF(AND(ISNUMBER(H332),ISNUMBER(I332),I332&lt;=H332),"Leave end is before start",IF(AND(ISNUMBER(F332),ISNUMBER(G332),ISNUMBER(H332),ISNUMBER(I332),F332&lt;I332,H332&lt;G332),"Work and leave hours overlap",IF(AND(E332&lt;&gt;"",WEEKDAY(A332)=7),"Saturday - administrator only","")))))))</f>
        <v/>
      </c>
      <c r="T332" s="36" t="n">
        <f aca="false">MONTH(A332)</f>
        <v>11</v>
      </c>
      <c r="U332" s="37" t="b">
        <f aca="false">OR(C332="Workday",C332="Eve")</f>
        <v>1</v>
      </c>
      <c r="V332" s="34" t="n">
        <f aca="false">IF(C332="Eve",Settings!$B$8,Settings!$B$7)</f>
        <v>0.6875</v>
      </c>
      <c r="W332" s="14" t="n">
        <f aca="false">IF(U332,(V332-Settings!$B$6)*24,0)</f>
        <v>8.5</v>
      </c>
    </row>
    <row r="333" customFormat="false" ht="15" hidden="false" customHeight="false" outlineLevel="0" collapsed="false">
      <c r="A333" s="29" t="n">
        <v>46349</v>
      </c>
      <c r="B333" s="30" t="str">
        <f aca="false">CHOOSE(WEEKDAY(A333),"Sun","Mon","Tue","Wed","Thu","Fri","Sat")</f>
        <v>Mon</v>
      </c>
      <c r="C333" s="30" t="str">
        <f aca="false">IF(IFERROR(INDEX(Holidays!$D$5:$D$60,MATCH(A333,Holidays!$A$5:$A$60,0)),"")="Holiday","Holiday",IF(WEEKDAY(A333)&gt;=6,"Weekend",IF(IFERROR(INDEX(Holidays!$D$5:$D$60,MATCH(A333,Holidays!$A$5:$A$60,0)),"")="Eve","Eve","Workday")))</f>
        <v>Workday</v>
      </c>
      <c r="D333" s="18" t="str">
        <f aca="false">IFERROR(INDEX(Holidays!$C$5:$C$60,MATCH(A333,Holidays!$A$5:$A$60,0)),"")</f>
        <v/>
      </c>
      <c r="E333" s="31"/>
      <c r="F333" s="32"/>
      <c r="G333" s="32"/>
      <c r="H333" s="32"/>
      <c r="I333" s="32"/>
      <c r="J333" s="31"/>
      <c r="K333" s="33" t="str">
        <f aca="false">IF(E333&lt;&gt;"",E333,IF(U333,"Present",IF(C333="Holiday","Holiday","Weekend")))</f>
        <v>Present</v>
      </c>
      <c r="L333" s="34" t="n">
        <f aca="false">IF(OR(K333="Present",K333="Manual Work",K333="Partial Vacation",K333="Partial Sick Leave"),IF(ISNUMBER(F333),F333,IF(AND(K333="Present",U333),Settings!$B$6,"")),"")</f>
        <v>0.333333333333333</v>
      </c>
      <c r="M333" s="34" t="n">
        <f aca="false">IF(OR(K333="Present",K333="Manual Work",K333="Partial Vacation",K333="Partial Sick Leave"),IF(ISNUMBER(G333),G333,IF(AND(K333="Present",U333),V333,"")),"")</f>
        <v>0.6875</v>
      </c>
      <c r="N333" s="14" t="n">
        <f aca="false">IF(AND(ISNUMBER(L333),ISNUMBER(M333)),MAX(0,(M333-L333)*24),0)</f>
        <v>8.5</v>
      </c>
      <c r="O333" s="14" t="n">
        <f aca="false">IF(NOT(U333),0,IF(K333="Vacation",IF(C333="Eve",Settings!$B$9*Settings!$B$11,W333),IF(K333="Partial Vacation",IF(AND(ISNUMBER(H333),ISNUMBER(I333)),MAX(0,(I333-H333)*24),0),0)))</f>
        <v>0</v>
      </c>
      <c r="P333" s="14" t="n">
        <f aca="false">IF(NOT(U333),0,IF(K333="Sick Leave",W333,IF(K333="Partial Sick Leave",IF(AND(ISNUMBER(H333),ISNUMBER(I333)),MAX(0,(I333-H333)*24),0),0)))</f>
        <v>0</v>
      </c>
      <c r="Q333" s="14" t="n">
        <f aca="false">IF(NOT(U333),0,IF(K333="Vacation",IF(C333="Eve",Settings!$B$11,1),IF(K333="Partial Vacation",O333/Settings!$B$9,0)))</f>
        <v>0</v>
      </c>
      <c r="R333" s="14" t="n">
        <f aca="false">IF(NOT(U333),0,IF(K333="Sick Leave",1,IF(K333="Partial Sick Leave",P333/Settings!$B$9,0)))</f>
        <v>0</v>
      </c>
      <c r="S333" s="35" t="str">
        <f aca="false">IF(AND(OR(E333="Vacation",E333="Sick Leave",E333="Partial Vacation",E333="Partial Sick Leave"),NOT(U333)),"Leave not allowed on this day",IF(AND(E333="Manual Work",OR(NOT(ISNUMBER(F333)),NOT(ISNUMBER(G333)))),"Enter start and end",IF(AND(OR(E333="Partial Vacation",E333="Partial Sick Leave"),OR(NOT(ISNUMBER(H333)),NOT(ISNUMBER(I333)))),"Enter leave from and to",IF(AND(ISNUMBER(F333),ISNUMBER(G333),G333&lt;=F333),"End is before start",IF(AND(ISNUMBER(H333),ISNUMBER(I333),I333&lt;=H333),"Leave end is before start",IF(AND(ISNUMBER(F333),ISNUMBER(G333),ISNUMBER(H333),ISNUMBER(I333),F333&lt;I333,H333&lt;G333),"Work and leave hours overlap",IF(AND(E333&lt;&gt;"",WEEKDAY(A333)=7),"Saturday - administrator only","")))))))</f>
        <v/>
      </c>
      <c r="T333" s="36" t="n">
        <f aca="false">MONTH(A333)</f>
        <v>11</v>
      </c>
      <c r="U333" s="37" t="b">
        <f aca="false">OR(C333="Workday",C333="Eve")</f>
        <v>1</v>
      </c>
      <c r="V333" s="34" t="n">
        <f aca="false">IF(C333="Eve",Settings!$B$8,Settings!$B$7)</f>
        <v>0.6875</v>
      </c>
      <c r="W333" s="14" t="n">
        <f aca="false">IF(U333,(V333-Settings!$B$6)*24,0)</f>
        <v>8.5</v>
      </c>
    </row>
    <row r="334" customFormat="false" ht="15" hidden="false" customHeight="false" outlineLevel="0" collapsed="false">
      <c r="A334" s="29" t="n">
        <v>46350</v>
      </c>
      <c r="B334" s="30" t="str">
        <f aca="false">CHOOSE(WEEKDAY(A334),"Sun","Mon","Tue","Wed","Thu","Fri","Sat")</f>
        <v>Tue</v>
      </c>
      <c r="C334" s="30" t="str">
        <f aca="false">IF(IFERROR(INDEX(Holidays!$D$5:$D$60,MATCH(A334,Holidays!$A$5:$A$60,0)),"")="Holiday","Holiday",IF(WEEKDAY(A334)&gt;=6,"Weekend",IF(IFERROR(INDEX(Holidays!$D$5:$D$60,MATCH(A334,Holidays!$A$5:$A$60,0)),"")="Eve","Eve","Workday")))</f>
        <v>Workday</v>
      </c>
      <c r="D334" s="18" t="str">
        <f aca="false">IFERROR(INDEX(Holidays!$C$5:$C$60,MATCH(A334,Holidays!$A$5:$A$60,0)),"")</f>
        <v/>
      </c>
      <c r="E334" s="31"/>
      <c r="F334" s="32"/>
      <c r="G334" s="32"/>
      <c r="H334" s="32"/>
      <c r="I334" s="32"/>
      <c r="J334" s="31"/>
      <c r="K334" s="33" t="str">
        <f aca="false">IF(E334&lt;&gt;"",E334,IF(U334,"Present",IF(C334="Holiday","Holiday","Weekend")))</f>
        <v>Present</v>
      </c>
      <c r="L334" s="34" t="n">
        <f aca="false">IF(OR(K334="Present",K334="Manual Work",K334="Partial Vacation",K334="Partial Sick Leave"),IF(ISNUMBER(F334),F334,IF(AND(K334="Present",U334),Settings!$B$6,"")),"")</f>
        <v>0.333333333333333</v>
      </c>
      <c r="M334" s="34" t="n">
        <f aca="false">IF(OR(K334="Present",K334="Manual Work",K334="Partial Vacation",K334="Partial Sick Leave"),IF(ISNUMBER(G334),G334,IF(AND(K334="Present",U334),V334,"")),"")</f>
        <v>0.6875</v>
      </c>
      <c r="N334" s="14" t="n">
        <f aca="false">IF(AND(ISNUMBER(L334),ISNUMBER(M334)),MAX(0,(M334-L334)*24),0)</f>
        <v>8.5</v>
      </c>
      <c r="O334" s="14" t="n">
        <f aca="false">IF(NOT(U334),0,IF(K334="Vacation",IF(C334="Eve",Settings!$B$9*Settings!$B$11,W334),IF(K334="Partial Vacation",IF(AND(ISNUMBER(H334),ISNUMBER(I334)),MAX(0,(I334-H334)*24),0),0)))</f>
        <v>0</v>
      </c>
      <c r="P334" s="14" t="n">
        <f aca="false">IF(NOT(U334),0,IF(K334="Sick Leave",W334,IF(K334="Partial Sick Leave",IF(AND(ISNUMBER(H334),ISNUMBER(I334)),MAX(0,(I334-H334)*24),0),0)))</f>
        <v>0</v>
      </c>
      <c r="Q334" s="14" t="n">
        <f aca="false">IF(NOT(U334),0,IF(K334="Vacation",IF(C334="Eve",Settings!$B$11,1),IF(K334="Partial Vacation",O334/Settings!$B$9,0)))</f>
        <v>0</v>
      </c>
      <c r="R334" s="14" t="n">
        <f aca="false">IF(NOT(U334),0,IF(K334="Sick Leave",1,IF(K334="Partial Sick Leave",P334/Settings!$B$9,0)))</f>
        <v>0</v>
      </c>
      <c r="S334" s="35" t="str">
        <f aca="false">IF(AND(OR(E334="Vacation",E334="Sick Leave",E334="Partial Vacation",E334="Partial Sick Leave"),NOT(U334)),"Leave not allowed on this day",IF(AND(E334="Manual Work",OR(NOT(ISNUMBER(F334)),NOT(ISNUMBER(G334)))),"Enter start and end",IF(AND(OR(E334="Partial Vacation",E334="Partial Sick Leave"),OR(NOT(ISNUMBER(H334)),NOT(ISNUMBER(I334)))),"Enter leave from and to",IF(AND(ISNUMBER(F334),ISNUMBER(G334),G334&lt;=F334),"End is before start",IF(AND(ISNUMBER(H334),ISNUMBER(I334),I334&lt;=H334),"Leave end is before start",IF(AND(ISNUMBER(F334),ISNUMBER(G334),ISNUMBER(H334),ISNUMBER(I334),F334&lt;I334,H334&lt;G334),"Work and leave hours overlap",IF(AND(E334&lt;&gt;"",WEEKDAY(A334)=7),"Saturday - administrator only","")))))))</f>
        <v/>
      </c>
      <c r="T334" s="36" t="n">
        <f aca="false">MONTH(A334)</f>
        <v>11</v>
      </c>
      <c r="U334" s="37" t="b">
        <f aca="false">OR(C334="Workday",C334="Eve")</f>
        <v>1</v>
      </c>
      <c r="V334" s="34" t="n">
        <f aca="false">IF(C334="Eve",Settings!$B$8,Settings!$B$7)</f>
        <v>0.6875</v>
      </c>
      <c r="W334" s="14" t="n">
        <f aca="false">IF(U334,(V334-Settings!$B$6)*24,0)</f>
        <v>8.5</v>
      </c>
    </row>
    <row r="335" customFormat="false" ht="15" hidden="false" customHeight="false" outlineLevel="0" collapsed="false">
      <c r="A335" s="29" t="n">
        <v>46351</v>
      </c>
      <c r="B335" s="30" t="str">
        <f aca="false">CHOOSE(WEEKDAY(A335),"Sun","Mon","Tue","Wed","Thu","Fri","Sat")</f>
        <v>Wed</v>
      </c>
      <c r="C335" s="30" t="str">
        <f aca="false">IF(IFERROR(INDEX(Holidays!$D$5:$D$60,MATCH(A335,Holidays!$A$5:$A$60,0)),"")="Holiday","Holiday",IF(WEEKDAY(A335)&gt;=6,"Weekend",IF(IFERROR(INDEX(Holidays!$D$5:$D$60,MATCH(A335,Holidays!$A$5:$A$60,0)),"")="Eve","Eve","Workday")))</f>
        <v>Workday</v>
      </c>
      <c r="D335" s="18" t="str">
        <f aca="false">IFERROR(INDEX(Holidays!$C$5:$C$60,MATCH(A335,Holidays!$A$5:$A$60,0)),"")</f>
        <v/>
      </c>
      <c r="E335" s="31"/>
      <c r="F335" s="32"/>
      <c r="G335" s="32"/>
      <c r="H335" s="32"/>
      <c r="I335" s="32"/>
      <c r="J335" s="31"/>
      <c r="K335" s="33" t="str">
        <f aca="false">IF(E335&lt;&gt;"",E335,IF(U335,"Present",IF(C335="Holiday","Holiday","Weekend")))</f>
        <v>Present</v>
      </c>
      <c r="L335" s="34" t="n">
        <f aca="false">IF(OR(K335="Present",K335="Manual Work",K335="Partial Vacation",K335="Partial Sick Leave"),IF(ISNUMBER(F335),F335,IF(AND(K335="Present",U335),Settings!$B$6,"")),"")</f>
        <v>0.333333333333333</v>
      </c>
      <c r="M335" s="34" t="n">
        <f aca="false">IF(OR(K335="Present",K335="Manual Work",K335="Partial Vacation",K335="Partial Sick Leave"),IF(ISNUMBER(G335),G335,IF(AND(K335="Present",U335),V335,"")),"")</f>
        <v>0.6875</v>
      </c>
      <c r="N335" s="14" t="n">
        <f aca="false">IF(AND(ISNUMBER(L335),ISNUMBER(M335)),MAX(0,(M335-L335)*24),0)</f>
        <v>8.5</v>
      </c>
      <c r="O335" s="14" t="n">
        <f aca="false">IF(NOT(U335),0,IF(K335="Vacation",IF(C335="Eve",Settings!$B$9*Settings!$B$11,W335),IF(K335="Partial Vacation",IF(AND(ISNUMBER(H335),ISNUMBER(I335)),MAX(0,(I335-H335)*24),0),0)))</f>
        <v>0</v>
      </c>
      <c r="P335" s="14" t="n">
        <f aca="false">IF(NOT(U335),0,IF(K335="Sick Leave",W335,IF(K335="Partial Sick Leave",IF(AND(ISNUMBER(H335),ISNUMBER(I335)),MAX(0,(I335-H335)*24),0),0)))</f>
        <v>0</v>
      </c>
      <c r="Q335" s="14" t="n">
        <f aca="false">IF(NOT(U335),0,IF(K335="Vacation",IF(C335="Eve",Settings!$B$11,1),IF(K335="Partial Vacation",O335/Settings!$B$9,0)))</f>
        <v>0</v>
      </c>
      <c r="R335" s="14" t="n">
        <f aca="false">IF(NOT(U335),0,IF(K335="Sick Leave",1,IF(K335="Partial Sick Leave",P335/Settings!$B$9,0)))</f>
        <v>0</v>
      </c>
      <c r="S335" s="35" t="str">
        <f aca="false">IF(AND(OR(E335="Vacation",E335="Sick Leave",E335="Partial Vacation",E335="Partial Sick Leave"),NOT(U335)),"Leave not allowed on this day",IF(AND(E335="Manual Work",OR(NOT(ISNUMBER(F335)),NOT(ISNUMBER(G335)))),"Enter start and end",IF(AND(OR(E335="Partial Vacation",E335="Partial Sick Leave"),OR(NOT(ISNUMBER(H335)),NOT(ISNUMBER(I335)))),"Enter leave from and to",IF(AND(ISNUMBER(F335),ISNUMBER(G335),G335&lt;=F335),"End is before start",IF(AND(ISNUMBER(H335),ISNUMBER(I335),I335&lt;=H335),"Leave end is before start",IF(AND(ISNUMBER(F335),ISNUMBER(G335),ISNUMBER(H335),ISNUMBER(I335),F335&lt;I335,H335&lt;G335),"Work and leave hours overlap",IF(AND(E335&lt;&gt;"",WEEKDAY(A335)=7),"Saturday - administrator only","")))))))</f>
        <v/>
      </c>
      <c r="T335" s="36" t="n">
        <f aca="false">MONTH(A335)</f>
        <v>11</v>
      </c>
      <c r="U335" s="37" t="b">
        <f aca="false">OR(C335="Workday",C335="Eve")</f>
        <v>1</v>
      </c>
      <c r="V335" s="34" t="n">
        <f aca="false">IF(C335="Eve",Settings!$B$8,Settings!$B$7)</f>
        <v>0.6875</v>
      </c>
      <c r="W335" s="14" t="n">
        <f aca="false">IF(U335,(V335-Settings!$B$6)*24,0)</f>
        <v>8.5</v>
      </c>
    </row>
    <row r="336" customFormat="false" ht="15" hidden="false" customHeight="false" outlineLevel="0" collapsed="false">
      <c r="A336" s="29" t="n">
        <v>46352</v>
      </c>
      <c r="B336" s="30" t="str">
        <f aca="false">CHOOSE(WEEKDAY(A336),"Sun","Mon","Tue","Wed","Thu","Fri","Sat")</f>
        <v>Thu</v>
      </c>
      <c r="C336" s="30" t="str">
        <f aca="false">IF(IFERROR(INDEX(Holidays!$D$5:$D$60,MATCH(A336,Holidays!$A$5:$A$60,0)),"")="Holiday","Holiday",IF(WEEKDAY(A336)&gt;=6,"Weekend",IF(IFERROR(INDEX(Holidays!$D$5:$D$60,MATCH(A336,Holidays!$A$5:$A$60,0)),"")="Eve","Eve","Workday")))</f>
        <v>Workday</v>
      </c>
      <c r="D336" s="18" t="str">
        <f aca="false">IFERROR(INDEX(Holidays!$C$5:$C$60,MATCH(A336,Holidays!$A$5:$A$60,0)),"")</f>
        <v/>
      </c>
      <c r="E336" s="31"/>
      <c r="F336" s="32"/>
      <c r="G336" s="32"/>
      <c r="H336" s="32"/>
      <c r="I336" s="32"/>
      <c r="J336" s="31"/>
      <c r="K336" s="33" t="str">
        <f aca="false">IF(E336&lt;&gt;"",E336,IF(U336,"Present",IF(C336="Holiday","Holiday","Weekend")))</f>
        <v>Present</v>
      </c>
      <c r="L336" s="34" t="n">
        <f aca="false">IF(OR(K336="Present",K336="Manual Work",K336="Partial Vacation",K336="Partial Sick Leave"),IF(ISNUMBER(F336),F336,IF(AND(K336="Present",U336),Settings!$B$6,"")),"")</f>
        <v>0.333333333333333</v>
      </c>
      <c r="M336" s="34" t="n">
        <f aca="false">IF(OR(K336="Present",K336="Manual Work",K336="Partial Vacation",K336="Partial Sick Leave"),IF(ISNUMBER(G336),G336,IF(AND(K336="Present",U336),V336,"")),"")</f>
        <v>0.6875</v>
      </c>
      <c r="N336" s="14" t="n">
        <f aca="false">IF(AND(ISNUMBER(L336),ISNUMBER(M336)),MAX(0,(M336-L336)*24),0)</f>
        <v>8.5</v>
      </c>
      <c r="O336" s="14" t="n">
        <f aca="false">IF(NOT(U336),0,IF(K336="Vacation",IF(C336="Eve",Settings!$B$9*Settings!$B$11,W336),IF(K336="Partial Vacation",IF(AND(ISNUMBER(H336),ISNUMBER(I336)),MAX(0,(I336-H336)*24),0),0)))</f>
        <v>0</v>
      </c>
      <c r="P336" s="14" t="n">
        <f aca="false">IF(NOT(U336),0,IF(K336="Sick Leave",W336,IF(K336="Partial Sick Leave",IF(AND(ISNUMBER(H336),ISNUMBER(I336)),MAX(0,(I336-H336)*24),0),0)))</f>
        <v>0</v>
      </c>
      <c r="Q336" s="14" t="n">
        <f aca="false">IF(NOT(U336),0,IF(K336="Vacation",IF(C336="Eve",Settings!$B$11,1),IF(K336="Partial Vacation",O336/Settings!$B$9,0)))</f>
        <v>0</v>
      </c>
      <c r="R336" s="14" t="n">
        <f aca="false">IF(NOT(U336),0,IF(K336="Sick Leave",1,IF(K336="Partial Sick Leave",P336/Settings!$B$9,0)))</f>
        <v>0</v>
      </c>
      <c r="S336" s="35" t="str">
        <f aca="false">IF(AND(OR(E336="Vacation",E336="Sick Leave",E336="Partial Vacation",E336="Partial Sick Leave"),NOT(U336)),"Leave not allowed on this day",IF(AND(E336="Manual Work",OR(NOT(ISNUMBER(F336)),NOT(ISNUMBER(G336)))),"Enter start and end",IF(AND(OR(E336="Partial Vacation",E336="Partial Sick Leave"),OR(NOT(ISNUMBER(H336)),NOT(ISNUMBER(I336)))),"Enter leave from and to",IF(AND(ISNUMBER(F336),ISNUMBER(G336),G336&lt;=F336),"End is before start",IF(AND(ISNUMBER(H336),ISNUMBER(I336),I336&lt;=H336),"Leave end is before start",IF(AND(ISNUMBER(F336),ISNUMBER(G336),ISNUMBER(H336),ISNUMBER(I336),F336&lt;I336,H336&lt;G336),"Work and leave hours overlap",IF(AND(E336&lt;&gt;"",WEEKDAY(A336)=7),"Saturday - administrator only","")))))))</f>
        <v/>
      </c>
      <c r="T336" s="36" t="n">
        <f aca="false">MONTH(A336)</f>
        <v>11</v>
      </c>
      <c r="U336" s="37" t="b">
        <f aca="false">OR(C336="Workday",C336="Eve")</f>
        <v>1</v>
      </c>
      <c r="V336" s="34" t="n">
        <f aca="false">IF(C336="Eve",Settings!$B$8,Settings!$B$7)</f>
        <v>0.6875</v>
      </c>
      <c r="W336" s="14" t="n">
        <f aca="false">IF(U336,(V336-Settings!$B$6)*24,0)</f>
        <v>8.5</v>
      </c>
    </row>
    <row r="337" customFormat="false" ht="15" hidden="false" customHeight="false" outlineLevel="0" collapsed="false">
      <c r="A337" s="29" t="n">
        <v>46353</v>
      </c>
      <c r="B337" s="30" t="str">
        <f aca="false">CHOOSE(WEEKDAY(A337),"Sun","Mon","Tue","Wed","Thu","Fri","Sat")</f>
        <v>Fri</v>
      </c>
      <c r="C337" s="30" t="str">
        <f aca="false">IF(IFERROR(INDEX(Holidays!$D$5:$D$60,MATCH(A337,Holidays!$A$5:$A$60,0)),"")="Holiday","Holiday",IF(WEEKDAY(A337)&gt;=6,"Weekend",IF(IFERROR(INDEX(Holidays!$D$5:$D$60,MATCH(A337,Holidays!$A$5:$A$60,0)),"")="Eve","Eve","Workday")))</f>
        <v>Weekend</v>
      </c>
      <c r="D337" s="18" t="str">
        <f aca="false">IFERROR(INDEX(Holidays!$C$5:$C$60,MATCH(A337,Holidays!$A$5:$A$60,0)),"")</f>
        <v/>
      </c>
      <c r="E337" s="31"/>
      <c r="F337" s="32"/>
      <c r="G337" s="32"/>
      <c r="H337" s="32"/>
      <c r="I337" s="32"/>
      <c r="J337" s="31"/>
      <c r="K337" s="33" t="str">
        <f aca="false">IF(E337&lt;&gt;"",E337,IF(U337,"Present",IF(C337="Holiday","Holiday","Weekend")))</f>
        <v>Weekend</v>
      </c>
      <c r="L337" s="34" t="str">
        <f aca="false">IF(OR(K337="Present",K337="Manual Work",K337="Partial Vacation",K337="Partial Sick Leave"),IF(ISNUMBER(F337),F337,IF(AND(K337="Present",U337),Settings!$B$6,"")),"")</f>
        <v/>
      </c>
      <c r="M337" s="34" t="str">
        <f aca="false">IF(OR(K337="Present",K337="Manual Work",K337="Partial Vacation",K337="Partial Sick Leave"),IF(ISNUMBER(G337),G337,IF(AND(K337="Present",U337),V337,"")),"")</f>
        <v/>
      </c>
      <c r="N337" s="14" t="n">
        <f aca="false">IF(AND(ISNUMBER(L337),ISNUMBER(M337)),MAX(0,(M337-L337)*24),0)</f>
        <v>0</v>
      </c>
      <c r="O337" s="14" t="n">
        <f aca="false">IF(NOT(U337),0,IF(K337="Vacation",IF(C337="Eve",Settings!$B$9*Settings!$B$11,W337),IF(K337="Partial Vacation",IF(AND(ISNUMBER(H337),ISNUMBER(I337)),MAX(0,(I337-H337)*24),0),0)))</f>
        <v>0</v>
      </c>
      <c r="P337" s="14" t="n">
        <f aca="false">IF(NOT(U337),0,IF(K337="Sick Leave",W337,IF(K337="Partial Sick Leave",IF(AND(ISNUMBER(H337),ISNUMBER(I337)),MAX(0,(I337-H337)*24),0),0)))</f>
        <v>0</v>
      </c>
      <c r="Q337" s="14" t="n">
        <f aca="false">IF(NOT(U337),0,IF(K337="Vacation",IF(C337="Eve",Settings!$B$11,1),IF(K337="Partial Vacation",O337/Settings!$B$9,0)))</f>
        <v>0</v>
      </c>
      <c r="R337" s="14" t="n">
        <f aca="false">IF(NOT(U337),0,IF(K337="Sick Leave",1,IF(K337="Partial Sick Leave",P337/Settings!$B$9,0)))</f>
        <v>0</v>
      </c>
      <c r="S337" s="35" t="str">
        <f aca="false">IF(AND(OR(E337="Vacation",E337="Sick Leave",E337="Partial Vacation",E337="Partial Sick Leave"),NOT(U337)),"Leave not allowed on this day",IF(AND(E337="Manual Work",OR(NOT(ISNUMBER(F337)),NOT(ISNUMBER(G337)))),"Enter start and end",IF(AND(OR(E337="Partial Vacation",E337="Partial Sick Leave"),OR(NOT(ISNUMBER(H337)),NOT(ISNUMBER(I337)))),"Enter leave from and to",IF(AND(ISNUMBER(F337),ISNUMBER(G337),G337&lt;=F337),"End is before start",IF(AND(ISNUMBER(H337),ISNUMBER(I337),I337&lt;=H337),"Leave end is before start",IF(AND(ISNUMBER(F337),ISNUMBER(G337),ISNUMBER(H337),ISNUMBER(I337),F337&lt;I337,H337&lt;G337),"Work and leave hours overlap",IF(AND(E337&lt;&gt;"",WEEKDAY(A337)=7),"Saturday - administrator only","")))))))</f>
        <v/>
      </c>
      <c r="T337" s="36" t="n">
        <f aca="false">MONTH(A337)</f>
        <v>11</v>
      </c>
      <c r="U337" s="37" t="b">
        <f aca="false">OR(C337="Workday",C337="Eve")</f>
        <v>0</v>
      </c>
      <c r="V337" s="34" t="n">
        <f aca="false">IF(C337="Eve",Settings!$B$8,Settings!$B$7)</f>
        <v>0.6875</v>
      </c>
      <c r="W337" s="14" t="n">
        <f aca="false">IF(U337,(V337-Settings!$B$6)*24,0)</f>
        <v>0</v>
      </c>
    </row>
    <row r="338" customFormat="false" ht="15" hidden="false" customHeight="false" outlineLevel="0" collapsed="false">
      <c r="A338" s="29" t="n">
        <v>46354</v>
      </c>
      <c r="B338" s="30" t="str">
        <f aca="false">CHOOSE(WEEKDAY(A338),"Sun","Mon","Tue","Wed","Thu","Fri","Sat")</f>
        <v>Sat</v>
      </c>
      <c r="C338" s="30" t="str">
        <f aca="false">IF(IFERROR(INDEX(Holidays!$D$5:$D$60,MATCH(A338,Holidays!$A$5:$A$60,0)),"")="Holiday","Holiday",IF(WEEKDAY(A338)&gt;=6,"Weekend",IF(IFERROR(INDEX(Holidays!$D$5:$D$60,MATCH(A338,Holidays!$A$5:$A$60,0)),"")="Eve","Eve","Workday")))</f>
        <v>Weekend</v>
      </c>
      <c r="D338" s="18" t="str">
        <f aca="false">IFERROR(INDEX(Holidays!$C$5:$C$60,MATCH(A338,Holidays!$A$5:$A$60,0)),"")</f>
        <v/>
      </c>
      <c r="E338" s="31"/>
      <c r="F338" s="32"/>
      <c r="G338" s="32"/>
      <c r="H338" s="32"/>
      <c r="I338" s="32"/>
      <c r="J338" s="31"/>
      <c r="K338" s="33" t="str">
        <f aca="false">IF(E338&lt;&gt;"",E338,IF(U338,"Present",IF(C338="Holiday","Holiday","Weekend")))</f>
        <v>Weekend</v>
      </c>
      <c r="L338" s="34" t="str">
        <f aca="false">IF(OR(K338="Present",K338="Manual Work",K338="Partial Vacation",K338="Partial Sick Leave"),IF(ISNUMBER(F338),F338,IF(AND(K338="Present",U338),Settings!$B$6,"")),"")</f>
        <v/>
      </c>
      <c r="M338" s="34" t="str">
        <f aca="false">IF(OR(K338="Present",K338="Manual Work",K338="Partial Vacation",K338="Partial Sick Leave"),IF(ISNUMBER(G338),G338,IF(AND(K338="Present",U338),V338,"")),"")</f>
        <v/>
      </c>
      <c r="N338" s="14" t="n">
        <f aca="false">IF(AND(ISNUMBER(L338),ISNUMBER(M338)),MAX(0,(M338-L338)*24),0)</f>
        <v>0</v>
      </c>
      <c r="O338" s="14" t="n">
        <f aca="false">IF(NOT(U338),0,IF(K338="Vacation",IF(C338="Eve",Settings!$B$9*Settings!$B$11,W338),IF(K338="Partial Vacation",IF(AND(ISNUMBER(H338),ISNUMBER(I338)),MAX(0,(I338-H338)*24),0),0)))</f>
        <v>0</v>
      </c>
      <c r="P338" s="14" t="n">
        <f aca="false">IF(NOT(U338),0,IF(K338="Sick Leave",W338,IF(K338="Partial Sick Leave",IF(AND(ISNUMBER(H338),ISNUMBER(I338)),MAX(0,(I338-H338)*24),0),0)))</f>
        <v>0</v>
      </c>
      <c r="Q338" s="14" t="n">
        <f aca="false">IF(NOT(U338),0,IF(K338="Vacation",IF(C338="Eve",Settings!$B$11,1),IF(K338="Partial Vacation",O338/Settings!$B$9,0)))</f>
        <v>0</v>
      </c>
      <c r="R338" s="14" t="n">
        <f aca="false">IF(NOT(U338),0,IF(K338="Sick Leave",1,IF(K338="Partial Sick Leave",P338/Settings!$B$9,0)))</f>
        <v>0</v>
      </c>
      <c r="S338" s="35" t="str">
        <f aca="false">IF(AND(OR(E338="Vacation",E338="Sick Leave",E338="Partial Vacation",E338="Partial Sick Leave"),NOT(U338)),"Leave not allowed on this day",IF(AND(E338="Manual Work",OR(NOT(ISNUMBER(F338)),NOT(ISNUMBER(G338)))),"Enter start and end",IF(AND(OR(E338="Partial Vacation",E338="Partial Sick Leave"),OR(NOT(ISNUMBER(H338)),NOT(ISNUMBER(I338)))),"Enter leave from and to",IF(AND(ISNUMBER(F338),ISNUMBER(G338),G338&lt;=F338),"End is before start",IF(AND(ISNUMBER(H338),ISNUMBER(I338),I338&lt;=H338),"Leave end is before start",IF(AND(ISNUMBER(F338),ISNUMBER(G338),ISNUMBER(H338),ISNUMBER(I338),F338&lt;I338,H338&lt;G338),"Work and leave hours overlap",IF(AND(E338&lt;&gt;"",WEEKDAY(A338)=7),"Saturday - administrator only","")))))))</f>
        <v/>
      </c>
      <c r="T338" s="36" t="n">
        <f aca="false">MONTH(A338)</f>
        <v>11</v>
      </c>
      <c r="U338" s="37" t="b">
        <f aca="false">OR(C338="Workday",C338="Eve")</f>
        <v>0</v>
      </c>
      <c r="V338" s="34" t="n">
        <f aca="false">IF(C338="Eve",Settings!$B$8,Settings!$B$7)</f>
        <v>0.6875</v>
      </c>
      <c r="W338" s="14" t="n">
        <f aca="false">IF(U338,(V338-Settings!$B$6)*24,0)</f>
        <v>0</v>
      </c>
    </row>
    <row r="339" customFormat="false" ht="15" hidden="false" customHeight="false" outlineLevel="0" collapsed="false">
      <c r="A339" s="29" t="n">
        <v>46355</v>
      </c>
      <c r="B339" s="30" t="str">
        <f aca="false">CHOOSE(WEEKDAY(A339),"Sun","Mon","Tue","Wed","Thu","Fri","Sat")</f>
        <v>Sun</v>
      </c>
      <c r="C339" s="30" t="str">
        <f aca="false">IF(IFERROR(INDEX(Holidays!$D$5:$D$60,MATCH(A339,Holidays!$A$5:$A$60,0)),"")="Holiday","Holiday",IF(WEEKDAY(A339)&gt;=6,"Weekend",IF(IFERROR(INDEX(Holidays!$D$5:$D$60,MATCH(A339,Holidays!$A$5:$A$60,0)),"")="Eve","Eve","Workday")))</f>
        <v>Workday</v>
      </c>
      <c r="D339" s="18" t="str">
        <f aca="false">IFERROR(INDEX(Holidays!$C$5:$C$60,MATCH(A339,Holidays!$A$5:$A$60,0)),"")</f>
        <v/>
      </c>
      <c r="E339" s="31"/>
      <c r="F339" s="32"/>
      <c r="G339" s="32"/>
      <c r="H339" s="32"/>
      <c r="I339" s="32"/>
      <c r="J339" s="31"/>
      <c r="K339" s="33" t="str">
        <f aca="false">IF(E339&lt;&gt;"",E339,IF(U339,"Present",IF(C339="Holiday","Holiday","Weekend")))</f>
        <v>Present</v>
      </c>
      <c r="L339" s="34" t="n">
        <f aca="false">IF(OR(K339="Present",K339="Manual Work",K339="Partial Vacation",K339="Partial Sick Leave"),IF(ISNUMBER(F339),F339,IF(AND(K339="Present",U339),Settings!$B$6,"")),"")</f>
        <v>0.333333333333333</v>
      </c>
      <c r="M339" s="34" t="n">
        <f aca="false">IF(OR(K339="Present",K339="Manual Work",K339="Partial Vacation",K339="Partial Sick Leave"),IF(ISNUMBER(G339),G339,IF(AND(K339="Present",U339),V339,"")),"")</f>
        <v>0.6875</v>
      </c>
      <c r="N339" s="14" t="n">
        <f aca="false">IF(AND(ISNUMBER(L339),ISNUMBER(M339)),MAX(0,(M339-L339)*24),0)</f>
        <v>8.5</v>
      </c>
      <c r="O339" s="14" t="n">
        <f aca="false">IF(NOT(U339),0,IF(K339="Vacation",IF(C339="Eve",Settings!$B$9*Settings!$B$11,W339),IF(K339="Partial Vacation",IF(AND(ISNUMBER(H339),ISNUMBER(I339)),MAX(0,(I339-H339)*24),0),0)))</f>
        <v>0</v>
      </c>
      <c r="P339" s="14" t="n">
        <f aca="false">IF(NOT(U339),0,IF(K339="Sick Leave",W339,IF(K339="Partial Sick Leave",IF(AND(ISNUMBER(H339),ISNUMBER(I339)),MAX(0,(I339-H339)*24),0),0)))</f>
        <v>0</v>
      </c>
      <c r="Q339" s="14" t="n">
        <f aca="false">IF(NOT(U339),0,IF(K339="Vacation",IF(C339="Eve",Settings!$B$11,1),IF(K339="Partial Vacation",O339/Settings!$B$9,0)))</f>
        <v>0</v>
      </c>
      <c r="R339" s="14" t="n">
        <f aca="false">IF(NOT(U339),0,IF(K339="Sick Leave",1,IF(K339="Partial Sick Leave",P339/Settings!$B$9,0)))</f>
        <v>0</v>
      </c>
      <c r="S339" s="35" t="str">
        <f aca="false">IF(AND(OR(E339="Vacation",E339="Sick Leave",E339="Partial Vacation",E339="Partial Sick Leave"),NOT(U339)),"Leave not allowed on this day",IF(AND(E339="Manual Work",OR(NOT(ISNUMBER(F339)),NOT(ISNUMBER(G339)))),"Enter start and end",IF(AND(OR(E339="Partial Vacation",E339="Partial Sick Leave"),OR(NOT(ISNUMBER(H339)),NOT(ISNUMBER(I339)))),"Enter leave from and to",IF(AND(ISNUMBER(F339),ISNUMBER(G339),G339&lt;=F339),"End is before start",IF(AND(ISNUMBER(H339),ISNUMBER(I339),I339&lt;=H339),"Leave end is before start",IF(AND(ISNUMBER(F339),ISNUMBER(G339),ISNUMBER(H339),ISNUMBER(I339),F339&lt;I339,H339&lt;G339),"Work and leave hours overlap",IF(AND(E339&lt;&gt;"",WEEKDAY(A339)=7),"Saturday - administrator only","")))))))</f>
        <v/>
      </c>
      <c r="T339" s="36" t="n">
        <f aca="false">MONTH(A339)</f>
        <v>11</v>
      </c>
      <c r="U339" s="37" t="b">
        <f aca="false">OR(C339="Workday",C339="Eve")</f>
        <v>1</v>
      </c>
      <c r="V339" s="34" t="n">
        <f aca="false">IF(C339="Eve",Settings!$B$8,Settings!$B$7)</f>
        <v>0.6875</v>
      </c>
      <c r="W339" s="14" t="n">
        <f aca="false">IF(U339,(V339-Settings!$B$6)*24,0)</f>
        <v>8.5</v>
      </c>
    </row>
    <row r="340" customFormat="false" ht="15" hidden="false" customHeight="false" outlineLevel="0" collapsed="false">
      <c r="A340" s="29" t="n">
        <v>46356</v>
      </c>
      <c r="B340" s="30" t="str">
        <f aca="false">CHOOSE(WEEKDAY(A340),"Sun","Mon","Tue","Wed","Thu","Fri","Sat")</f>
        <v>Mon</v>
      </c>
      <c r="C340" s="30" t="str">
        <f aca="false">IF(IFERROR(INDEX(Holidays!$D$5:$D$60,MATCH(A340,Holidays!$A$5:$A$60,0)),"")="Holiday","Holiday",IF(WEEKDAY(A340)&gt;=6,"Weekend",IF(IFERROR(INDEX(Holidays!$D$5:$D$60,MATCH(A340,Holidays!$A$5:$A$60,0)),"")="Eve","Eve","Workday")))</f>
        <v>Workday</v>
      </c>
      <c r="D340" s="18" t="str">
        <f aca="false">IFERROR(INDEX(Holidays!$C$5:$C$60,MATCH(A340,Holidays!$A$5:$A$60,0)),"")</f>
        <v/>
      </c>
      <c r="E340" s="31"/>
      <c r="F340" s="32"/>
      <c r="G340" s="32"/>
      <c r="H340" s="32"/>
      <c r="I340" s="32"/>
      <c r="J340" s="31"/>
      <c r="K340" s="33" t="str">
        <f aca="false">IF(E340&lt;&gt;"",E340,IF(U340,"Present",IF(C340="Holiday","Holiday","Weekend")))</f>
        <v>Present</v>
      </c>
      <c r="L340" s="34" t="n">
        <f aca="false">IF(OR(K340="Present",K340="Manual Work",K340="Partial Vacation",K340="Partial Sick Leave"),IF(ISNUMBER(F340),F340,IF(AND(K340="Present",U340),Settings!$B$6,"")),"")</f>
        <v>0.333333333333333</v>
      </c>
      <c r="M340" s="34" t="n">
        <f aca="false">IF(OR(K340="Present",K340="Manual Work",K340="Partial Vacation",K340="Partial Sick Leave"),IF(ISNUMBER(G340),G340,IF(AND(K340="Present",U340),V340,"")),"")</f>
        <v>0.6875</v>
      </c>
      <c r="N340" s="14" t="n">
        <f aca="false">IF(AND(ISNUMBER(L340),ISNUMBER(M340)),MAX(0,(M340-L340)*24),0)</f>
        <v>8.5</v>
      </c>
      <c r="O340" s="14" t="n">
        <f aca="false">IF(NOT(U340),0,IF(K340="Vacation",IF(C340="Eve",Settings!$B$9*Settings!$B$11,W340),IF(K340="Partial Vacation",IF(AND(ISNUMBER(H340),ISNUMBER(I340)),MAX(0,(I340-H340)*24),0),0)))</f>
        <v>0</v>
      </c>
      <c r="P340" s="14" t="n">
        <f aca="false">IF(NOT(U340),0,IF(K340="Sick Leave",W340,IF(K340="Partial Sick Leave",IF(AND(ISNUMBER(H340),ISNUMBER(I340)),MAX(0,(I340-H340)*24),0),0)))</f>
        <v>0</v>
      </c>
      <c r="Q340" s="14" t="n">
        <f aca="false">IF(NOT(U340),0,IF(K340="Vacation",IF(C340="Eve",Settings!$B$11,1),IF(K340="Partial Vacation",O340/Settings!$B$9,0)))</f>
        <v>0</v>
      </c>
      <c r="R340" s="14" t="n">
        <f aca="false">IF(NOT(U340),0,IF(K340="Sick Leave",1,IF(K340="Partial Sick Leave",P340/Settings!$B$9,0)))</f>
        <v>0</v>
      </c>
      <c r="S340" s="35" t="str">
        <f aca="false">IF(AND(OR(E340="Vacation",E340="Sick Leave",E340="Partial Vacation",E340="Partial Sick Leave"),NOT(U340)),"Leave not allowed on this day",IF(AND(E340="Manual Work",OR(NOT(ISNUMBER(F340)),NOT(ISNUMBER(G340)))),"Enter start and end",IF(AND(OR(E340="Partial Vacation",E340="Partial Sick Leave"),OR(NOT(ISNUMBER(H340)),NOT(ISNUMBER(I340)))),"Enter leave from and to",IF(AND(ISNUMBER(F340),ISNUMBER(G340),G340&lt;=F340),"End is before start",IF(AND(ISNUMBER(H340),ISNUMBER(I340),I340&lt;=H340),"Leave end is before start",IF(AND(ISNUMBER(F340),ISNUMBER(G340),ISNUMBER(H340),ISNUMBER(I340),F340&lt;I340,H340&lt;G340),"Work and leave hours overlap",IF(AND(E340&lt;&gt;"",WEEKDAY(A340)=7),"Saturday - administrator only","")))))))</f>
        <v/>
      </c>
      <c r="T340" s="36" t="n">
        <f aca="false">MONTH(A340)</f>
        <v>11</v>
      </c>
      <c r="U340" s="37" t="b">
        <f aca="false">OR(C340="Workday",C340="Eve")</f>
        <v>1</v>
      </c>
      <c r="V340" s="34" t="n">
        <f aca="false">IF(C340="Eve",Settings!$B$8,Settings!$B$7)</f>
        <v>0.6875</v>
      </c>
      <c r="W340" s="14" t="n">
        <f aca="false">IF(U340,(V340-Settings!$B$6)*24,0)</f>
        <v>8.5</v>
      </c>
    </row>
    <row r="341" customFormat="false" ht="15" hidden="false" customHeight="false" outlineLevel="0" collapsed="false">
      <c r="A341" s="29" t="n">
        <v>46357</v>
      </c>
      <c r="B341" s="30" t="str">
        <f aca="false">CHOOSE(WEEKDAY(A341),"Sun","Mon","Tue","Wed","Thu","Fri","Sat")</f>
        <v>Tue</v>
      </c>
      <c r="C341" s="30" t="str">
        <f aca="false">IF(IFERROR(INDEX(Holidays!$D$5:$D$60,MATCH(A341,Holidays!$A$5:$A$60,0)),"")="Holiday","Holiday",IF(WEEKDAY(A341)&gt;=6,"Weekend",IF(IFERROR(INDEX(Holidays!$D$5:$D$60,MATCH(A341,Holidays!$A$5:$A$60,0)),"")="Eve","Eve","Workday")))</f>
        <v>Workday</v>
      </c>
      <c r="D341" s="18" t="str">
        <f aca="false">IFERROR(INDEX(Holidays!$C$5:$C$60,MATCH(A341,Holidays!$A$5:$A$60,0)),"")</f>
        <v/>
      </c>
      <c r="E341" s="31"/>
      <c r="F341" s="32"/>
      <c r="G341" s="32"/>
      <c r="H341" s="32"/>
      <c r="I341" s="32"/>
      <c r="J341" s="31"/>
      <c r="K341" s="33" t="str">
        <f aca="false">IF(E341&lt;&gt;"",E341,IF(U341,"Present",IF(C341="Holiday","Holiday","Weekend")))</f>
        <v>Present</v>
      </c>
      <c r="L341" s="34" t="n">
        <f aca="false">IF(OR(K341="Present",K341="Manual Work",K341="Partial Vacation",K341="Partial Sick Leave"),IF(ISNUMBER(F341),F341,IF(AND(K341="Present",U341),Settings!$B$6,"")),"")</f>
        <v>0.333333333333333</v>
      </c>
      <c r="M341" s="34" t="n">
        <f aca="false">IF(OR(K341="Present",K341="Manual Work",K341="Partial Vacation",K341="Partial Sick Leave"),IF(ISNUMBER(G341),G341,IF(AND(K341="Present",U341),V341,"")),"")</f>
        <v>0.6875</v>
      </c>
      <c r="N341" s="14" t="n">
        <f aca="false">IF(AND(ISNUMBER(L341),ISNUMBER(M341)),MAX(0,(M341-L341)*24),0)</f>
        <v>8.5</v>
      </c>
      <c r="O341" s="14" t="n">
        <f aca="false">IF(NOT(U341),0,IF(K341="Vacation",IF(C341="Eve",Settings!$B$9*Settings!$B$11,W341),IF(K341="Partial Vacation",IF(AND(ISNUMBER(H341),ISNUMBER(I341)),MAX(0,(I341-H341)*24),0),0)))</f>
        <v>0</v>
      </c>
      <c r="P341" s="14" t="n">
        <f aca="false">IF(NOT(U341),0,IF(K341="Sick Leave",W341,IF(K341="Partial Sick Leave",IF(AND(ISNUMBER(H341),ISNUMBER(I341)),MAX(0,(I341-H341)*24),0),0)))</f>
        <v>0</v>
      </c>
      <c r="Q341" s="14" t="n">
        <f aca="false">IF(NOT(U341),0,IF(K341="Vacation",IF(C341="Eve",Settings!$B$11,1),IF(K341="Partial Vacation",O341/Settings!$B$9,0)))</f>
        <v>0</v>
      </c>
      <c r="R341" s="14" t="n">
        <f aca="false">IF(NOT(U341),0,IF(K341="Sick Leave",1,IF(K341="Partial Sick Leave",P341/Settings!$B$9,0)))</f>
        <v>0</v>
      </c>
      <c r="S341" s="35" t="str">
        <f aca="false">IF(AND(OR(E341="Vacation",E341="Sick Leave",E341="Partial Vacation",E341="Partial Sick Leave"),NOT(U341)),"Leave not allowed on this day",IF(AND(E341="Manual Work",OR(NOT(ISNUMBER(F341)),NOT(ISNUMBER(G341)))),"Enter start and end",IF(AND(OR(E341="Partial Vacation",E341="Partial Sick Leave"),OR(NOT(ISNUMBER(H341)),NOT(ISNUMBER(I341)))),"Enter leave from and to",IF(AND(ISNUMBER(F341),ISNUMBER(G341),G341&lt;=F341),"End is before start",IF(AND(ISNUMBER(H341),ISNUMBER(I341),I341&lt;=H341),"Leave end is before start",IF(AND(ISNUMBER(F341),ISNUMBER(G341),ISNUMBER(H341),ISNUMBER(I341),F341&lt;I341,H341&lt;G341),"Work and leave hours overlap",IF(AND(E341&lt;&gt;"",WEEKDAY(A341)=7),"Saturday - administrator only","")))))))</f>
        <v/>
      </c>
      <c r="T341" s="36" t="n">
        <f aca="false">MONTH(A341)</f>
        <v>12</v>
      </c>
      <c r="U341" s="37" t="b">
        <f aca="false">OR(C341="Workday",C341="Eve")</f>
        <v>1</v>
      </c>
      <c r="V341" s="34" t="n">
        <f aca="false">IF(C341="Eve",Settings!$B$8,Settings!$B$7)</f>
        <v>0.6875</v>
      </c>
      <c r="W341" s="14" t="n">
        <f aca="false">IF(U341,(V341-Settings!$B$6)*24,0)</f>
        <v>8.5</v>
      </c>
    </row>
    <row r="342" customFormat="false" ht="15" hidden="false" customHeight="false" outlineLevel="0" collapsed="false">
      <c r="A342" s="29" t="n">
        <v>46358</v>
      </c>
      <c r="B342" s="30" t="str">
        <f aca="false">CHOOSE(WEEKDAY(A342),"Sun","Mon","Tue","Wed","Thu","Fri","Sat")</f>
        <v>Wed</v>
      </c>
      <c r="C342" s="30" t="str">
        <f aca="false">IF(IFERROR(INDEX(Holidays!$D$5:$D$60,MATCH(A342,Holidays!$A$5:$A$60,0)),"")="Holiday","Holiday",IF(WEEKDAY(A342)&gt;=6,"Weekend",IF(IFERROR(INDEX(Holidays!$D$5:$D$60,MATCH(A342,Holidays!$A$5:$A$60,0)),"")="Eve","Eve","Workday")))</f>
        <v>Workday</v>
      </c>
      <c r="D342" s="18" t="str">
        <f aca="false">IFERROR(INDEX(Holidays!$C$5:$C$60,MATCH(A342,Holidays!$A$5:$A$60,0)),"")</f>
        <v/>
      </c>
      <c r="E342" s="31"/>
      <c r="F342" s="32"/>
      <c r="G342" s="32"/>
      <c r="H342" s="32"/>
      <c r="I342" s="32"/>
      <c r="J342" s="31"/>
      <c r="K342" s="33" t="str">
        <f aca="false">IF(E342&lt;&gt;"",E342,IF(U342,"Present",IF(C342="Holiday","Holiday","Weekend")))</f>
        <v>Present</v>
      </c>
      <c r="L342" s="34" t="n">
        <f aca="false">IF(OR(K342="Present",K342="Manual Work",K342="Partial Vacation",K342="Partial Sick Leave"),IF(ISNUMBER(F342),F342,IF(AND(K342="Present",U342),Settings!$B$6,"")),"")</f>
        <v>0.333333333333333</v>
      </c>
      <c r="M342" s="34" t="n">
        <f aca="false">IF(OR(K342="Present",K342="Manual Work",K342="Partial Vacation",K342="Partial Sick Leave"),IF(ISNUMBER(G342),G342,IF(AND(K342="Present",U342),V342,"")),"")</f>
        <v>0.6875</v>
      </c>
      <c r="N342" s="14" t="n">
        <f aca="false">IF(AND(ISNUMBER(L342),ISNUMBER(M342)),MAX(0,(M342-L342)*24),0)</f>
        <v>8.5</v>
      </c>
      <c r="O342" s="14" t="n">
        <f aca="false">IF(NOT(U342),0,IF(K342="Vacation",IF(C342="Eve",Settings!$B$9*Settings!$B$11,W342),IF(K342="Partial Vacation",IF(AND(ISNUMBER(H342),ISNUMBER(I342)),MAX(0,(I342-H342)*24),0),0)))</f>
        <v>0</v>
      </c>
      <c r="P342" s="14" t="n">
        <f aca="false">IF(NOT(U342),0,IF(K342="Sick Leave",W342,IF(K342="Partial Sick Leave",IF(AND(ISNUMBER(H342),ISNUMBER(I342)),MAX(0,(I342-H342)*24),0),0)))</f>
        <v>0</v>
      </c>
      <c r="Q342" s="14" t="n">
        <f aca="false">IF(NOT(U342),0,IF(K342="Vacation",IF(C342="Eve",Settings!$B$11,1),IF(K342="Partial Vacation",O342/Settings!$B$9,0)))</f>
        <v>0</v>
      </c>
      <c r="R342" s="14" t="n">
        <f aca="false">IF(NOT(U342),0,IF(K342="Sick Leave",1,IF(K342="Partial Sick Leave",P342/Settings!$B$9,0)))</f>
        <v>0</v>
      </c>
      <c r="S342" s="35" t="str">
        <f aca="false">IF(AND(OR(E342="Vacation",E342="Sick Leave",E342="Partial Vacation",E342="Partial Sick Leave"),NOT(U342)),"Leave not allowed on this day",IF(AND(E342="Manual Work",OR(NOT(ISNUMBER(F342)),NOT(ISNUMBER(G342)))),"Enter start and end",IF(AND(OR(E342="Partial Vacation",E342="Partial Sick Leave"),OR(NOT(ISNUMBER(H342)),NOT(ISNUMBER(I342)))),"Enter leave from and to",IF(AND(ISNUMBER(F342),ISNUMBER(G342),G342&lt;=F342),"End is before start",IF(AND(ISNUMBER(H342),ISNUMBER(I342),I342&lt;=H342),"Leave end is before start",IF(AND(ISNUMBER(F342),ISNUMBER(G342),ISNUMBER(H342),ISNUMBER(I342),F342&lt;I342,H342&lt;G342),"Work and leave hours overlap",IF(AND(E342&lt;&gt;"",WEEKDAY(A342)=7),"Saturday - administrator only","")))))))</f>
        <v/>
      </c>
      <c r="T342" s="36" t="n">
        <f aca="false">MONTH(A342)</f>
        <v>12</v>
      </c>
      <c r="U342" s="37" t="b">
        <f aca="false">OR(C342="Workday",C342="Eve")</f>
        <v>1</v>
      </c>
      <c r="V342" s="34" t="n">
        <f aca="false">IF(C342="Eve",Settings!$B$8,Settings!$B$7)</f>
        <v>0.6875</v>
      </c>
      <c r="W342" s="14" t="n">
        <f aca="false">IF(U342,(V342-Settings!$B$6)*24,0)</f>
        <v>8.5</v>
      </c>
    </row>
    <row r="343" customFormat="false" ht="15" hidden="false" customHeight="false" outlineLevel="0" collapsed="false">
      <c r="A343" s="29" t="n">
        <v>46359</v>
      </c>
      <c r="B343" s="30" t="str">
        <f aca="false">CHOOSE(WEEKDAY(A343),"Sun","Mon","Tue","Wed","Thu","Fri","Sat")</f>
        <v>Thu</v>
      </c>
      <c r="C343" s="30" t="str">
        <f aca="false">IF(IFERROR(INDEX(Holidays!$D$5:$D$60,MATCH(A343,Holidays!$A$5:$A$60,0)),"")="Holiday","Holiday",IF(WEEKDAY(A343)&gt;=6,"Weekend",IF(IFERROR(INDEX(Holidays!$D$5:$D$60,MATCH(A343,Holidays!$A$5:$A$60,0)),"")="Eve","Eve","Workday")))</f>
        <v>Workday</v>
      </c>
      <c r="D343" s="18" t="str">
        <f aca="false">IFERROR(INDEX(Holidays!$C$5:$C$60,MATCH(A343,Holidays!$A$5:$A$60,0)),"")</f>
        <v/>
      </c>
      <c r="E343" s="31"/>
      <c r="F343" s="32"/>
      <c r="G343" s="32"/>
      <c r="H343" s="32"/>
      <c r="I343" s="32"/>
      <c r="J343" s="31"/>
      <c r="K343" s="33" t="str">
        <f aca="false">IF(E343&lt;&gt;"",E343,IF(U343,"Present",IF(C343="Holiday","Holiday","Weekend")))</f>
        <v>Present</v>
      </c>
      <c r="L343" s="34" t="n">
        <f aca="false">IF(OR(K343="Present",K343="Manual Work",K343="Partial Vacation",K343="Partial Sick Leave"),IF(ISNUMBER(F343),F343,IF(AND(K343="Present",U343),Settings!$B$6,"")),"")</f>
        <v>0.333333333333333</v>
      </c>
      <c r="M343" s="34" t="n">
        <f aca="false">IF(OR(K343="Present",K343="Manual Work",K343="Partial Vacation",K343="Partial Sick Leave"),IF(ISNUMBER(G343),G343,IF(AND(K343="Present",U343),V343,"")),"")</f>
        <v>0.6875</v>
      </c>
      <c r="N343" s="14" t="n">
        <f aca="false">IF(AND(ISNUMBER(L343),ISNUMBER(M343)),MAX(0,(M343-L343)*24),0)</f>
        <v>8.5</v>
      </c>
      <c r="O343" s="14" t="n">
        <f aca="false">IF(NOT(U343),0,IF(K343="Vacation",IF(C343="Eve",Settings!$B$9*Settings!$B$11,W343),IF(K343="Partial Vacation",IF(AND(ISNUMBER(H343),ISNUMBER(I343)),MAX(0,(I343-H343)*24),0),0)))</f>
        <v>0</v>
      </c>
      <c r="P343" s="14" t="n">
        <f aca="false">IF(NOT(U343),0,IF(K343="Sick Leave",W343,IF(K343="Partial Sick Leave",IF(AND(ISNUMBER(H343),ISNUMBER(I343)),MAX(0,(I343-H343)*24),0),0)))</f>
        <v>0</v>
      </c>
      <c r="Q343" s="14" t="n">
        <f aca="false">IF(NOT(U343),0,IF(K343="Vacation",IF(C343="Eve",Settings!$B$11,1),IF(K343="Partial Vacation",O343/Settings!$B$9,0)))</f>
        <v>0</v>
      </c>
      <c r="R343" s="14" t="n">
        <f aca="false">IF(NOT(U343),0,IF(K343="Sick Leave",1,IF(K343="Partial Sick Leave",P343/Settings!$B$9,0)))</f>
        <v>0</v>
      </c>
      <c r="S343" s="35" t="str">
        <f aca="false">IF(AND(OR(E343="Vacation",E343="Sick Leave",E343="Partial Vacation",E343="Partial Sick Leave"),NOT(U343)),"Leave not allowed on this day",IF(AND(E343="Manual Work",OR(NOT(ISNUMBER(F343)),NOT(ISNUMBER(G343)))),"Enter start and end",IF(AND(OR(E343="Partial Vacation",E343="Partial Sick Leave"),OR(NOT(ISNUMBER(H343)),NOT(ISNUMBER(I343)))),"Enter leave from and to",IF(AND(ISNUMBER(F343),ISNUMBER(G343),G343&lt;=F343),"End is before start",IF(AND(ISNUMBER(H343),ISNUMBER(I343),I343&lt;=H343),"Leave end is before start",IF(AND(ISNUMBER(F343),ISNUMBER(G343),ISNUMBER(H343),ISNUMBER(I343),F343&lt;I343,H343&lt;G343),"Work and leave hours overlap",IF(AND(E343&lt;&gt;"",WEEKDAY(A343)=7),"Saturday - administrator only","")))))))</f>
        <v/>
      </c>
      <c r="T343" s="36" t="n">
        <f aca="false">MONTH(A343)</f>
        <v>12</v>
      </c>
      <c r="U343" s="37" t="b">
        <f aca="false">OR(C343="Workday",C343="Eve")</f>
        <v>1</v>
      </c>
      <c r="V343" s="34" t="n">
        <f aca="false">IF(C343="Eve",Settings!$B$8,Settings!$B$7)</f>
        <v>0.6875</v>
      </c>
      <c r="W343" s="14" t="n">
        <f aca="false">IF(U343,(V343-Settings!$B$6)*24,0)</f>
        <v>8.5</v>
      </c>
    </row>
    <row r="344" customFormat="false" ht="15" hidden="false" customHeight="false" outlineLevel="0" collapsed="false">
      <c r="A344" s="29" t="n">
        <v>46360</v>
      </c>
      <c r="B344" s="30" t="str">
        <f aca="false">CHOOSE(WEEKDAY(A344),"Sun","Mon","Tue","Wed","Thu","Fri","Sat")</f>
        <v>Fri</v>
      </c>
      <c r="C344" s="30" t="str">
        <f aca="false">IF(IFERROR(INDEX(Holidays!$D$5:$D$60,MATCH(A344,Holidays!$A$5:$A$60,0)),"")="Holiday","Holiday",IF(WEEKDAY(A344)&gt;=6,"Weekend",IF(IFERROR(INDEX(Holidays!$D$5:$D$60,MATCH(A344,Holidays!$A$5:$A$60,0)),"")="Eve","Eve","Workday")))</f>
        <v>Weekend</v>
      </c>
      <c r="D344" s="18" t="str">
        <f aca="false">IFERROR(INDEX(Holidays!$C$5:$C$60,MATCH(A344,Holidays!$A$5:$A$60,0)),"")</f>
        <v/>
      </c>
      <c r="E344" s="31"/>
      <c r="F344" s="32"/>
      <c r="G344" s="32"/>
      <c r="H344" s="32"/>
      <c r="I344" s="32"/>
      <c r="J344" s="31"/>
      <c r="K344" s="33" t="str">
        <f aca="false">IF(E344&lt;&gt;"",E344,IF(U344,"Present",IF(C344="Holiday","Holiday","Weekend")))</f>
        <v>Weekend</v>
      </c>
      <c r="L344" s="34" t="str">
        <f aca="false">IF(OR(K344="Present",K344="Manual Work",K344="Partial Vacation",K344="Partial Sick Leave"),IF(ISNUMBER(F344),F344,IF(AND(K344="Present",U344),Settings!$B$6,"")),"")</f>
        <v/>
      </c>
      <c r="M344" s="34" t="str">
        <f aca="false">IF(OR(K344="Present",K344="Manual Work",K344="Partial Vacation",K344="Partial Sick Leave"),IF(ISNUMBER(G344),G344,IF(AND(K344="Present",U344),V344,"")),"")</f>
        <v/>
      </c>
      <c r="N344" s="14" t="n">
        <f aca="false">IF(AND(ISNUMBER(L344),ISNUMBER(M344)),MAX(0,(M344-L344)*24),0)</f>
        <v>0</v>
      </c>
      <c r="O344" s="14" t="n">
        <f aca="false">IF(NOT(U344),0,IF(K344="Vacation",IF(C344="Eve",Settings!$B$9*Settings!$B$11,W344),IF(K344="Partial Vacation",IF(AND(ISNUMBER(H344),ISNUMBER(I344)),MAX(0,(I344-H344)*24),0),0)))</f>
        <v>0</v>
      </c>
      <c r="P344" s="14" t="n">
        <f aca="false">IF(NOT(U344),0,IF(K344="Sick Leave",W344,IF(K344="Partial Sick Leave",IF(AND(ISNUMBER(H344),ISNUMBER(I344)),MAX(0,(I344-H344)*24),0),0)))</f>
        <v>0</v>
      </c>
      <c r="Q344" s="14" t="n">
        <f aca="false">IF(NOT(U344),0,IF(K344="Vacation",IF(C344="Eve",Settings!$B$11,1),IF(K344="Partial Vacation",O344/Settings!$B$9,0)))</f>
        <v>0</v>
      </c>
      <c r="R344" s="14" t="n">
        <f aca="false">IF(NOT(U344),0,IF(K344="Sick Leave",1,IF(K344="Partial Sick Leave",P344/Settings!$B$9,0)))</f>
        <v>0</v>
      </c>
      <c r="S344" s="35" t="str">
        <f aca="false">IF(AND(OR(E344="Vacation",E344="Sick Leave",E344="Partial Vacation",E344="Partial Sick Leave"),NOT(U344)),"Leave not allowed on this day",IF(AND(E344="Manual Work",OR(NOT(ISNUMBER(F344)),NOT(ISNUMBER(G344)))),"Enter start and end",IF(AND(OR(E344="Partial Vacation",E344="Partial Sick Leave"),OR(NOT(ISNUMBER(H344)),NOT(ISNUMBER(I344)))),"Enter leave from and to",IF(AND(ISNUMBER(F344),ISNUMBER(G344),G344&lt;=F344),"End is before start",IF(AND(ISNUMBER(H344),ISNUMBER(I344),I344&lt;=H344),"Leave end is before start",IF(AND(ISNUMBER(F344),ISNUMBER(G344),ISNUMBER(H344),ISNUMBER(I344),F344&lt;I344,H344&lt;G344),"Work and leave hours overlap",IF(AND(E344&lt;&gt;"",WEEKDAY(A344)=7),"Saturday - administrator only","")))))))</f>
        <v/>
      </c>
      <c r="T344" s="36" t="n">
        <f aca="false">MONTH(A344)</f>
        <v>12</v>
      </c>
      <c r="U344" s="37" t="b">
        <f aca="false">OR(C344="Workday",C344="Eve")</f>
        <v>0</v>
      </c>
      <c r="V344" s="34" t="n">
        <f aca="false">IF(C344="Eve",Settings!$B$8,Settings!$B$7)</f>
        <v>0.6875</v>
      </c>
      <c r="W344" s="14" t="n">
        <f aca="false">IF(U344,(V344-Settings!$B$6)*24,0)</f>
        <v>0</v>
      </c>
    </row>
    <row r="345" customFormat="false" ht="15" hidden="false" customHeight="false" outlineLevel="0" collapsed="false">
      <c r="A345" s="29" t="n">
        <v>46361</v>
      </c>
      <c r="B345" s="30" t="str">
        <f aca="false">CHOOSE(WEEKDAY(A345),"Sun","Mon","Tue","Wed","Thu","Fri","Sat")</f>
        <v>Sat</v>
      </c>
      <c r="C345" s="30" t="str">
        <f aca="false">IF(IFERROR(INDEX(Holidays!$D$5:$D$60,MATCH(A345,Holidays!$A$5:$A$60,0)),"")="Holiday","Holiday",IF(WEEKDAY(A345)&gt;=6,"Weekend",IF(IFERROR(INDEX(Holidays!$D$5:$D$60,MATCH(A345,Holidays!$A$5:$A$60,0)),"")="Eve","Eve","Workday")))</f>
        <v>Weekend</v>
      </c>
      <c r="D345" s="18" t="str">
        <f aca="false">IFERROR(INDEX(Holidays!$C$5:$C$60,MATCH(A345,Holidays!$A$5:$A$60,0)),"")</f>
        <v/>
      </c>
      <c r="E345" s="31"/>
      <c r="F345" s="32"/>
      <c r="G345" s="32"/>
      <c r="H345" s="32"/>
      <c r="I345" s="32"/>
      <c r="J345" s="31"/>
      <c r="K345" s="33" t="str">
        <f aca="false">IF(E345&lt;&gt;"",E345,IF(U345,"Present",IF(C345="Holiday","Holiday","Weekend")))</f>
        <v>Weekend</v>
      </c>
      <c r="L345" s="34" t="str">
        <f aca="false">IF(OR(K345="Present",K345="Manual Work",K345="Partial Vacation",K345="Partial Sick Leave"),IF(ISNUMBER(F345),F345,IF(AND(K345="Present",U345),Settings!$B$6,"")),"")</f>
        <v/>
      </c>
      <c r="M345" s="34" t="str">
        <f aca="false">IF(OR(K345="Present",K345="Manual Work",K345="Partial Vacation",K345="Partial Sick Leave"),IF(ISNUMBER(G345),G345,IF(AND(K345="Present",U345),V345,"")),"")</f>
        <v/>
      </c>
      <c r="N345" s="14" t="n">
        <f aca="false">IF(AND(ISNUMBER(L345),ISNUMBER(M345)),MAX(0,(M345-L345)*24),0)</f>
        <v>0</v>
      </c>
      <c r="O345" s="14" t="n">
        <f aca="false">IF(NOT(U345),0,IF(K345="Vacation",IF(C345="Eve",Settings!$B$9*Settings!$B$11,W345),IF(K345="Partial Vacation",IF(AND(ISNUMBER(H345),ISNUMBER(I345)),MAX(0,(I345-H345)*24),0),0)))</f>
        <v>0</v>
      </c>
      <c r="P345" s="14" t="n">
        <f aca="false">IF(NOT(U345),0,IF(K345="Sick Leave",W345,IF(K345="Partial Sick Leave",IF(AND(ISNUMBER(H345),ISNUMBER(I345)),MAX(0,(I345-H345)*24),0),0)))</f>
        <v>0</v>
      </c>
      <c r="Q345" s="14" t="n">
        <f aca="false">IF(NOT(U345),0,IF(K345="Vacation",IF(C345="Eve",Settings!$B$11,1),IF(K345="Partial Vacation",O345/Settings!$B$9,0)))</f>
        <v>0</v>
      </c>
      <c r="R345" s="14" t="n">
        <f aca="false">IF(NOT(U345),0,IF(K345="Sick Leave",1,IF(K345="Partial Sick Leave",P345/Settings!$B$9,0)))</f>
        <v>0</v>
      </c>
      <c r="S345" s="35" t="str">
        <f aca="false">IF(AND(OR(E345="Vacation",E345="Sick Leave",E345="Partial Vacation",E345="Partial Sick Leave"),NOT(U345)),"Leave not allowed on this day",IF(AND(E345="Manual Work",OR(NOT(ISNUMBER(F345)),NOT(ISNUMBER(G345)))),"Enter start and end",IF(AND(OR(E345="Partial Vacation",E345="Partial Sick Leave"),OR(NOT(ISNUMBER(H345)),NOT(ISNUMBER(I345)))),"Enter leave from and to",IF(AND(ISNUMBER(F345),ISNUMBER(G345),G345&lt;=F345),"End is before start",IF(AND(ISNUMBER(H345),ISNUMBER(I345),I345&lt;=H345),"Leave end is before start",IF(AND(ISNUMBER(F345),ISNUMBER(G345),ISNUMBER(H345),ISNUMBER(I345),F345&lt;I345,H345&lt;G345),"Work and leave hours overlap",IF(AND(E345&lt;&gt;"",WEEKDAY(A345)=7),"Saturday - administrator only","")))))))</f>
        <v/>
      </c>
      <c r="T345" s="36" t="n">
        <f aca="false">MONTH(A345)</f>
        <v>12</v>
      </c>
      <c r="U345" s="37" t="b">
        <f aca="false">OR(C345="Workday",C345="Eve")</f>
        <v>0</v>
      </c>
      <c r="V345" s="34" t="n">
        <f aca="false">IF(C345="Eve",Settings!$B$8,Settings!$B$7)</f>
        <v>0.6875</v>
      </c>
      <c r="W345" s="14" t="n">
        <f aca="false">IF(U345,(V345-Settings!$B$6)*24,0)</f>
        <v>0</v>
      </c>
    </row>
    <row r="346" customFormat="false" ht="15" hidden="false" customHeight="false" outlineLevel="0" collapsed="false">
      <c r="A346" s="29" t="n">
        <v>46362</v>
      </c>
      <c r="B346" s="30" t="str">
        <f aca="false">CHOOSE(WEEKDAY(A346),"Sun","Mon","Tue","Wed","Thu","Fri","Sat")</f>
        <v>Sun</v>
      </c>
      <c r="C346" s="30" t="str">
        <f aca="false">IF(IFERROR(INDEX(Holidays!$D$5:$D$60,MATCH(A346,Holidays!$A$5:$A$60,0)),"")="Holiday","Holiday",IF(WEEKDAY(A346)&gt;=6,"Weekend",IF(IFERROR(INDEX(Holidays!$D$5:$D$60,MATCH(A346,Holidays!$A$5:$A$60,0)),"")="Eve","Eve","Workday")))</f>
        <v>Workday</v>
      </c>
      <c r="D346" s="18" t="str">
        <f aca="false">IFERROR(INDEX(Holidays!$C$5:$C$60,MATCH(A346,Holidays!$A$5:$A$60,0)),"")</f>
        <v/>
      </c>
      <c r="E346" s="31"/>
      <c r="F346" s="32"/>
      <c r="G346" s="32"/>
      <c r="H346" s="32"/>
      <c r="I346" s="32"/>
      <c r="J346" s="31"/>
      <c r="K346" s="33" t="str">
        <f aca="false">IF(E346&lt;&gt;"",E346,IF(U346,"Present",IF(C346="Holiday","Holiday","Weekend")))</f>
        <v>Present</v>
      </c>
      <c r="L346" s="34" t="n">
        <f aca="false">IF(OR(K346="Present",K346="Manual Work",K346="Partial Vacation",K346="Partial Sick Leave"),IF(ISNUMBER(F346),F346,IF(AND(K346="Present",U346),Settings!$B$6,"")),"")</f>
        <v>0.333333333333333</v>
      </c>
      <c r="M346" s="34" t="n">
        <f aca="false">IF(OR(K346="Present",K346="Manual Work",K346="Partial Vacation",K346="Partial Sick Leave"),IF(ISNUMBER(G346),G346,IF(AND(K346="Present",U346),V346,"")),"")</f>
        <v>0.6875</v>
      </c>
      <c r="N346" s="14" t="n">
        <f aca="false">IF(AND(ISNUMBER(L346),ISNUMBER(M346)),MAX(0,(M346-L346)*24),0)</f>
        <v>8.5</v>
      </c>
      <c r="O346" s="14" t="n">
        <f aca="false">IF(NOT(U346),0,IF(K346="Vacation",IF(C346="Eve",Settings!$B$9*Settings!$B$11,W346),IF(K346="Partial Vacation",IF(AND(ISNUMBER(H346),ISNUMBER(I346)),MAX(0,(I346-H346)*24),0),0)))</f>
        <v>0</v>
      </c>
      <c r="P346" s="14" t="n">
        <f aca="false">IF(NOT(U346),0,IF(K346="Sick Leave",W346,IF(K346="Partial Sick Leave",IF(AND(ISNUMBER(H346),ISNUMBER(I346)),MAX(0,(I346-H346)*24),0),0)))</f>
        <v>0</v>
      </c>
      <c r="Q346" s="14" t="n">
        <f aca="false">IF(NOT(U346),0,IF(K346="Vacation",IF(C346="Eve",Settings!$B$11,1),IF(K346="Partial Vacation",O346/Settings!$B$9,0)))</f>
        <v>0</v>
      </c>
      <c r="R346" s="14" t="n">
        <f aca="false">IF(NOT(U346),0,IF(K346="Sick Leave",1,IF(K346="Partial Sick Leave",P346/Settings!$B$9,0)))</f>
        <v>0</v>
      </c>
      <c r="S346" s="35" t="str">
        <f aca="false">IF(AND(OR(E346="Vacation",E346="Sick Leave",E346="Partial Vacation",E346="Partial Sick Leave"),NOT(U346)),"Leave not allowed on this day",IF(AND(E346="Manual Work",OR(NOT(ISNUMBER(F346)),NOT(ISNUMBER(G346)))),"Enter start and end",IF(AND(OR(E346="Partial Vacation",E346="Partial Sick Leave"),OR(NOT(ISNUMBER(H346)),NOT(ISNUMBER(I346)))),"Enter leave from and to",IF(AND(ISNUMBER(F346),ISNUMBER(G346),G346&lt;=F346),"End is before start",IF(AND(ISNUMBER(H346),ISNUMBER(I346),I346&lt;=H346),"Leave end is before start",IF(AND(ISNUMBER(F346),ISNUMBER(G346),ISNUMBER(H346),ISNUMBER(I346),F346&lt;I346,H346&lt;G346),"Work and leave hours overlap",IF(AND(E346&lt;&gt;"",WEEKDAY(A346)=7),"Saturday - administrator only","")))))))</f>
        <v/>
      </c>
      <c r="T346" s="36" t="n">
        <f aca="false">MONTH(A346)</f>
        <v>12</v>
      </c>
      <c r="U346" s="37" t="b">
        <f aca="false">OR(C346="Workday",C346="Eve")</f>
        <v>1</v>
      </c>
      <c r="V346" s="34" t="n">
        <f aca="false">IF(C346="Eve",Settings!$B$8,Settings!$B$7)</f>
        <v>0.6875</v>
      </c>
      <c r="W346" s="14" t="n">
        <f aca="false">IF(U346,(V346-Settings!$B$6)*24,0)</f>
        <v>8.5</v>
      </c>
    </row>
    <row r="347" customFormat="false" ht="15" hidden="false" customHeight="false" outlineLevel="0" collapsed="false">
      <c r="A347" s="29" t="n">
        <v>46363</v>
      </c>
      <c r="B347" s="30" t="str">
        <f aca="false">CHOOSE(WEEKDAY(A347),"Sun","Mon","Tue","Wed","Thu","Fri","Sat")</f>
        <v>Mon</v>
      </c>
      <c r="C347" s="30" t="str">
        <f aca="false">IF(IFERROR(INDEX(Holidays!$D$5:$D$60,MATCH(A347,Holidays!$A$5:$A$60,0)),"")="Holiday","Holiday",IF(WEEKDAY(A347)&gt;=6,"Weekend",IF(IFERROR(INDEX(Holidays!$D$5:$D$60,MATCH(A347,Holidays!$A$5:$A$60,0)),"")="Eve","Eve","Workday")))</f>
        <v>Workday</v>
      </c>
      <c r="D347" s="18" t="str">
        <f aca="false">IFERROR(INDEX(Holidays!$C$5:$C$60,MATCH(A347,Holidays!$A$5:$A$60,0)),"")</f>
        <v/>
      </c>
      <c r="E347" s="31"/>
      <c r="F347" s="32"/>
      <c r="G347" s="32"/>
      <c r="H347" s="32"/>
      <c r="I347" s="32"/>
      <c r="J347" s="31"/>
      <c r="K347" s="33" t="str">
        <f aca="false">IF(E347&lt;&gt;"",E347,IF(U347,"Present",IF(C347="Holiday","Holiday","Weekend")))</f>
        <v>Present</v>
      </c>
      <c r="L347" s="34" t="n">
        <f aca="false">IF(OR(K347="Present",K347="Manual Work",K347="Partial Vacation",K347="Partial Sick Leave"),IF(ISNUMBER(F347),F347,IF(AND(K347="Present",U347),Settings!$B$6,"")),"")</f>
        <v>0.333333333333333</v>
      </c>
      <c r="M347" s="34" t="n">
        <f aca="false">IF(OR(K347="Present",K347="Manual Work",K347="Partial Vacation",K347="Partial Sick Leave"),IF(ISNUMBER(G347),G347,IF(AND(K347="Present",U347),V347,"")),"")</f>
        <v>0.6875</v>
      </c>
      <c r="N347" s="14" t="n">
        <f aca="false">IF(AND(ISNUMBER(L347),ISNUMBER(M347)),MAX(0,(M347-L347)*24),0)</f>
        <v>8.5</v>
      </c>
      <c r="O347" s="14" t="n">
        <f aca="false">IF(NOT(U347),0,IF(K347="Vacation",IF(C347="Eve",Settings!$B$9*Settings!$B$11,W347),IF(K347="Partial Vacation",IF(AND(ISNUMBER(H347),ISNUMBER(I347)),MAX(0,(I347-H347)*24),0),0)))</f>
        <v>0</v>
      </c>
      <c r="P347" s="14" t="n">
        <f aca="false">IF(NOT(U347),0,IF(K347="Sick Leave",W347,IF(K347="Partial Sick Leave",IF(AND(ISNUMBER(H347),ISNUMBER(I347)),MAX(0,(I347-H347)*24),0),0)))</f>
        <v>0</v>
      </c>
      <c r="Q347" s="14" t="n">
        <f aca="false">IF(NOT(U347),0,IF(K347="Vacation",IF(C347="Eve",Settings!$B$11,1),IF(K347="Partial Vacation",O347/Settings!$B$9,0)))</f>
        <v>0</v>
      </c>
      <c r="R347" s="14" t="n">
        <f aca="false">IF(NOT(U347),0,IF(K347="Sick Leave",1,IF(K347="Partial Sick Leave",P347/Settings!$B$9,0)))</f>
        <v>0</v>
      </c>
      <c r="S347" s="35" t="str">
        <f aca="false">IF(AND(OR(E347="Vacation",E347="Sick Leave",E347="Partial Vacation",E347="Partial Sick Leave"),NOT(U347)),"Leave not allowed on this day",IF(AND(E347="Manual Work",OR(NOT(ISNUMBER(F347)),NOT(ISNUMBER(G347)))),"Enter start and end",IF(AND(OR(E347="Partial Vacation",E347="Partial Sick Leave"),OR(NOT(ISNUMBER(H347)),NOT(ISNUMBER(I347)))),"Enter leave from and to",IF(AND(ISNUMBER(F347),ISNUMBER(G347),G347&lt;=F347),"End is before start",IF(AND(ISNUMBER(H347),ISNUMBER(I347),I347&lt;=H347),"Leave end is before start",IF(AND(ISNUMBER(F347),ISNUMBER(G347),ISNUMBER(H347),ISNUMBER(I347),F347&lt;I347,H347&lt;G347),"Work and leave hours overlap",IF(AND(E347&lt;&gt;"",WEEKDAY(A347)=7),"Saturday - administrator only","")))))))</f>
        <v/>
      </c>
      <c r="T347" s="36" t="n">
        <f aca="false">MONTH(A347)</f>
        <v>12</v>
      </c>
      <c r="U347" s="37" t="b">
        <f aca="false">OR(C347="Workday",C347="Eve")</f>
        <v>1</v>
      </c>
      <c r="V347" s="34" t="n">
        <f aca="false">IF(C347="Eve",Settings!$B$8,Settings!$B$7)</f>
        <v>0.6875</v>
      </c>
      <c r="W347" s="14" t="n">
        <f aca="false">IF(U347,(V347-Settings!$B$6)*24,0)</f>
        <v>8.5</v>
      </c>
    </row>
    <row r="348" customFormat="false" ht="15" hidden="false" customHeight="false" outlineLevel="0" collapsed="false">
      <c r="A348" s="29" t="n">
        <v>46364</v>
      </c>
      <c r="B348" s="30" t="str">
        <f aca="false">CHOOSE(WEEKDAY(A348),"Sun","Mon","Tue","Wed","Thu","Fri","Sat")</f>
        <v>Tue</v>
      </c>
      <c r="C348" s="30" t="str">
        <f aca="false">IF(IFERROR(INDEX(Holidays!$D$5:$D$60,MATCH(A348,Holidays!$A$5:$A$60,0)),"")="Holiday","Holiday",IF(WEEKDAY(A348)&gt;=6,"Weekend",IF(IFERROR(INDEX(Holidays!$D$5:$D$60,MATCH(A348,Holidays!$A$5:$A$60,0)),"")="Eve","Eve","Workday")))</f>
        <v>Workday</v>
      </c>
      <c r="D348" s="18" t="str">
        <f aca="false">IFERROR(INDEX(Holidays!$C$5:$C$60,MATCH(A348,Holidays!$A$5:$A$60,0)),"")</f>
        <v/>
      </c>
      <c r="E348" s="31"/>
      <c r="F348" s="32"/>
      <c r="G348" s="32"/>
      <c r="H348" s="32"/>
      <c r="I348" s="32"/>
      <c r="J348" s="31"/>
      <c r="K348" s="33" t="str">
        <f aca="false">IF(E348&lt;&gt;"",E348,IF(U348,"Present",IF(C348="Holiday","Holiday","Weekend")))</f>
        <v>Present</v>
      </c>
      <c r="L348" s="34" t="n">
        <f aca="false">IF(OR(K348="Present",K348="Manual Work",K348="Partial Vacation",K348="Partial Sick Leave"),IF(ISNUMBER(F348),F348,IF(AND(K348="Present",U348),Settings!$B$6,"")),"")</f>
        <v>0.333333333333333</v>
      </c>
      <c r="M348" s="34" t="n">
        <f aca="false">IF(OR(K348="Present",K348="Manual Work",K348="Partial Vacation",K348="Partial Sick Leave"),IF(ISNUMBER(G348),G348,IF(AND(K348="Present",U348),V348,"")),"")</f>
        <v>0.6875</v>
      </c>
      <c r="N348" s="14" t="n">
        <f aca="false">IF(AND(ISNUMBER(L348),ISNUMBER(M348)),MAX(0,(M348-L348)*24),0)</f>
        <v>8.5</v>
      </c>
      <c r="O348" s="14" t="n">
        <f aca="false">IF(NOT(U348),0,IF(K348="Vacation",IF(C348="Eve",Settings!$B$9*Settings!$B$11,W348),IF(K348="Partial Vacation",IF(AND(ISNUMBER(H348),ISNUMBER(I348)),MAX(0,(I348-H348)*24),0),0)))</f>
        <v>0</v>
      </c>
      <c r="P348" s="14" t="n">
        <f aca="false">IF(NOT(U348),0,IF(K348="Sick Leave",W348,IF(K348="Partial Sick Leave",IF(AND(ISNUMBER(H348),ISNUMBER(I348)),MAX(0,(I348-H348)*24),0),0)))</f>
        <v>0</v>
      </c>
      <c r="Q348" s="14" t="n">
        <f aca="false">IF(NOT(U348),0,IF(K348="Vacation",IF(C348="Eve",Settings!$B$11,1),IF(K348="Partial Vacation",O348/Settings!$B$9,0)))</f>
        <v>0</v>
      </c>
      <c r="R348" s="14" t="n">
        <f aca="false">IF(NOT(U348),0,IF(K348="Sick Leave",1,IF(K348="Partial Sick Leave",P348/Settings!$B$9,0)))</f>
        <v>0</v>
      </c>
      <c r="S348" s="35" t="str">
        <f aca="false">IF(AND(OR(E348="Vacation",E348="Sick Leave",E348="Partial Vacation",E348="Partial Sick Leave"),NOT(U348)),"Leave not allowed on this day",IF(AND(E348="Manual Work",OR(NOT(ISNUMBER(F348)),NOT(ISNUMBER(G348)))),"Enter start and end",IF(AND(OR(E348="Partial Vacation",E348="Partial Sick Leave"),OR(NOT(ISNUMBER(H348)),NOT(ISNUMBER(I348)))),"Enter leave from and to",IF(AND(ISNUMBER(F348),ISNUMBER(G348),G348&lt;=F348),"End is before start",IF(AND(ISNUMBER(H348),ISNUMBER(I348),I348&lt;=H348),"Leave end is before start",IF(AND(ISNUMBER(F348),ISNUMBER(G348),ISNUMBER(H348),ISNUMBER(I348),F348&lt;I348,H348&lt;G348),"Work and leave hours overlap",IF(AND(E348&lt;&gt;"",WEEKDAY(A348)=7),"Saturday - administrator only","")))))))</f>
        <v/>
      </c>
      <c r="T348" s="36" t="n">
        <f aca="false">MONTH(A348)</f>
        <v>12</v>
      </c>
      <c r="U348" s="37" t="b">
        <f aca="false">OR(C348="Workday",C348="Eve")</f>
        <v>1</v>
      </c>
      <c r="V348" s="34" t="n">
        <f aca="false">IF(C348="Eve",Settings!$B$8,Settings!$B$7)</f>
        <v>0.6875</v>
      </c>
      <c r="W348" s="14" t="n">
        <f aca="false">IF(U348,(V348-Settings!$B$6)*24,0)</f>
        <v>8.5</v>
      </c>
    </row>
    <row r="349" customFormat="false" ht="15" hidden="false" customHeight="false" outlineLevel="0" collapsed="false">
      <c r="A349" s="29" t="n">
        <v>46365</v>
      </c>
      <c r="B349" s="30" t="str">
        <f aca="false">CHOOSE(WEEKDAY(A349),"Sun","Mon","Tue","Wed","Thu","Fri","Sat")</f>
        <v>Wed</v>
      </c>
      <c r="C349" s="30" t="str">
        <f aca="false">IF(IFERROR(INDEX(Holidays!$D$5:$D$60,MATCH(A349,Holidays!$A$5:$A$60,0)),"")="Holiday","Holiday",IF(WEEKDAY(A349)&gt;=6,"Weekend",IF(IFERROR(INDEX(Holidays!$D$5:$D$60,MATCH(A349,Holidays!$A$5:$A$60,0)),"")="Eve","Eve","Workday")))</f>
        <v>Workday</v>
      </c>
      <c r="D349" s="18" t="str">
        <f aca="false">IFERROR(INDEX(Holidays!$C$5:$C$60,MATCH(A349,Holidays!$A$5:$A$60,0)),"")</f>
        <v/>
      </c>
      <c r="E349" s="31"/>
      <c r="F349" s="32"/>
      <c r="G349" s="32"/>
      <c r="H349" s="32"/>
      <c r="I349" s="32"/>
      <c r="J349" s="31"/>
      <c r="K349" s="33" t="str">
        <f aca="false">IF(E349&lt;&gt;"",E349,IF(U349,"Present",IF(C349="Holiday","Holiday","Weekend")))</f>
        <v>Present</v>
      </c>
      <c r="L349" s="34" t="n">
        <f aca="false">IF(OR(K349="Present",K349="Manual Work",K349="Partial Vacation",K349="Partial Sick Leave"),IF(ISNUMBER(F349),F349,IF(AND(K349="Present",U349),Settings!$B$6,"")),"")</f>
        <v>0.333333333333333</v>
      </c>
      <c r="M349" s="34" t="n">
        <f aca="false">IF(OR(K349="Present",K349="Manual Work",K349="Partial Vacation",K349="Partial Sick Leave"),IF(ISNUMBER(G349),G349,IF(AND(K349="Present",U349),V349,"")),"")</f>
        <v>0.6875</v>
      </c>
      <c r="N349" s="14" t="n">
        <f aca="false">IF(AND(ISNUMBER(L349),ISNUMBER(M349)),MAX(0,(M349-L349)*24),0)</f>
        <v>8.5</v>
      </c>
      <c r="O349" s="14" t="n">
        <f aca="false">IF(NOT(U349),0,IF(K349="Vacation",IF(C349="Eve",Settings!$B$9*Settings!$B$11,W349),IF(K349="Partial Vacation",IF(AND(ISNUMBER(H349),ISNUMBER(I349)),MAX(0,(I349-H349)*24),0),0)))</f>
        <v>0</v>
      </c>
      <c r="P349" s="14" t="n">
        <f aca="false">IF(NOT(U349),0,IF(K349="Sick Leave",W349,IF(K349="Partial Sick Leave",IF(AND(ISNUMBER(H349),ISNUMBER(I349)),MAX(0,(I349-H349)*24),0),0)))</f>
        <v>0</v>
      </c>
      <c r="Q349" s="14" t="n">
        <f aca="false">IF(NOT(U349),0,IF(K349="Vacation",IF(C349="Eve",Settings!$B$11,1),IF(K349="Partial Vacation",O349/Settings!$B$9,0)))</f>
        <v>0</v>
      </c>
      <c r="R349" s="14" t="n">
        <f aca="false">IF(NOT(U349),0,IF(K349="Sick Leave",1,IF(K349="Partial Sick Leave",P349/Settings!$B$9,0)))</f>
        <v>0</v>
      </c>
      <c r="S349" s="35" t="str">
        <f aca="false">IF(AND(OR(E349="Vacation",E349="Sick Leave",E349="Partial Vacation",E349="Partial Sick Leave"),NOT(U349)),"Leave not allowed on this day",IF(AND(E349="Manual Work",OR(NOT(ISNUMBER(F349)),NOT(ISNUMBER(G349)))),"Enter start and end",IF(AND(OR(E349="Partial Vacation",E349="Partial Sick Leave"),OR(NOT(ISNUMBER(H349)),NOT(ISNUMBER(I349)))),"Enter leave from and to",IF(AND(ISNUMBER(F349),ISNUMBER(G349),G349&lt;=F349),"End is before start",IF(AND(ISNUMBER(H349),ISNUMBER(I349),I349&lt;=H349),"Leave end is before start",IF(AND(ISNUMBER(F349),ISNUMBER(G349),ISNUMBER(H349),ISNUMBER(I349),F349&lt;I349,H349&lt;G349),"Work and leave hours overlap",IF(AND(E349&lt;&gt;"",WEEKDAY(A349)=7),"Saturday - administrator only","")))))))</f>
        <v/>
      </c>
      <c r="T349" s="36" t="n">
        <f aca="false">MONTH(A349)</f>
        <v>12</v>
      </c>
      <c r="U349" s="37" t="b">
        <f aca="false">OR(C349="Workday",C349="Eve")</f>
        <v>1</v>
      </c>
      <c r="V349" s="34" t="n">
        <f aca="false">IF(C349="Eve",Settings!$B$8,Settings!$B$7)</f>
        <v>0.6875</v>
      </c>
      <c r="W349" s="14" t="n">
        <f aca="false">IF(U349,(V349-Settings!$B$6)*24,0)</f>
        <v>8.5</v>
      </c>
    </row>
    <row r="350" customFormat="false" ht="15" hidden="false" customHeight="false" outlineLevel="0" collapsed="false">
      <c r="A350" s="29" t="n">
        <v>46366</v>
      </c>
      <c r="B350" s="30" t="str">
        <f aca="false">CHOOSE(WEEKDAY(A350),"Sun","Mon","Tue","Wed","Thu","Fri","Sat")</f>
        <v>Thu</v>
      </c>
      <c r="C350" s="30" t="str">
        <f aca="false">IF(IFERROR(INDEX(Holidays!$D$5:$D$60,MATCH(A350,Holidays!$A$5:$A$60,0)),"")="Holiday","Holiday",IF(WEEKDAY(A350)&gt;=6,"Weekend",IF(IFERROR(INDEX(Holidays!$D$5:$D$60,MATCH(A350,Holidays!$A$5:$A$60,0)),"")="Eve","Eve","Workday")))</f>
        <v>Workday</v>
      </c>
      <c r="D350" s="18" t="str">
        <f aca="false">IFERROR(INDEX(Holidays!$C$5:$C$60,MATCH(A350,Holidays!$A$5:$A$60,0)),"")</f>
        <v/>
      </c>
      <c r="E350" s="31"/>
      <c r="F350" s="32"/>
      <c r="G350" s="32"/>
      <c r="H350" s="32"/>
      <c r="I350" s="32"/>
      <c r="J350" s="31"/>
      <c r="K350" s="33" t="str">
        <f aca="false">IF(E350&lt;&gt;"",E350,IF(U350,"Present",IF(C350="Holiday","Holiday","Weekend")))</f>
        <v>Present</v>
      </c>
      <c r="L350" s="34" t="n">
        <f aca="false">IF(OR(K350="Present",K350="Manual Work",K350="Partial Vacation",K350="Partial Sick Leave"),IF(ISNUMBER(F350),F350,IF(AND(K350="Present",U350),Settings!$B$6,"")),"")</f>
        <v>0.333333333333333</v>
      </c>
      <c r="M350" s="34" t="n">
        <f aca="false">IF(OR(K350="Present",K350="Manual Work",K350="Partial Vacation",K350="Partial Sick Leave"),IF(ISNUMBER(G350),G350,IF(AND(K350="Present",U350),V350,"")),"")</f>
        <v>0.6875</v>
      </c>
      <c r="N350" s="14" t="n">
        <f aca="false">IF(AND(ISNUMBER(L350),ISNUMBER(M350)),MAX(0,(M350-L350)*24),0)</f>
        <v>8.5</v>
      </c>
      <c r="O350" s="14" t="n">
        <f aca="false">IF(NOT(U350),0,IF(K350="Vacation",IF(C350="Eve",Settings!$B$9*Settings!$B$11,W350),IF(K350="Partial Vacation",IF(AND(ISNUMBER(H350),ISNUMBER(I350)),MAX(0,(I350-H350)*24),0),0)))</f>
        <v>0</v>
      </c>
      <c r="P350" s="14" t="n">
        <f aca="false">IF(NOT(U350),0,IF(K350="Sick Leave",W350,IF(K350="Partial Sick Leave",IF(AND(ISNUMBER(H350),ISNUMBER(I350)),MAX(0,(I350-H350)*24),0),0)))</f>
        <v>0</v>
      </c>
      <c r="Q350" s="14" t="n">
        <f aca="false">IF(NOT(U350),0,IF(K350="Vacation",IF(C350="Eve",Settings!$B$11,1),IF(K350="Partial Vacation",O350/Settings!$B$9,0)))</f>
        <v>0</v>
      </c>
      <c r="R350" s="14" t="n">
        <f aca="false">IF(NOT(U350),0,IF(K350="Sick Leave",1,IF(K350="Partial Sick Leave",P350/Settings!$B$9,0)))</f>
        <v>0</v>
      </c>
      <c r="S350" s="35" t="str">
        <f aca="false">IF(AND(OR(E350="Vacation",E350="Sick Leave",E350="Partial Vacation",E350="Partial Sick Leave"),NOT(U350)),"Leave not allowed on this day",IF(AND(E350="Manual Work",OR(NOT(ISNUMBER(F350)),NOT(ISNUMBER(G350)))),"Enter start and end",IF(AND(OR(E350="Partial Vacation",E350="Partial Sick Leave"),OR(NOT(ISNUMBER(H350)),NOT(ISNUMBER(I350)))),"Enter leave from and to",IF(AND(ISNUMBER(F350),ISNUMBER(G350),G350&lt;=F350),"End is before start",IF(AND(ISNUMBER(H350),ISNUMBER(I350),I350&lt;=H350),"Leave end is before start",IF(AND(ISNUMBER(F350),ISNUMBER(G350),ISNUMBER(H350),ISNUMBER(I350),F350&lt;I350,H350&lt;G350),"Work and leave hours overlap",IF(AND(E350&lt;&gt;"",WEEKDAY(A350)=7),"Saturday - administrator only","")))))))</f>
        <v/>
      </c>
      <c r="T350" s="36" t="n">
        <f aca="false">MONTH(A350)</f>
        <v>12</v>
      </c>
      <c r="U350" s="37" t="b">
        <f aca="false">OR(C350="Workday",C350="Eve")</f>
        <v>1</v>
      </c>
      <c r="V350" s="34" t="n">
        <f aca="false">IF(C350="Eve",Settings!$B$8,Settings!$B$7)</f>
        <v>0.6875</v>
      </c>
      <c r="W350" s="14" t="n">
        <f aca="false">IF(U350,(V350-Settings!$B$6)*24,0)</f>
        <v>8.5</v>
      </c>
    </row>
    <row r="351" customFormat="false" ht="15" hidden="false" customHeight="false" outlineLevel="0" collapsed="false">
      <c r="A351" s="29" t="n">
        <v>46367</v>
      </c>
      <c r="B351" s="30" t="str">
        <f aca="false">CHOOSE(WEEKDAY(A351),"Sun","Mon","Tue","Wed","Thu","Fri","Sat")</f>
        <v>Fri</v>
      </c>
      <c r="C351" s="30" t="str">
        <f aca="false">IF(IFERROR(INDEX(Holidays!$D$5:$D$60,MATCH(A351,Holidays!$A$5:$A$60,0)),"")="Holiday","Holiday",IF(WEEKDAY(A351)&gt;=6,"Weekend",IF(IFERROR(INDEX(Holidays!$D$5:$D$60,MATCH(A351,Holidays!$A$5:$A$60,0)),"")="Eve","Eve","Workday")))</f>
        <v>Weekend</v>
      </c>
      <c r="D351" s="18" t="str">
        <f aca="false">IFERROR(INDEX(Holidays!$C$5:$C$60,MATCH(A351,Holidays!$A$5:$A$60,0)),"")</f>
        <v/>
      </c>
      <c r="E351" s="31"/>
      <c r="F351" s="32"/>
      <c r="G351" s="32"/>
      <c r="H351" s="32"/>
      <c r="I351" s="32"/>
      <c r="J351" s="31"/>
      <c r="K351" s="33" t="str">
        <f aca="false">IF(E351&lt;&gt;"",E351,IF(U351,"Present",IF(C351="Holiday","Holiday","Weekend")))</f>
        <v>Weekend</v>
      </c>
      <c r="L351" s="34" t="str">
        <f aca="false">IF(OR(K351="Present",K351="Manual Work",K351="Partial Vacation",K351="Partial Sick Leave"),IF(ISNUMBER(F351),F351,IF(AND(K351="Present",U351),Settings!$B$6,"")),"")</f>
        <v/>
      </c>
      <c r="M351" s="34" t="str">
        <f aca="false">IF(OR(K351="Present",K351="Manual Work",K351="Partial Vacation",K351="Partial Sick Leave"),IF(ISNUMBER(G351),G351,IF(AND(K351="Present",U351),V351,"")),"")</f>
        <v/>
      </c>
      <c r="N351" s="14" t="n">
        <f aca="false">IF(AND(ISNUMBER(L351),ISNUMBER(M351)),MAX(0,(M351-L351)*24),0)</f>
        <v>0</v>
      </c>
      <c r="O351" s="14" t="n">
        <f aca="false">IF(NOT(U351),0,IF(K351="Vacation",IF(C351="Eve",Settings!$B$9*Settings!$B$11,W351),IF(K351="Partial Vacation",IF(AND(ISNUMBER(H351),ISNUMBER(I351)),MAX(0,(I351-H351)*24),0),0)))</f>
        <v>0</v>
      </c>
      <c r="P351" s="14" t="n">
        <f aca="false">IF(NOT(U351),0,IF(K351="Sick Leave",W351,IF(K351="Partial Sick Leave",IF(AND(ISNUMBER(H351),ISNUMBER(I351)),MAX(0,(I351-H351)*24),0),0)))</f>
        <v>0</v>
      </c>
      <c r="Q351" s="14" t="n">
        <f aca="false">IF(NOT(U351),0,IF(K351="Vacation",IF(C351="Eve",Settings!$B$11,1),IF(K351="Partial Vacation",O351/Settings!$B$9,0)))</f>
        <v>0</v>
      </c>
      <c r="R351" s="14" t="n">
        <f aca="false">IF(NOT(U351),0,IF(K351="Sick Leave",1,IF(K351="Partial Sick Leave",P351/Settings!$B$9,0)))</f>
        <v>0</v>
      </c>
      <c r="S351" s="35" t="str">
        <f aca="false">IF(AND(OR(E351="Vacation",E351="Sick Leave",E351="Partial Vacation",E351="Partial Sick Leave"),NOT(U351)),"Leave not allowed on this day",IF(AND(E351="Manual Work",OR(NOT(ISNUMBER(F351)),NOT(ISNUMBER(G351)))),"Enter start and end",IF(AND(OR(E351="Partial Vacation",E351="Partial Sick Leave"),OR(NOT(ISNUMBER(H351)),NOT(ISNUMBER(I351)))),"Enter leave from and to",IF(AND(ISNUMBER(F351),ISNUMBER(G351),G351&lt;=F351),"End is before start",IF(AND(ISNUMBER(H351),ISNUMBER(I351),I351&lt;=H351),"Leave end is before start",IF(AND(ISNUMBER(F351),ISNUMBER(G351),ISNUMBER(H351),ISNUMBER(I351),F351&lt;I351,H351&lt;G351),"Work and leave hours overlap",IF(AND(E351&lt;&gt;"",WEEKDAY(A351)=7),"Saturday - administrator only","")))))))</f>
        <v/>
      </c>
      <c r="T351" s="36" t="n">
        <f aca="false">MONTH(A351)</f>
        <v>12</v>
      </c>
      <c r="U351" s="37" t="b">
        <f aca="false">OR(C351="Workday",C351="Eve")</f>
        <v>0</v>
      </c>
      <c r="V351" s="34" t="n">
        <f aca="false">IF(C351="Eve",Settings!$B$8,Settings!$B$7)</f>
        <v>0.6875</v>
      </c>
      <c r="W351" s="14" t="n">
        <f aca="false">IF(U351,(V351-Settings!$B$6)*24,0)</f>
        <v>0</v>
      </c>
    </row>
    <row r="352" customFormat="false" ht="15" hidden="false" customHeight="false" outlineLevel="0" collapsed="false">
      <c r="A352" s="29" t="n">
        <v>46368</v>
      </c>
      <c r="B352" s="30" t="str">
        <f aca="false">CHOOSE(WEEKDAY(A352),"Sun","Mon","Tue","Wed","Thu","Fri","Sat")</f>
        <v>Sat</v>
      </c>
      <c r="C352" s="30" t="str">
        <f aca="false">IF(IFERROR(INDEX(Holidays!$D$5:$D$60,MATCH(A352,Holidays!$A$5:$A$60,0)),"")="Holiday","Holiday",IF(WEEKDAY(A352)&gt;=6,"Weekend",IF(IFERROR(INDEX(Holidays!$D$5:$D$60,MATCH(A352,Holidays!$A$5:$A$60,0)),"")="Eve","Eve","Workday")))</f>
        <v>Weekend</v>
      </c>
      <c r="D352" s="18" t="str">
        <f aca="false">IFERROR(INDEX(Holidays!$C$5:$C$60,MATCH(A352,Holidays!$A$5:$A$60,0)),"")</f>
        <v/>
      </c>
      <c r="E352" s="31"/>
      <c r="F352" s="32"/>
      <c r="G352" s="32"/>
      <c r="H352" s="32"/>
      <c r="I352" s="32"/>
      <c r="J352" s="31"/>
      <c r="K352" s="33" t="str">
        <f aca="false">IF(E352&lt;&gt;"",E352,IF(U352,"Present",IF(C352="Holiday","Holiday","Weekend")))</f>
        <v>Weekend</v>
      </c>
      <c r="L352" s="34" t="str">
        <f aca="false">IF(OR(K352="Present",K352="Manual Work",K352="Partial Vacation",K352="Partial Sick Leave"),IF(ISNUMBER(F352),F352,IF(AND(K352="Present",U352),Settings!$B$6,"")),"")</f>
        <v/>
      </c>
      <c r="M352" s="34" t="str">
        <f aca="false">IF(OR(K352="Present",K352="Manual Work",K352="Partial Vacation",K352="Partial Sick Leave"),IF(ISNUMBER(G352),G352,IF(AND(K352="Present",U352),V352,"")),"")</f>
        <v/>
      </c>
      <c r="N352" s="14" t="n">
        <f aca="false">IF(AND(ISNUMBER(L352),ISNUMBER(M352)),MAX(0,(M352-L352)*24),0)</f>
        <v>0</v>
      </c>
      <c r="O352" s="14" t="n">
        <f aca="false">IF(NOT(U352),0,IF(K352="Vacation",IF(C352="Eve",Settings!$B$9*Settings!$B$11,W352),IF(K352="Partial Vacation",IF(AND(ISNUMBER(H352),ISNUMBER(I352)),MAX(0,(I352-H352)*24),0),0)))</f>
        <v>0</v>
      </c>
      <c r="P352" s="14" t="n">
        <f aca="false">IF(NOT(U352),0,IF(K352="Sick Leave",W352,IF(K352="Partial Sick Leave",IF(AND(ISNUMBER(H352),ISNUMBER(I352)),MAX(0,(I352-H352)*24),0),0)))</f>
        <v>0</v>
      </c>
      <c r="Q352" s="14" t="n">
        <f aca="false">IF(NOT(U352),0,IF(K352="Vacation",IF(C352="Eve",Settings!$B$11,1),IF(K352="Partial Vacation",O352/Settings!$B$9,0)))</f>
        <v>0</v>
      </c>
      <c r="R352" s="14" t="n">
        <f aca="false">IF(NOT(U352),0,IF(K352="Sick Leave",1,IF(K352="Partial Sick Leave",P352/Settings!$B$9,0)))</f>
        <v>0</v>
      </c>
      <c r="S352" s="35" t="str">
        <f aca="false">IF(AND(OR(E352="Vacation",E352="Sick Leave",E352="Partial Vacation",E352="Partial Sick Leave"),NOT(U352)),"Leave not allowed on this day",IF(AND(E352="Manual Work",OR(NOT(ISNUMBER(F352)),NOT(ISNUMBER(G352)))),"Enter start and end",IF(AND(OR(E352="Partial Vacation",E352="Partial Sick Leave"),OR(NOT(ISNUMBER(H352)),NOT(ISNUMBER(I352)))),"Enter leave from and to",IF(AND(ISNUMBER(F352),ISNUMBER(G352),G352&lt;=F352),"End is before start",IF(AND(ISNUMBER(H352),ISNUMBER(I352),I352&lt;=H352),"Leave end is before start",IF(AND(ISNUMBER(F352),ISNUMBER(G352),ISNUMBER(H352),ISNUMBER(I352),F352&lt;I352,H352&lt;G352),"Work and leave hours overlap",IF(AND(E352&lt;&gt;"",WEEKDAY(A352)=7),"Saturday - administrator only","")))))))</f>
        <v/>
      </c>
      <c r="T352" s="36" t="n">
        <f aca="false">MONTH(A352)</f>
        <v>12</v>
      </c>
      <c r="U352" s="37" t="b">
        <f aca="false">OR(C352="Workday",C352="Eve")</f>
        <v>0</v>
      </c>
      <c r="V352" s="34" t="n">
        <f aca="false">IF(C352="Eve",Settings!$B$8,Settings!$B$7)</f>
        <v>0.6875</v>
      </c>
      <c r="W352" s="14" t="n">
        <f aca="false">IF(U352,(V352-Settings!$B$6)*24,0)</f>
        <v>0</v>
      </c>
    </row>
    <row r="353" customFormat="false" ht="15" hidden="false" customHeight="false" outlineLevel="0" collapsed="false">
      <c r="A353" s="29" t="n">
        <v>46369</v>
      </c>
      <c r="B353" s="30" t="str">
        <f aca="false">CHOOSE(WEEKDAY(A353),"Sun","Mon","Tue","Wed","Thu","Fri","Sat")</f>
        <v>Sun</v>
      </c>
      <c r="C353" s="30" t="str">
        <f aca="false">IF(IFERROR(INDEX(Holidays!$D$5:$D$60,MATCH(A353,Holidays!$A$5:$A$60,0)),"")="Holiday","Holiday",IF(WEEKDAY(A353)&gt;=6,"Weekend",IF(IFERROR(INDEX(Holidays!$D$5:$D$60,MATCH(A353,Holidays!$A$5:$A$60,0)),"")="Eve","Eve","Workday")))</f>
        <v>Workday</v>
      </c>
      <c r="D353" s="18" t="str">
        <f aca="false">IFERROR(INDEX(Holidays!$C$5:$C$60,MATCH(A353,Holidays!$A$5:$A$60,0)),"")</f>
        <v/>
      </c>
      <c r="E353" s="31"/>
      <c r="F353" s="32"/>
      <c r="G353" s="32"/>
      <c r="H353" s="32"/>
      <c r="I353" s="32"/>
      <c r="J353" s="31"/>
      <c r="K353" s="33" t="str">
        <f aca="false">IF(E353&lt;&gt;"",E353,IF(U353,"Present",IF(C353="Holiday","Holiday","Weekend")))</f>
        <v>Present</v>
      </c>
      <c r="L353" s="34" t="n">
        <f aca="false">IF(OR(K353="Present",K353="Manual Work",K353="Partial Vacation",K353="Partial Sick Leave"),IF(ISNUMBER(F353),F353,IF(AND(K353="Present",U353),Settings!$B$6,"")),"")</f>
        <v>0.333333333333333</v>
      </c>
      <c r="M353" s="34" t="n">
        <f aca="false">IF(OR(K353="Present",K353="Manual Work",K353="Partial Vacation",K353="Partial Sick Leave"),IF(ISNUMBER(G353),G353,IF(AND(K353="Present",U353),V353,"")),"")</f>
        <v>0.6875</v>
      </c>
      <c r="N353" s="14" t="n">
        <f aca="false">IF(AND(ISNUMBER(L353),ISNUMBER(M353)),MAX(0,(M353-L353)*24),0)</f>
        <v>8.5</v>
      </c>
      <c r="O353" s="14" t="n">
        <f aca="false">IF(NOT(U353),0,IF(K353="Vacation",IF(C353="Eve",Settings!$B$9*Settings!$B$11,W353),IF(K353="Partial Vacation",IF(AND(ISNUMBER(H353),ISNUMBER(I353)),MAX(0,(I353-H353)*24),0),0)))</f>
        <v>0</v>
      </c>
      <c r="P353" s="14" t="n">
        <f aca="false">IF(NOT(U353),0,IF(K353="Sick Leave",W353,IF(K353="Partial Sick Leave",IF(AND(ISNUMBER(H353),ISNUMBER(I353)),MAX(0,(I353-H353)*24),0),0)))</f>
        <v>0</v>
      </c>
      <c r="Q353" s="14" t="n">
        <f aca="false">IF(NOT(U353),0,IF(K353="Vacation",IF(C353="Eve",Settings!$B$11,1),IF(K353="Partial Vacation",O353/Settings!$B$9,0)))</f>
        <v>0</v>
      </c>
      <c r="R353" s="14" t="n">
        <f aca="false">IF(NOT(U353),0,IF(K353="Sick Leave",1,IF(K353="Partial Sick Leave",P353/Settings!$B$9,0)))</f>
        <v>0</v>
      </c>
      <c r="S353" s="35" t="str">
        <f aca="false">IF(AND(OR(E353="Vacation",E353="Sick Leave",E353="Partial Vacation",E353="Partial Sick Leave"),NOT(U353)),"Leave not allowed on this day",IF(AND(E353="Manual Work",OR(NOT(ISNUMBER(F353)),NOT(ISNUMBER(G353)))),"Enter start and end",IF(AND(OR(E353="Partial Vacation",E353="Partial Sick Leave"),OR(NOT(ISNUMBER(H353)),NOT(ISNUMBER(I353)))),"Enter leave from and to",IF(AND(ISNUMBER(F353),ISNUMBER(G353),G353&lt;=F353),"End is before start",IF(AND(ISNUMBER(H353),ISNUMBER(I353),I353&lt;=H353),"Leave end is before start",IF(AND(ISNUMBER(F353),ISNUMBER(G353),ISNUMBER(H353),ISNUMBER(I353),F353&lt;I353,H353&lt;G353),"Work and leave hours overlap",IF(AND(E353&lt;&gt;"",WEEKDAY(A353)=7),"Saturday - administrator only","")))))))</f>
        <v/>
      </c>
      <c r="T353" s="36" t="n">
        <f aca="false">MONTH(A353)</f>
        <v>12</v>
      </c>
      <c r="U353" s="37" t="b">
        <f aca="false">OR(C353="Workday",C353="Eve")</f>
        <v>1</v>
      </c>
      <c r="V353" s="34" t="n">
        <f aca="false">IF(C353="Eve",Settings!$B$8,Settings!$B$7)</f>
        <v>0.6875</v>
      </c>
      <c r="W353" s="14" t="n">
        <f aca="false">IF(U353,(V353-Settings!$B$6)*24,0)</f>
        <v>8.5</v>
      </c>
    </row>
    <row r="354" customFormat="false" ht="15" hidden="false" customHeight="false" outlineLevel="0" collapsed="false">
      <c r="A354" s="29" t="n">
        <v>46370</v>
      </c>
      <c r="B354" s="30" t="str">
        <f aca="false">CHOOSE(WEEKDAY(A354),"Sun","Mon","Tue","Wed","Thu","Fri","Sat")</f>
        <v>Mon</v>
      </c>
      <c r="C354" s="30" t="str">
        <f aca="false">IF(IFERROR(INDEX(Holidays!$D$5:$D$60,MATCH(A354,Holidays!$A$5:$A$60,0)),"")="Holiday","Holiday",IF(WEEKDAY(A354)&gt;=6,"Weekend",IF(IFERROR(INDEX(Holidays!$D$5:$D$60,MATCH(A354,Holidays!$A$5:$A$60,0)),"")="Eve","Eve","Workday")))</f>
        <v>Workday</v>
      </c>
      <c r="D354" s="18" t="str">
        <f aca="false">IFERROR(INDEX(Holidays!$C$5:$C$60,MATCH(A354,Holidays!$A$5:$A$60,0)),"")</f>
        <v/>
      </c>
      <c r="E354" s="31"/>
      <c r="F354" s="32"/>
      <c r="G354" s="32"/>
      <c r="H354" s="32"/>
      <c r="I354" s="32"/>
      <c r="J354" s="31"/>
      <c r="K354" s="33" t="str">
        <f aca="false">IF(E354&lt;&gt;"",E354,IF(U354,"Present",IF(C354="Holiday","Holiday","Weekend")))</f>
        <v>Present</v>
      </c>
      <c r="L354" s="34" t="n">
        <f aca="false">IF(OR(K354="Present",K354="Manual Work",K354="Partial Vacation",K354="Partial Sick Leave"),IF(ISNUMBER(F354),F354,IF(AND(K354="Present",U354),Settings!$B$6,"")),"")</f>
        <v>0.333333333333333</v>
      </c>
      <c r="M354" s="34" t="n">
        <f aca="false">IF(OR(K354="Present",K354="Manual Work",K354="Partial Vacation",K354="Partial Sick Leave"),IF(ISNUMBER(G354),G354,IF(AND(K354="Present",U354),V354,"")),"")</f>
        <v>0.6875</v>
      </c>
      <c r="N354" s="14" t="n">
        <f aca="false">IF(AND(ISNUMBER(L354),ISNUMBER(M354)),MAX(0,(M354-L354)*24),0)</f>
        <v>8.5</v>
      </c>
      <c r="O354" s="14" t="n">
        <f aca="false">IF(NOT(U354),0,IF(K354="Vacation",IF(C354="Eve",Settings!$B$9*Settings!$B$11,W354),IF(K354="Partial Vacation",IF(AND(ISNUMBER(H354),ISNUMBER(I354)),MAX(0,(I354-H354)*24),0),0)))</f>
        <v>0</v>
      </c>
      <c r="P354" s="14" t="n">
        <f aca="false">IF(NOT(U354),0,IF(K354="Sick Leave",W354,IF(K354="Partial Sick Leave",IF(AND(ISNUMBER(H354),ISNUMBER(I354)),MAX(0,(I354-H354)*24),0),0)))</f>
        <v>0</v>
      </c>
      <c r="Q354" s="14" t="n">
        <f aca="false">IF(NOT(U354),0,IF(K354="Vacation",IF(C354="Eve",Settings!$B$11,1),IF(K354="Partial Vacation",O354/Settings!$B$9,0)))</f>
        <v>0</v>
      </c>
      <c r="R354" s="14" t="n">
        <f aca="false">IF(NOT(U354),0,IF(K354="Sick Leave",1,IF(K354="Partial Sick Leave",P354/Settings!$B$9,0)))</f>
        <v>0</v>
      </c>
      <c r="S354" s="35" t="str">
        <f aca="false">IF(AND(OR(E354="Vacation",E354="Sick Leave",E354="Partial Vacation",E354="Partial Sick Leave"),NOT(U354)),"Leave not allowed on this day",IF(AND(E354="Manual Work",OR(NOT(ISNUMBER(F354)),NOT(ISNUMBER(G354)))),"Enter start and end",IF(AND(OR(E354="Partial Vacation",E354="Partial Sick Leave"),OR(NOT(ISNUMBER(H354)),NOT(ISNUMBER(I354)))),"Enter leave from and to",IF(AND(ISNUMBER(F354),ISNUMBER(G354),G354&lt;=F354),"End is before start",IF(AND(ISNUMBER(H354),ISNUMBER(I354),I354&lt;=H354),"Leave end is before start",IF(AND(ISNUMBER(F354),ISNUMBER(G354),ISNUMBER(H354),ISNUMBER(I354),F354&lt;I354,H354&lt;G354),"Work and leave hours overlap",IF(AND(E354&lt;&gt;"",WEEKDAY(A354)=7),"Saturday - administrator only","")))))))</f>
        <v/>
      </c>
      <c r="T354" s="36" t="n">
        <f aca="false">MONTH(A354)</f>
        <v>12</v>
      </c>
      <c r="U354" s="37" t="b">
        <f aca="false">OR(C354="Workday",C354="Eve")</f>
        <v>1</v>
      </c>
      <c r="V354" s="34" t="n">
        <f aca="false">IF(C354="Eve",Settings!$B$8,Settings!$B$7)</f>
        <v>0.6875</v>
      </c>
      <c r="W354" s="14" t="n">
        <f aca="false">IF(U354,(V354-Settings!$B$6)*24,0)</f>
        <v>8.5</v>
      </c>
    </row>
    <row r="355" customFormat="false" ht="15" hidden="false" customHeight="false" outlineLevel="0" collapsed="false">
      <c r="A355" s="29" t="n">
        <v>46371</v>
      </c>
      <c r="B355" s="30" t="str">
        <f aca="false">CHOOSE(WEEKDAY(A355),"Sun","Mon","Tue","Wed","Thu","Fri","Sat")</f>
        <v>Tue</v>
      </c>
      <c r="C355" s="30" t="str">
        <f aca="false">IF(IFERROR(INDEX(Holidays!$D$5:$D$60,MATCH(A355,Holidays!$A$5:$A$60,0)),"")="Holiday","Holiday",IF(WEEKDAY(A355)&gt;=6,"Weekend",IF(IFERROR(INDEX(Holidays!$D$5:$D$60,MATCH(A355,Holidays!$A$5:$A$60,0)),"")="Eve","Eve","Workday")))</f>
        <v>Workday</v>
      </c>
      <c r="D355" s="18" t="str">
        <f aca="false">IFERROR(INDEX(Holidays!$C$5:$C$60,MATCH(A355,Holidays!$A$5:$A$60,0)),"")</f>
        <v/>
      </c>
      <c r="E355" s="31"/>
      <c r="F355" s="32"/>
      <c r="G355" s="32"/>
      <c r="H355" s="32"/>
      <c r="I355" s="32"/>
      <c r="J355" s="31"/>
      <c r="K355" s="33" t="str">
        <f aca="false">IF(E355&lt;&gt;"",E355,IF(U355,"Present",IF(C355="Holiday","Holiday","Weekend")))</f>
        <v>Present</v>
      </c>
      <c r="L355" s="34" t="n">
        <f aca="false">IF(OR(K355="Present",K355="Manual Work",K355="Partial Vacation",K355="Partial Sick Leave"),IF(ISNUMBER(F355),F355,IF(AND(K355="Present",U355),Settings!$B$6,"")),"")</f>
        <v>0.333333333333333</v>
      </c>
      <c r="M355" s="34" t="n">
        <f aca="false">IF(OR(K355="Present",K355="Manual Work",K355="Partial Vacation",K355="Partial Sick Leave"),IF(ISNUMBER(G355),G355,IF(AND(K355="Present",U355),V355,"")),"")</f>
        <v>0.6875</v>
      </c>
      <c r="N355" s="14" t="n">
        <f aca="false">IF(AND(ISNUMBER(L355),ISNUMBER(M355)),MAX(0,(M355-L355)*24),0)</f>
        <v>8.5</v>
      </c>
      <c r="O355" s="14" t="n">
        <f aca="false">IF(NOT(U355),0,IF(K355="Vacation",IF(C355="Eve",Settings!$B$9*Settings!$B$11,W355),IF(K355="Partial Vacation",IF(AND(ISNUMBER(H355),ISNUMBER(I355)),MAX(0,(I355-H355)*24),0),0)))</f>
        <v>0</v>
      </c>
      <c r="P355" s="14" t="n">
        <f aca="false">IF(NOT(U355),0,IF(K355="Sick Leave",W355,IF(K355="Partial Sick Leave",IF(AND(ISNUMBER(H355),ISNUMBER(I355)),MAX(0,(I355-H355)*24),0),0)))</f>
        <v>0</v>
      </c>
      <c r="Q355" s="14" t="n">
        <f aca="false">IF(NOT(U355),0,IF(K355="Vacation",IF(C355="Eve",Settings!$B$11,1),IF(K355="Partial Vacation",O355/Settings!$B$9,0)))</f>
        <v>0</v>
      </c>
      <c r="R355" s="14" t="n">
        <f aca="false">IF(NOT(U355),0,IF(K355="Sick Leave",1,IF(K355="Partial Sick Leave",P355/Settings!$B$9,0)))</f>
        <v>0</v>
      </c>
      <c r="S355" s="35" t="str">
        <f aca="false">IF(AND(OR(E355="Vacation",E355="Sick Leave",E355="Partial Vacation",E355="Partial Sick Leave"),NOT(U355)),"Leave not allowed on this day",IF(AND(E355="Manual Work",OR(NOT(ISNUMBER(F355)),NOT(ISNUMBER(G355)))),"Enter start and end",IF(AND(OR(E355="Partial Vacation",E355="Partial Sick Leave"),OR(NOT(ISNUMBER(H355)),NOT(ISNUMBER(I355)))),"Enter leave from and to",IF(AND(ISNUMBER(F355),ISNUMBER(G355),G355&lt;=F355),"End is before start",IF(AND(ISNUMBER(H355),ISNUMBER(I355),I355&lt;=H355),"Leave end is before start",IF(AND(ISNUMBER(F355),ISNUMBER(G355),ISNUMBER(H355),ISNUMBER(I355),F355&lt;I355,H355&lt;G355),"Work and leave hours overlap",IF(AND(E355&lt;&gt;"",WEEKDAY(A355)=7),"Saturday - administrator only","")))))))</f>
        <v/>
      </c>
      <c r="T355" s="36" t="n">
        <f aca="false">MONTH(A355)</f>
        <v>12</v>
      </c>
      <c r="U355" s="37" t="b">
        <f aca="false">OR(C355="Workday",C355="Eve")</f>
        <v>1</v>
      </c>
      <c r="V355" s="34" t="n">
        <f aca="false">IF(C355="Eve",Settings!$B$8,Settings!$B$7)</f>
        <v>0.6875</v>
      </c>
      <c r="W355" s="14" t="n">
        <f aca="false">IF(U355,(V355-Settings!$B$6)*24,0)</f>
        <v>8.5</v>
      </c>
    </row>
    <row r="356" customFormat="false" ht="15" hidden="false" customHeight="false" outlineLevel="0" collapsed="false">
      <c r="A356" s="29" t="n">
        <v>46372</v>
      </c>
      <c r="B356" s="30" t="str">
        <f aca="false">CHOOSE(WEEKDAY(A356),"Sun","Mon","Tue","Wed","Thu","Fri","Sat")</f>
        <v>Wed</v>
      </c>
      <c r="C356" s="30" t="str">
        <f aca="false">IF(IFERROR(INDEX(Holidays!$D$5:$D$60,MATCH(A356,Holidays!$A$5:$A$60,0)),"")="Holiday","Holiday",IF(WEEKDAY(A356)&gt;=6,"Weekend",IF(IFERROR(INDEX(Holidays!$D$5:$D$60,MATCH(A356,Holidays!$A$5:$A$60,0)),"")="Eve","Eve","Workday")))</f>
        <v>Workday</v>
      </c>
      <c r="D356" s="18" t="str">
        <f aca="false">IFERROR(INDEX(Holidays!$C$5:$C$60,MATCH(A356,Holidays!$A$5:$A$60,0)),"")</f>
        <v/>
      </c>
      <c r="E356" s="31"/>
      <c r="F356" s="32"/>
      <c r="G356" s="32"/>
      <c r="H356" s="32"/>
      <c r="I356" s="32"/>
      <c r="J356" s="31"/>
      <c r="K356" s="33" t="str">
        <f aca="false">IF(E356&lt;&gt;"",E356,IF(U356,"Present",IF(C356="Holiday","Holiday","Weekend")))</f>
        <v>Present</v>
      </c>
      <c r="L356" s="34" t="n">
        <f aca="false">IF(OR(K356="Present",K356="Manual Work",K356="Partial Vacation",K356="Partial Sick Leave"),IF(ISNUMBER(F356),F356,IF(AND(K356="Present",U356),Settings!$B$6,"")),"")</f>
        <v>0.333333333333333</v>
      </c>
      <c r="M356" s="34" t="n">
        <f aca="false">IF(OR(K356="Present",K356="Manual Work",K356="Partial Vacation",K356="Partial Sick Leave"),IF(ISNUMBER(G356),G356,IF(AND(K356="Present",U356),V356,"")),"")</f>
        <v>0.6875</v>
      </c>
      <c r="N356" s="14" t="n">
        <f aca="false">IF(AND(ISNUMBER(L356),ISNUMBER(M356)),MAX(0,(M356-L356)*24),0)</f>
        <v>8.5</v>
      </c>
      <c r="O356" s="14" t="n">
        <f aca="false">IF(NOT(U356),0,IF(K356="Vacation",IF(C356="Eve",Settings!$B$9*Settings!$B$11,W356),IF(K356="Partial Vacation",IF(AND(ISNUMBER(H356),ISNUMBER(I356)),MAX(0,(I356-H356)*24),0),0)))</f>
        <v>0</v>
      </c>
      <c r="P356" s="14" t="n">
        <f aca="false">IF(NOT(U356),0,IF(K356="Sick Leave",W356,IF(K356="Partial Sick Leave",IF(AND(ISNUMBER(H356),ISNUMBER(I356)),MAX(0,(I356-H356)*24),0),0)))</f>
        <v>0</v>
      </c>
      <c r="Q356" s="14" t="n">
        <f aca="false">IF(NOT(U356),0,IF(K356="Vacation",IF(C356="Eve",Settings!$B$11,1),IF(K356="Partial Vacation",O356/Settings!$B$9,0)))</f>
        <v>0</v>
      </c>
      <c r="R356" s="14" t="n">
        <f aca="false">IF(NOT(U356),0,IF(K356="Sick Leave",1,IF(K356="Partial Sick Leave",P356/Settings!$B$9,0)))</f>
        <v>0</v>
      </c>
      <c r="S356" s="35" t="str">
        <f aca="false">IF(AND(OR(E356="Vacation",E356="Sick Leave",E356="Partial Vacation",E356="Partial Sick Leave"),NOT(U356)),"Leave not allowed on this day",IF(AND(E356="Manual Work",OR(NOT(ISNUMBER(F356)),NOT(ISNUMBER(G356)))),"Enter start and end",IF(AND(OR(E356="Partial Vacation",E356="Partial Sick Leave"),OR(NOT(ISNUMBER(H356)),NOT(ISNUMBER(I356)))),"Enter leave from and to",IF(AND(ISNUMBER(F356),ISNUMBER(G356),G356&lt;=F356),"End is before start",IF(AND(ISNUMBER(H356),ISNUMBER(I356),I356&lt;=H356),"Leave end is before start",IF(AND(ISNUMBER(F356),ISNUMBER(G356),ISNUMBER(H356),ISNUMBER(I356),F356&lt;I356,H356&lt;G356),"Work and leave hours overlap",IF(AND(E356&lt;&gt;"",WEEKDAY(A356)=7),"Saturday - administrator only","")))))))</f>
        <v/>
      </c>
      <c r="T356" s="36" t="n">
        <f aca="false">MONTH(A356)</f>
        <v>12</v>
      </c>
      <c r="U356" s="37" t="b">
        <f aca="false">OR(C356="Workday",C356="Eve")</f>
        <v>1</v>
      </c>
      <c r="V356" s="34" t="n">
        <f aca="false">IF(C356="Eve",Settings!$B$8,Settings!$B$7)</f>
        <v>0.6875</v>
      </c>
      <c r="W356" s="14" t="n">
        <f aca="false">IF(U356,(V356-Settings!$B$6)*24,0)</f>
        <v>8.5</v>
      </c>
    </row>
    <row r="357" customFormat="false" ht="15" hidden="false" customHeight="false" outlineLevel="0" collapsed="false">
      <c r="A357" s="29" t="n">
        <v>46373</v>
      </c>
      <c r="B357" s="30" t="str">
        <f aca="false">CHOOSE(WEEKDAY(A357),"Sun","Mon","Tue","Wed","Thu","Fri","Sat")</f>
        <v>Thu</v>
      </c>
      <c r="C357" s="30" t="str">
        <f aca="false">IF(IFERROR(INDEX(Holidays!$D$5:$D$60,MATCH(A357,Holidays!$A$5:$A$60,0)),"")="Holiday","Holiday",IF(WEEKDAY(A357)&gt;=6,"Weekend",IF(IFERROR(INDEX(Holidays!$D$5:$D$60,MATCH(A357,Holidays!$A$5:$A$60,0)),"")="Eve","Eve","Workday")))</f>
        <v>Workday</v>
      </c>
      <c r="D357" s="18" t="str">
        <f aca="false">IFERROR(INDEX(Holidays!$C$5:$C$60,MATCH(A357,Holidays!$A$5:$A$60,0)),"")</f>
        <v/>
      </c>
      <c r="E357" s="31"/>
      <c r="F357" s="32"/>
      <c r="G357" s="32"/>
      <c r="H357" s="32"/>
      <c r="I357" s="32"/>
      <c r="J357" s="31"/>
      <c r="K357" s="33" t="str">
        <f aca="false">IF(E357&lt;&gt;"",E357,IF(U357,"Present",IF(C357="Holiday","Holiday","Weekend")))</f>
        <v>Present</v>
      </c>
      <c r="L357" s="34" t="n">
        <f aca="false">IF(OR(K357="Present",K357="Manual Work",K357="Partial Vacation",K357="Partial Sick Leave"),IF(ISNUMBER(F357),F357,IF(AND(K357="Present",U357),Settings!$B$6,"")),"")</f>
        <v>0.333333333333333</v>
      </c>
      <c r="M357" s="34" t="n">
        <f aca="false">IF(OR(K357="Present",K357="Manual Work",K357="Partial Vacation",K357="Partial Sick Leave"),IF(ISNUMBER(G357),G357,IF(AND(K357="Present",U357),V357,"")),"")</f>
        <v>0.6875</v>
      </c>
      <c r="N357" s="14" t="n">
        <f aca="false">IF(AND(ISNUMBER(L357),ISNUMBER(M357)),MAX(0,(M357-L357)*24),0)</f>
        <v>8.5</v>
      </c>
      <c r="O357" s="14" t="n">
        <f aca="false">IF(NOT(U357),0,IF(K357="Vacation",IF(C357="Eve",Settings!$B$9*Settings!$B$11,W357),IF(K357="Partial Vacation",IF(AND(ISNUMBER(H357),ISNUMBER(I357)),MAX(0,(I357-H357)*24),0),0)))</f>
        <v>0</v>
      </c>
      <c r="P357" s="14" t="n">
        <f aca="false">IF(NOT(U357),0,IF(K357="Sick Leave",W357,IF(K357="Partial Sick Leave",IF(AND(ISNUMBER(H357),ISNUMBER(I357)),MAX(0,(I357-H357)*24),0),0)))</f>
        <v>0</v>
      </c>
      <c r="Q357" s="14" t="n">
        <f aca="false">IF(NOT(U357),0,IF(K357="Vacation",IF(C357="Eve",Settings!$B$11,1),IF(K357="Partial Vacation",O357/Settings!$B$9,0)))</f>
        <v>0</v>
      </c>
      <c r="R357" s="14" t="n">
        <f aca="false">IF(NOT(U357),0,IF(K357="Sick Leave",1,IF(K357="Partial Sick Leave",P357/Settings!$B$9,0)))</f>
        <v>0</v>
      </c>
      <c r="S357" s="35" t="str">
        <f aca="false">IF(AND(OR(E357="Vacation",E357="Sick Leave",E357="Partial Vacation",E357="Partial Sick Leave"),NOT(U357)),"Leave not allowed on this day",IF(AND(E357="Manual Work",OR(NOT(ISNUMBER(F357)),NOT(ISNUMBER(G357)))),"Enter start and end",IF(AND(OR(E357="Partial Vacation",E357="Partial Sick Leave"),OR(NOT(ISNUMBER(H357)),NOT(ISNUMBER(I357)))),"Enter leave from and to",IF(AND(ISNUMBER(F357),ISNUMBER(G357),G357&lt;=F357),"End is before start",IF(AND(ISNUMBER(H357),ISNUMBER(I357),I357&lt;=H357),"Leave end is before start",IF(AND(ISNUMBER(F357),ISNUMBER(G357),ISNUMBER(H357),ISNUMBER(I357),F357&lt;I357,H357&lt;G357),"Work and leave hours overlap",IF(AND(E357&lt;&gt;"",WEEKDAY(A357)=7),"Saturday - administrator only","")))))))</f>
        <v/>
      </c>
      <c r="T357" s="36" t="n">
        <f aca="false">MONTH(A357)</f>
        <v>12</v>
      </c>
      <c r="U357" s="37" t="b">
        <f aca="false">OR(C357="Workday",C357="Eve")</f>
        <v>1</v>
      </c>
      <c r="V357" s="34" t="n">
        <f aca="false">IF(C357="Eve",Settings!$B$8,Settings!$B$7)</f>
        <v>0.6875</v>
      </c>
      <c r="W357" s="14" t="n">
        <f aca="false">IF(U357,(V357-Settings!$B$6)*24,0)</f>
        <v>8.5</v>
      </c>
    </row>
    <row r="358" customFormat="false" ht="15" hidden="false" customHeight="false" outlineLevel="0" collapsed="false">
      <c r="A358" s="29" t="n">
        <v>46374</v>
      </c>
      <c r="B358" s="30" t="str">
        <f aca="false">CHOOSE(WEEKDAY(A358),"Sun","Mon","Tue","Wed","Thu","Fri","Sat")</f>
        <v>Fri</v>
      </c>
      <c r="C358" s="30" t="str">
        <f aca="false">IF(IFERROR(INDEX(Holidays!$D$5:$D$60,MATCH(A358,Holidays!$A$5:$A$60,0)),"")="Holiday","Holiday",IF(WEEKDAY(A358)&gt;=6,"Weekend",IF(IFERROR(INDEX(Holidays!$D$5:$D$60,MATCH(A358,Holidays!$A$5:$A$60,0)),"")="Eve","Eve","Workday")))</f>
        <v>Weekend</v>
      </c>
      <c r="D358" s="18" t="str">
        <f aca="false">IFERROR(INDEX(Holidays!$C$5:$C$60,MATCH(A358,Holidays!$A$5:$A$60,0)),"")</f>
        <v/>
      </c>
      <c r="E358" s="31"/>
      <c r="F358" s="32"/>
      <c r="G358" s="32"/>
      <c r="H358" s="32"/>
      <c r="I358" s="32"/>
      <c r="J358" s="31"/>
      <c r="K358" s="33" t="str">
        <f aca="false">IF(E358&lt;&gt;"",E358,IF(U358,"Present",IF(C358="Holiday","Holiday","Weekend")))</f>
        <v>Weekend</v>
      </c>
      <c r="L358" s="34" t="str">
        <f aca="false">IF(OR(K358="Present",K358="Manual Work",K358="Partial Vacation",K358="Partial Sick Leave"),IF(ISNUMBER(F358),F358,IF(AND(K358="Present",U358),Settings!$B$6,"")),"")</f>
        <v/>
      </c>
      <c r="M358" s="34" t="str">
        <f aca="false">IF(OR(K358="Present",K358="Manual Work",K358="Partial Vacation",K358="Partial Sick Leave"),IF(ISNUMBER(G358),G358,IF(AND(K358="Present",U358),V358,"")),"")</f>
        <v/>
      </c>
      <c r="N358" s="14" t="n">
        <f aca="false">IF(AND(ISNUMBER(L358),ISNUMBER(M358)),MAX(0,(M358-L358)*24),0)</f>
        <v>0</v>
      </c>
      <c r="O358" s="14" t="n">
        <f aca="false">IF(NOT(U358),0,IF(K358="Vacation",IF(C358="Eve",Settings!$B$9*Settings!$B$11,W358),IF(K358="Partial Vacation",IF(AND(ISNUMBER(H358),ISNUMBER(I358)),MAX(0,(I358-H358)*24),0),0)))</f>
        <v>0</v>
      </c>
      <c r="P358" s="14" t="n">
        <f aca="false">IF(NOT(U358),0,IF(K358="Sick Leave",W358,IF(K358="Partial Sick Leave",IF(AND(ISNUMBER(H358),ISNUMBER(I358)),MAX(0,(I358-H358)*24),0),0)))</f>
        <v>0</v>
      </c>
      <c r="Q358" s="14" t="n">
        <f aca="false">IF(NOT(U358),0,IF(K358="Vacation",IF(C358="Eve",Settings!$B$11,1),IF(K358="Partial Vacation",O358/Settings!$B$9,0)))</f>
        <v>0</v>
      </c>
      <c r="R358" s="14" t="n">
        <f aca="false">IF(NOT(U358),0,IF(K358="Sick Leave",1,IF(K358="Partial Sick Leave",P358/Settings!$B$9,0)))</f>
        <v>0</v>
      </c>
      <c r="S358" s="35" t="str">
        <f aca="false">IF(AND(OR(E358="Vacation",E358="Sick Leave",E358="Partial Vacation",E358="Partial Sick Leave"),NOT(U358)),"Leave not allowed on this day",IF(AND(E358="Manual Work",OR(NOT(ISNUMBER(F358)),NOT(ISNUMBER(G358)))),"Enter start and end",IF(AND(OR(E358="Partial Vacation",E358="Partial Sick Leave"),OR(NOT(ISNUMBER(H358)),NOT(ISNUMBER(I358)))),"Enter leave from and to",IF(AND(ISNUMBER(F358),ISNUMBER(G358),G358&lt;=F358),"End is before start",IF(AND(ISNUMBER(H358),ISNUMBER(I358),I358&lt;=H358),"Leave end is before start",IF(AND(ISNUMBER(F358),ISNUMBER(G358),ISNUMBER(H358),ISNUMBER(I358),F358&lt;I358,H358&lt;G358),"Work and leave hours overlap",IF(AND(E358&lt;&gt;"",WEEKDAY(A358)=7),"Saturday - administrator only","")))))))</f>
        <v/>
      </c>
      <c r="T358" s="36" t="n">
        <f aca="false">MONTH(A358)</f>
        <v>12</v>
      </c>
      <c r="U358" s="37" t="b">
        <f aca="false">OR(C358="Workday",C358="Eve")</f>
        <v>0</v>
      </c>
      <c r="V358" s="34" t="n">
        <f aca="false">IF(C358="Eve",Settings!$B$8,Settings!$B$7)</f>
        <v>0.6875</v>
      </c>
      <c r="W358" s="14" t="n">
        <f aca="false">IF(U358,(V358-Settings!$B$6)*24,0)</f>
        <v>0</v>
      </c>
    </row>
    <row r="359" customFormat="false" ht="15" hidden="false" customHeight="false" outlineLevel="0" collapsed="false">
      <c r="A359" s="29" t="n">
        <v>46375</v>
      </c>
      <c r="B359" s="30" t="str">
        <f aca="false">CHOOSE(WEEKDAY(A359),"Sun","Mon","Tue","Wed","Thu","Fri","Sat")</f>
        <v>Sat</v>
      </c>
      <c r="C359" s="30" t="str">
        <f aca="false">IF(IFERROR(INDEX(Holidays!$D$5:$D$60,MATCH(A359,Holidays!$A$5:$A$60,0)),"")="Holiday","Holiday",IF(WEEKDAY(A359)&gt;=6,"Weekend",IF(IFERROR(INDEX(Holidays!$D$5:$D$60,MATCH(A359,Holidays!$A$5:$A$60,0)),"")="Eve","Eve","Workday")))</f>
        <v>Weekend</v>
      </c>
      <c r="D359" s="18" t="str">
        <f aca="false">IFERROR(INDEX(Holidays!$C$5:$C$60,MATCH(A359,Holidays!$A$5:$A$60,0)),"")</f>
        <v/>
      </c>
      <c r="E359" s="31"/>
      <c r="F359" s="32"/>
      <c r="G359" s="32"/>
      <c r="H359" s="32"/>
      <c r="I359" s="32"/>
      <c r="J359" s="31"/>
      <c r="K359" s="33" t="str">
        <f aca="false">IF(E359&lt;&gt;"",E359,IF(U359,"Present",IF(C359="Holiday","Holiday","Weekend")))</f>
        <v>Weekend</v>
      </c>
      <c r="L359" s="34" t="str">
        <f aca="false">IF(OR(K359="Present",K359="Manual Work",K359="Partial Vacation",K359="Partial Sick Leave"),IF(ISNUMBER(F359),F359,IF(AND(K359="Present",U359),Settings!$B$6,"")),"")</f>
        <v/>
      </c>
      <c r="M359" s="34" t="str">
        <f aca="false">IF(OR(K359="Present",K359="Manual Work",K359="Partial Vacation",K359="Partial Sick Leave"),IF(ISNUMBER(G359),G359,IF(AND(K359="Present",U359),V359,"")),"")</f>
        <v/>
      </c>
      <c r="N359" s="14" t="n">
        <f aca="false">IF(AND(ISNUMBER(L359),ISNUMBER(M359)),MAX(0,(M359-L359)*24),0)</f>
        <v>0</v>
      </c>
      <c r="O359" s="14" t="n">
        <f aca="false">IF(NOT(U359),0,IF(K359="Vacation",IF(C359="Eve",Settings!$B$9*Settings!$B$11,W359),IF(K359="Partial Vacation",IF(AND(ISNUMBER(H359),ISNUMBER(I359)),MAX(0,(I359-H359)*24),0),0)))</f>
        <v>0</v>
      </c>
      <c r="P359" s="14" t="n">
        <f aca="false">IF(NOT(U359),0,IF(K359="Sick Leave",W359,IF(K359="Partial Sick Leave",IF(AND(ISNUMBER(H359),ISNUMBER(I359)),MAX(0,(I359-H359)*24),0),0)))</f>
        <v>0</v>
      </c>
      <c r="Q359" s="14" t="n">
        <f aca="false">IF(NOT(U359),0,IF(K359="Vacation",IF(C359="Eve",Settings!$B$11,1),IF(K359="Partial Vacation",O359/Settings!$B$9,0)))</f>
        <v>0</v>
      </c>
      <c r="R359" s="14" t="n">
        <f aca="false">IF(NOT(U359),0,IF(K359="Sick Leave",1,IF(K359="Partial Sick Leave",P359/Settings!$B$9,0)))</f>
        <v>0</v>
      </c>
      <c r="S359" s="35" t="str">
        <f aca="false">IF(AND(OR(E359="Vacation",E359="Sick Leave",E359="Partial Vacation",E359="Partial Sick Leave"),NOT(U359)),"Leave not allowed on this day",IF(AND(E359="Manual Work",OR(NOT(ISNUMBER(F359)),NOT(ISNUMBER(G359)))),"Enter start and end",IF(AND(OR(E359="Partial Vacation",E359="Partial Sick Leave"),OR(NOT(ISNUMBER(H359)),NOT(ISNUMBER(I359)))),"Enter leave from and to",IF(AND(ISNUMBER(F359),ISNUMBER(G359),G359&lt;=F359),"End is before start",IF(AND(ISNUMBER(H359),ISNUMBER(I359),I359&lt;=H359),"Leave end is before start",IF(AND(ISNUMBER(F359),ISNUMBER(G359),ISNUMBER(H359),ISNUMBER(I359),F359&lt;I359,H359&lt;G359),"Work and leave hours overlap",IF(AND(E359&lt;&gt;"",WEEKDAY(A359)=7),"Saturday - administrator only","")))))))</f>
        <v/>
      </c>
      <c r="T359" s="36" t="n">
        <f aca="false">MONTH(A359)</f>
        <v>12</v>
      </c>
      <c r="U359" s="37" t="b">
        <f aca="false">OR(C359="Workday",C359="Eve")</f>
        <v>0</v>
      </c>
      <c r="V359" s="34" t="n">
        <f aca="false">IF(C359="Eve",Settings!$B$8,Settings!$B$7)</f>
        <v>0.6875</v>
      </c>
      <c r="W359" s="14" t="n">
        <f aca="false">IF(U359,(V359-Settings!$B$6)*24,0)</f>
        <v>0</v>
      </c>
    </row>
    <row r="360" customFormat="false" ht="15" hidden="false" customHeight="false" outlineLevel="0" collapsed="false">
      <c r="A360" s="29" t="n">
        <v>46376</v>
      </c>
      <c r="B360" s="30" t="str">
        <f aca="false">CHOOSE(WEEKDAY(A360),"Sun","Mon","Tue","Wed","Thu","Fri","Sat")</f>
        <v>Sun</v>
      </c>
      <c r="C360" s="30" t="str">
        <f aca="false">IF(IFERROR(INDEX(Holidays!$D$5:$D$60,MATCH(A360,Holidays!$A$5:$A$60,0)),"")="Holiday","Holiday",IF(WEEKDAY(A360)&gt;=6,"Weekend",IF(IFERROR(INDEX(Holidays!$D$5:$D$60,MATCH(A360,Holidays!$A$5:$A$60,0)),"")="Eve","Eve","Workday")))</f>
        <v>Workday</v>
      </c>
      <c r="D360" s="18" t="str">
        <f aca="false">IFERROR(INDEX(Holidays!$C$5:$C$60,MATCH(A360,Holidays!$A$5:$A$60,0)),"")</f>
        <v/>
      </c>
      <c r="E360" s="31"/>
      <c r="F360" s="32"/>
      <c r="G360" s="32"/>
      <c r="H360" s="32"/>
      <c r="I360" s="32"/>
      <c r="J360" s="31"/>
      <c r="K360" s="33" t="str">
        <f aca="false">IF(E360&lt;&gt;"",E360,IF(U360,"Present",IF(C360="Holiday","Holiday","Weekend")))</f>
        <v>Present</v>
      </c>
      <c r="L360" s="34" t="n">
        <f aca="false">IF(OR(K360="Present",K360="Manual Work",K360="Partial Vacation",K360="Partial Sick Leave"),IF(ISNUMBER(F360),F360,IF(AND(K360="Present",U360),Settings!$B$6,"")),"")</f>
        <v>0.333333333333333</v>
      </c>
      <c r="M360" s="34" t="n">
        <f aca="false">IF(OR(K360="Present",K360="Manual Work",K360="Partial Vacation",K360="Partial Sick Leave"),IF(ISNUMBER(G360),G360,IF(AND(K360="Present",U360),V360,"")),"")</f>
        <v>0.6875</v>
      </c>
      <c r="N360" s="14" t="n">
        <f aca="false">IF(AND(ISNUMBER(L360),ISNUMBER(M360)),MAX(0,(M360-L360)*24),0)</f>
        <v>8.5</v>
      </c>
      <c r="O360" s="14" t="n">
        <f aca="false">IF(NOT(U360),0,IF(K360="Vacation",IF(C360="Eve",Settings!$B$9*Settings!$B$11,W360),IF(K360="Partial Vacation",IF(AND(ISNUMBER(H360),ISNUMBER(I360)),MAX(0,(I360-H360)*24),0),0)))</f>
        <v>0</v>
      </c>
      <c r="P360" s="14" t="n">
        <f aca="false">IF(NOT(U360),0,IF(K360="Sick Leave",W360,IF(K360="Partial Sick Leave",IF(AND(ISNUMBER(H360),ISNUMBER(I360)),MAX(0,(I360-H360)*24),0),0)))</f>
        <v>0</v>
      </c>
      <c r="Q360" s="14" t="n">
        <f aca="false">IF(NOT(U360),0,IF(K360="Vacation",IF(C360="Eve",Settings!$B$11,1),IF(K360="Partial Vacation",O360/Settings!$B$9,0)))</f>
        <v>0</v>
      </c>
      <c r="R360" s="14" t="n">
        <f aca="false">IF(NOT(U360),0,IF(K360="Sick Leave",1,IF(K360="Partial Sick Leave",P360/Settings!$B$9,0)))</f>
        <v>0</v>
      </c>
      <c r="S360" s="35" t="str">
        <f aca="false">IF(AND(OR(E360="Vacation",E360="Sick Leave",E360="Partial Vacation",E360="Partial Sick Leave"),NOT(U360)),"Leave not allowed on this day",IF(AND(E360="Manual Work",OR(NOT(ISNUMBER(F360)),NOT(ISNUMBER(G360)))),"Enter start and end",IF(AND(OR(E360="Partial Vacation",E360="Partial Sick Leave"),OR(NOT(ISNUMBER(H360)),NOT(ISNUMBER(I360)))),"Enter leave from and to",IF(AND(ISNUMBER(F360),ISNUMBER(G360),G360&lt;=F360),"End is before start",IF(AND(ISNUMBER(H360),ISNUMBER(I360),I360&lt;=H360),"Leave end is before start",IF(AND(ISNUMBER(F360),ISNUMBER(G360),ISNUMBER(H360),ISNUMBER(I360),F360&lt;I360,H360&lt;G360),"Work and leave hours overlap",IF(AND(E360&lt;&gt;"",WEEKDAY(A360)=7),"Saturday - administrator only","")))))))</f>
        <v/>
      </c>
      <c r="T360" s="36" t="n">
        <f aca="false">MONTH(A360)</f>
        <v>12</v>
      </c>
      <c r="U360" s="37" t="b">
        <f aca="false">OR(C360="Workday",C360="Eve")</f>
        <v>1</v>
      </c>
      <c r="V360" s="34" t="n">
        <f aca="false">IF(C360="Eve",Settings!$B$8,Settings!$B$7)</f>
        <v>0.6875</v>
      </c>
      <c r="W360" s="14" t="n">
        <f aca="false">IF(U360,(V360-Settings!$B$6)*24,0)</f>
        <v>8.5</v>
      </c>
    </row>
    <row r="361" customFormat="false" ht="15" hidden="false" customHeight="false" outlineLevel="0" collapsed="false">
      <c r="A361" s="29" t="n">
        <v>46377</v>
      </c>
      <c r="B361" s="30" t="str">
        <f aca="false">CHOOSE(WEEKDAY(A361),"Sun","Mon","Tue","Wed","Thu","Fri","Sat")</f>
        <v>Mon</v>
      </c>
      <c r="C361" s="30" t="str">
        <f aca="false">IF(IFERROR(INDEX(Holidays!$D$5:$D$60,MATCH(A361,Holidays!$A$5:$A$60,0)),"")="Holiday","Holiday",IF(WEEKDAY(A361)&gt;=6,"Weekend",IF(IFERROR(INDEX(Holidays!$D$5:$D$60,MATCH(A361,Holidays!$A$5:$A$60,0)),"")="Eve","Eve","Workday")))</f>
        <v>Workday</v>
      </c>
      <c r="D361" s="18" t="str">
        <f aca="false">IFERROR(INDEX(Holidays!$C$5:$C$60,MATCH(A361,Holidays!$A$5:$A$60,0)),"")</f>
        <v/>
      </c>
      <c r="E361" s="31"/>
      <c r="F361" s="32"/>
      <c r="G361" s="32"/>
      <c r="H361" s="32"/>
      <c r="I361" s="32"/>
      <c r="J361" s="31"/>
      <c r="K361" s="33" t="str">
        <f aca="false">IF(E361&lt;&gt;"",E361,IF(U361,"Present",IF(C361="Holiday","Holiday","Weekend")))</f>
        <v>Present</v>
      </c>
      <c r="L361" s="34" t="n">
        <f aca="false">IF(OR(K361="Present",K361="Manual Work",K361="Partial Vacation",K361="Partial Sick Leave"),IF(ISNUMBER(F361),F361,IF(AND(K361="Present",U361),Settings!$B$6,"")),"")</f>
        <v>0.333333333333333</v>
      </c>
      <c r="M361" s="34" t="n">
        <f aca="false">IF(OR(K361="Present",K361="Manual Work",K361="Partial Vacation",K361="Partial Sick Leave"),IF(ISNUMBER(G361),G361,IF(AND(K361="Present",U361),V361,"")),"")</f>
        <v>0.6875</v>
      </c>
      <c r="N361" s="14" t="n">
        <f aca="false">IF(AND(ISNUMBER(L361),ISNUMBER(M361)),MAX(0,(M361-L361)*24),0)</f>
        <v>8.5</v>
      </c>
      <c r="O361" s="14" t="n">
        <f aca="false">IF(NOT(U361),0,IF(K361="Vacation",IF(C361="Eve",Settings!$B$9*Settings!$B$11,W361),IF(K361="Partial Vacation",IF(AND(ISNUMBER(H361),ISNUMBER(I361)),MAX(0,(I361-H361)*24),0),0)))</f>
        <v>0</v>
      </c>
      <c r="P361" s="14" t="n">
        <f aca="false">IF(NOT(U361),0,IF(K361="Sick Leave",W361,IF(K361="Partial Sick Leave",IF(AND(ISNUMBER(H361),ISNUMBER(I361)),MAX(0,(I361-H361)*24),0),0)))</f>
        <v>0</v>
      </c>
      <c r="Q361" s="14" t="n">
        <f aca="false">IF(NOT(U361),0,IF(K361="Vacation",IF(C361="Eve",Settings!$B$11,1),IF(K361="Partial Vacation",O361/Settings!$B$9,0)))</f>
        <v>0</v>
      </c>
      <c r="R361" s="14" t="n">
        <f aca="false">IF(NOT(U361),0,IF(K361="Sick Leave",1,IF(K361="Partial Sick Leave",P361/Settings!$B$9,0)))</f>
        <v>0</v>
      </c>
      <c r="S361" s="35" t="str">
        <f aca="false">IF(AND(OR(E361="Vacation",E361="Sick Leave",E361="Partial Vacation",E361="Partial Sick Leave"),NOT(U361)),"Leave not allowed on this day",IF(AND(E361="Manual Work",OR(NOT(ISNUMBER(F361)),NOT(ISNUMBER(G361)))),"Enter start and end",IF(AND(OR(E361="Partial Vacation",E361="Partial Sick Leave"),OR(NOT(ISNUMBER(H361)),NOT(ISNUMBER(I361)))),"Enter leave from and to",IF(AND(ISNUMBER(F361),ISNUMBER(G361),G361&lt;=F361),"End is before start",IF(AND(ISNUMBER(H361),ISNUMBER(I361),I361&lt;=H361),"Leave end is before start",IF(AND(ISNUMBER(F361),ISNUMBER(G361),ISNUMBER(H361),ISNUMBER(I361),F361&lt;I361,H361&lt;G361),"Work and leave hours overlap",IF(AND(E361&lt;&gt;"",WEEKDAY(A361)=7),"Saturday - administrator only","")))))))</f>
        <v/>
      </c>
      <c r="T361" s="36" t="n">
        <f aca="false">MONTH(A361)</f>
        <v>12</v>
      </c>
      <c r="U361" s="37" t="b">
        <f aca="false">OR(C361="Workday",C361="Eve")</f>
        <v>1</v>
      </c>
      <c r="V361" s="34" t="n">
        <f aca="false">IF(C361="Eve",Settings!$B$8,Settings!$B$7)</f>
        <v>0.6875</v>
      </c>
      <c r="W361" s="14" t="n">
        <f aca="false">IF(U361,(V361-Settings!$B$6)*24,0)</f>
        <v>8.5</v>
      </c>
    </row>
    <row r="362" customFormat="false" ht="15" hidden="false" customHeight="false" outlineLevel="0" collapsed="false">
      <c r="A362" s="29" t="n">
        <v>46378</v>
      </c>
      <c r="B362" s="30" t="str">
        <f aca="false">CHOOSE(WEEKDAY(A362),"Sun","Mon","Tue","Wed","Thu","Fri","Sat")</f>
        <v>Tue</v>
      </c>
      <c r="C362" s="30" t="str">
        <f aca="false">IF(IFERROR(INDEX(Holidays!$D$5:$D$60,MATCH(A362,Holidays!$A$5:$A$60,0)),"")="Holiday","Holiday",IF(WEEKDAY(A362)&gt;=6,"Weekend",IF(IFERROR(INDEX(Holidays!$D$5:$D$60,MATCH(A362,Holidays!$A$5:$A$60,0)),"")="Eve","Eve","Workday")))</f>
        <v>Workday</v>
      </c>
      <c r="D362" s="18" t="str">
        <f aca="false">IFERROR(INDEX(Holidays!$C$5:$C$60,MATCH(A362,Holidays!$A$5:$A$60,0)),"")</f>
        <v/>
      </c>
      <c r="E362" s="31"/>
      <c r="F362" s="32"/>
      <c r="G362" s="32"/>
      <c r="H362" s="32"/>
      <c r="I362" s="32"/>
      <c r="J362" s="31"/>
      <c r="K362" s="33" t="str">
        <f aca="false">IF(E362&lt;&gt;"",E362,IF(U362,"Present",IF(C362="Holiday","Holiday","Weekend")))</f>
        <v>Present</v>
      </c>
      <c r="L362" s="34" t="n">
        <f aca="false">IF(OR(K362="Present",K362="Manual Work",K362="Partial Vacation",K362="Partial Sick Leave"),IF(ISNUMBER(F362),F362,IF(AND(K362="Present",U362),Settings!$B$6,"")),"")</f>
        <v>0.333333333333333</v>
      </c>
      <c r="M362" s="34" t="n">
        <f aca="false">IF(OR(K362="Present",K362="Manual Work",K362="Partial Vacation",K362="Partial Sick Leave"),IF(ISNUMBER(G362),G362,IF(AND(K362="Present",U362),V362,"")),"")</f>
        <v>0.6875</v>
      </c>
      <c r="N362" s="14" t="n">
        <f aca="false">IF(AND(ISNUMBER(L362),ISNUMBER(M362)),MAX(0,(M362-L362)*24),0)</f>
        <v>8.5</v>
      </c>
      <c r="O362" s="14" t="n">
        <f aca="false">IF(NOT(U362),0,IF(K362="Vacation",IF(C362="Eve",Settings!$B$9*Settings!$B$11,W362),IF(K362="Partial Vacation",IF(AND(ISNUMBER(H362),ISNUMBER(I362)),MAX(0,(I362-H362)*24),0),0)))</f>
        <v>0</v>
      </c>
      <c r="P362" s="14" t="n">
        <f aca="false">IF(NOT(U362),0,IF(K362="Sick Leave",W362,IF(K362="Partial Sick Leave",IF(AND(ISNUMBER(H362),ISNUMBER(I362)),MAX(0,(I362-H362)*24),0),0)))</f>
        <v>0</v>
      </c>
      <c r="Q362" s="14" t="n">
        <f aca="false">IF(NOT(U362),0,IF(K362="Vacation",IF(C362="Eve",Settings!$B$11,1),IF(K362="Partial Vacation",O362/Settings!$B$9,0)))</f>
        <v>0</v>
      </c>
      <c r="R362" s="14" t="n">
        <f aca="false">IF(NOT(U362),0,IF(K362="Sick Leave",1,IF(K362="Partial Sick Leave",P362/Settings!$B$9,0)))</f>
        <v>0</v>
      </c>
      <c r="S362" s="35" t="str">
        <f aca="false">IF(AND(OR(E362="Vacation",E362="Sick Leave",E362="Partial Vacation",E362="Partial Sick Leave"),NOT(U362)),"Leave not allowed on this day",IF(AND(E362="Manual Work",OR(NOT(ISNUMBER(F362)),NOT(ISNUMBER(G362)))),"Enter start and end",IF(AND(OR(E362="Partial Vacation",E362="Partial Sick Leave"),OR(NOT(ISNUMBER(H362)),NOT(ISNUMBER(I362)))),"Enter leave from and to",IF(AND(ISNUMBER(F362),ISNUMBER(G362),G362&lt;=F362),"End is before start",IF(AND(ISNUMBER(H362),ISNUMBER(I362),I362&lt;=H362),"Leave end is before start",IF(AND(ISNUMBER(F362),ISNUMBER(G362),ISNUMBER(H362),ISNUMBER(I362),F362&lt;I362,H362&lt;G362),"Work and leave hours overlap",IF(AND(E362&lt;&gt;"",WEEKDAY(A362)=7),"Saturday - administrator only","")))))))</f>
        <v/>
      </c>
      <c r="T362" s="36" t="n">
        <f aca="false">MONTH(A362)</f>
        <v>12</v>
      </c>
      <c r="U362" s="37" t="b">
        <f aca="false">OR(C362="Workday",C362="Eve")</f>
        <v>1</v>
      </c>
      <c r="V362" s="34" t="n">
        <f aca="false">IF(C362="Eve",Settings!$B$8,Settings!$B$7)</f>
        <v>0.6875</v>
      </c>
      <c r="W362" s="14" t="n">
        <f aca="false">IF(U362,(V362-Settings!$B$6)*24,0)</f>
        <v>8.5</v>
      </c>
    </row>
    <row r="363" customFormat="false" ht="15" hidden="false" customHeight="false" outlineLevel="0" collapsed="false">
      <c r="A363" s="29" t="n">
        <v>46379</v>
      </c>
      <c r="B363" s="30" t="str">
        <f aca="false">CHOOSE(WEEKDAY(A363),"Sun","Mon","Tue","Wed","Thu","Fri","Sat")</f>
        <v>Wed</v>
      </c>
      <c r="C363" s="30" t="str">
        <f aca="false">IF(IFERROR(INDEX(Holidays!$D$5:$D$60,MATCH(A363,Holidays!$A$5:$A$60,0)),"")="Holiday","Holiday",IF(WEEKDAY(A363)&gt;=6,"Weekend",IF(IFERROR(INDEX(Holidays!$D$5:$D$60,MATCH(A363,Holidays!$A$5:$A$60,0)),"")="Eve","Eve","Workday")))</f>
        <v>Workday</v>
      </c>
      <c r="D363" s="18" t="str">
        <f aca="false">IFERROR(INDEX(Holidays!$C$5:$C$60,MATCH(A363,Holidays!$A$5:$A$60,0)),"")</f>
        <v/>
      </c>
      <c r="E363" s="31"/>
      <c r="F363" s="32"/>
      <c r="G363" s="32"/>
      <c r="H363" s="32"/>
      <c r="I363" s="32"/>
      <c r="J363" s="31"/>
      <c r="K363" s="33" t="str">
        <f aca="false">IF(E363&lt;&gt;"",E363,IF(U363,"Present",IF(C363="Holiday","Holiday","Weekend")))</f>
        <v>Present</v>
      </c>
      <c r="L363" s="34" t="n">
        <f aca="false">IF(OR(K363="Present",K363="Manual Work",K363="Partial Vacation",K363="Partial Sick Leave"),IF(ISNUMBER(F363),F363,IF(AND(K363="Present",U363),Settings!$B$6,"")),"")</f>
        <v>0.333333333333333</v>
      </c>
      <c r="M363" s="34" t="n">
        <f aca="false">IF(OR(K363="Present",K363="Manual Work",K363="Partial Vacation",K363="Partial Sick Leave"),IF(ISNUMBER(G363),G363,IF(AND(K363="Present",U363),V363,"")),"")</f>
        <v>0.6875</v>
      </c>
      <c r="N363" s="14" t="n">
        <f aca="false">IF(AND(ISNUMBER(L363),ISNUMBER(M363)),MAX(0,(M363-L363)*24),0)</f>
        <v>8.5</v>
      </c>
      <c r="O363" s="14" t="n">
        <f aca="false">IF(NOT(U363),0,IF(K363="Vacation",IF(C363="Eve",Settings!$B$9*Settings!$B$11,W363),IF(K363="Partial Vacation",IF(AND(ISNUMBER(H363),ISNUMBER(I363)),MAX(0,(I363-H363)*24),0),0)))</f>
        <v>0</v>
      </c>
      <c r="P363" s="14" t="n">
        <f aca="false">IF(NOT(U363),0,IF(K363="Sick Leave",W363,IF(K363="Partial Sick Leave",IF(AND(ISNUMBER(H363),ISNUMBER(I363)),MAX(0,(I363-H363)*24),0),0)))</f>
        <v>0</v>
      </c>
      <c r="Q363" s="14" t="n">
        <f aca="false">IF(NOT(U363),0,IF(K363="Vacation",IF(C363="Eve",Settings!$B$11,1),IF(K363="Partial Vacation",O363/Settings!$B$9,0)))</f>
        <v>0</v>
      </c>
      <c r="R363" s="14" t="n">
        <f aca="false">IF(NOT(U363),0,IF(K363="Sick Leave",1,IF(K363="Partial Sick Leave",P363/Settings!$B$9,0)))</f>
        <v>0</v>
      </c>
      <c r="S363" s="35" t="str">
        <f aca="false">IF(AND(OR(E363="Vacation",E363="Sick Leave",E363="Partial Vacation",E363="Partial Sick Leave"),NOT(U363)),"Leave not allowed on this day",IF(AND(E363="Manual Work",OR(NOT(ISNUMBER(F363)),NOT(ISNUMBER(G363)))),"Enter start and end",IF(AND(OR(E363="Partial Vacation",E363="Partial Sick Leave"),OR(NOT(ISNUMBER(H363)),NOT(ISNUMBER(I363)))),"Enter leave from and to",IF(AND(ISNUMBER(F363),ISNUMBER(G363),G363&lt;=F363),"End is before start",IF(AND(ISNUMBER(H363),ISNUMBER(I363),I363&lt;=H363),"Leave end is before start",IF(AND(ISNUMBER(F363),ISNUMBER(G363),ISNUMBER(H363),ISNUMBER(I363),F363&lt;I363,H363&lt;G363),"Work and leave hours overlap",IF(AND(E363&lt;&gt;"",WEEKDAY(A363)=7),"Saturday - administrator only","")))))))</f>
        <v/>
      </c>
      <c r="T363" s="36" t="n">
        <f aca="false">MONTH(A363)</f>
        <v>12</v>
      </c>
      <c r="U363" s="37" t="b">
        <f aca="false">OR(C363="Workday",C363="Eve")</f>
        <v>1</v>
      </c>
      <c r="V363" s="34" t="n">
        <f aca="false">IF(C363="Eve",Settings!$B$8,Settings!$B$7)</f>
        <v>0.6875</v>
      </c>
      <c r="W363" s="14" t="n">
        <f aca="false">IF(U363,(V363-Settings!$B$6)*24,0)</f>
        <v>8.5</v>
      </c>
    </row>
    <row r="364" customFormat="false" ht="15" hidden="false" customHeight="false" outlineLevel="0" collapsed="false">
      <c r="A364" s="29" t="n">
        <v>46380</v>
      </c>
      <c r="B364" s="30" t="str">
        <f aca="false">CHOOSE(WEEKDAY(A364),"Sun","Mon","Tue","Wed","Thu","Fri","Sat")</f>
        <v>Thu</v>
      </c>
      <c r="C364" s="30" t="str">
        <f aca="false">IF(IFERROR(INDEX(Holidays!$D$5:$D$60,MATCH(A364,Holidays!$A$5:$A$60,0)),"")="Holiday","Holiday",IF(WEEKDAY(A364)&gt;=6,"Weekend",IF(IFERROR(INDEX(Holidays!$D$5:$D$60,MATCH(A364,Holidays!$A$5:$A$60,0)),"")="Eve","Eve","Workday")))</f>
        <v>Workday</v>
      </c>
      <c r="D364" s="18" t="str">
        <f aca="false">IFERROR(INDEX(Holidays!$C$5:$C$60,MATCH(A364,Holidays!$A$5:$A$60,0)),"")</f>
        <v/>
      </c>
      <c r="E364" s="31"/>
      <c r="F364" s="32"/>
      <c r="G364" s="32"/>
      <c r="H364" s="32"/>
      <c r="I364" s="32"/>
      <c r="J364" s="31"/>
      <c r="K364" s="33" t="str">
        <f aca="false">IF(E364&lt;&gt;"",E364,IF(U364,"Present",IF(C364="Holiday","Holiday","Weekend")))</f>
        <v>Present</v>
      </c>
      <c r="L364" s="34" t="n">
        <f aca="false">IF(OR(K364="Present",K364="Manual Work",K364="Partial Vacation",K364="Partial Sick Leave"),IF(ISNUMBER(F364),F364,IF(AND(K364="Present",U364),Settings!$B$6,"")),"")</f>
        <v>0.333333333333333</v>
      </c>
      <c r="M364" s="34" t="n">
        <f aca="false">IF(OR(K364="Present",K364="Manual Work",K364="Partial Vacation",K364="Partial Sick Leave"),IF(ISNUMBER(G364),G364,IF(AND(K364="Present",U364),V364,"")),"")</f>
        <v>0.6875</v>
      </c>
      <c r="N364" s="14" t="n">
        <f aca="false">IF(AND(ISNUMBER(L364),ISNUMBER(M364)),MAX(0,(M364-L364)*24),0)</f>
        <v>8.5</v>
      </c>
      <c r="O364" s="14" t="n">
        <f aca="false">IF(NOT(U364),0,IF(K364="Vacation",IF(C364="Eve",Settings!$B$9*Settings!$B$11,W364),IF(K364="Partial Vacation",IF(AND(ISNUMBER(H364),ISNUMBER(I364)),MAX(0,(I364-H364)*24),0),0)))</f>
        <v>0</v>
      </c>
      <c r="P364" s="14" t="n">
        <f aca="false">IF(NOT(U364),0,IF(K364="Sick Leave",W364,IF(K364="Partial Sick Leave",IF(AND(ISNUMBER(H364),ISNUMBER(I364)),MAX(0,(I364-H364)*24),0),0)))</f>
        <v>0</v>
      </c>
      <c r="Q364" s="14" t="n">
        <f aca="false">IF(NOT(U364),0,IF(K364="Vacation",IF(C364="Eve",Settings!$B$11,1),IF(K364="Partial Vacation",O364/Settings!$B$9,0)))</f>
        <v>0</v>
      </c>
      <c r="R364" s="14" t="n">
        <f aca="false">IF(NOT(U364),0,IF(K364="Sick Leave",1,IF(K364="Partial Sick Leave",P364/Settings!$B$9,0)))</f>
        <v>0</v>
      </c>
      <c r="S364" s="35" t="str">
        <f aca="false">IF(AND(OR(E364="Vacation",E364="Sick Leave",E364="Partial Vacation",E364="Partial Sick Leave"),NOT(U364)),"Leave not allowed on this day",IF(AND(E364="Manual Work",OR(NOT(ISNUMBER(F364)),NOT(ISNUMBER(G364)))),"Enter start and end",IF(AND(OR(E364="Partial Vacation",E364="Partial Sick Leave"),OR(NOT(ISNUMBER(H364)),NOT(ISNUMBER(I364)))),"Enter leave from and to",IF(AND(ISNUMBER(F364),ISNUMBER(G364),G364&lt;=F364),"End is before start",IF(AND(ISNUMBER(H364),ISNUMBER(I364),I364&lt;=H364),"Leave end is before start",IF(AND(ISNUMBER(F364),ISNUMBER(G364),ISNUMBER(H364),ISNUMBER(I364),F364&lt;I364,H364&lt;G364),"Work and leave hours overlap",IF(AND(E364&lt;&gt;"",WEEKDAY(A364)=7),"Saturday - administrator only","")))))))</f>
        <v/>
      </c>
      <c r="T364" s="36" t="n">
        <f aca="false">MONTH(A364)</f>
        <v>12</v>
      </c>
      <c r="U364" s="37" t="b">
        <f aca="false">OR(C364="Workday",C364="Eve")</f>
        <v>1</v>
      </c>
      <c r="V364" s="34" t="n">
        <f aca="false">IF(C364="Eve",Settings!$B$8,Settings!$B$7)</f>
        <v>0.6875</v>
      </c>
      <c r="W364" s="14" t="n">
        <f aca="false">IF(U364,(V364-Settings!$B$6)*24,0)</f>
        <v>8.5</v>
      </c>
    </row>
    <row r="365" customFormat="false" ht="15" hidden="false" customHeight="false" outlineLevel="0" collapsed="false">
      <c r="A365" s="29" t="n">
        <v>46381</v>
      </c>
      <c r="B365" s="30" t="str">
        <f aca="false">CHOOSE(WEEKDAY(A365),"Sun","Mon","Tue","Wed","Thu","Fri","Sat")</f>
        <v>Fri</v>
      </c>
      <c r="C365" s="30" t="str">
        <f aca="false">IF(IFERROR(INDEX(Holidays!$D$5:$D$60,MATCH(A365,Holidays!$A$5:$A$60,0)),"")="Holiday","Holiday",IF(WEEKDAY(A365)&gt;=6,"Weekend",IF(IFERROR(INDEX(Holidays!$D$5:$D$60,MATCH(A365,Holidays!$A$5:$A$60,0)),"")="Eve","Eve","Workday")))</f>
        <v>Weekend</v>
      </c>
      <c r="D365" s="18" t="str">
        <f aca="false">IFERROR(INDEX(Holidays!$C$5:$C$60,MATCH(A365,Holidays!$A$5:$A$60,0)),"")</f>
        <v/>
      </c>
      <c r="E365" s="31"/>
      <c r="F365" s="32"/>
      <c r="G365" s="32"/>
      <c r="H365" s="32"/>
      <c r="I365" s="32"/>
      <c r="J365" s="31"/>
      <c r="K365" s="33" t="str">
        <f aca="false">IF(E365&lt;&gt;"",E365,IF(U365,"Present",IF(C365="Holiday","Holiday","Weekend")))</f>
        <v>Weekend</v>
      </c>
      <c r="L365" s="34" t="str">
        <f aca="false">IF(OR(K365="Present",K365="Manual Work",K365="Partial Vacation",K365="Partial Sick Leave"),IF(ISNUMBER(F365),F365,IF(AND(K365="Present",U365),Settings!$B$6,"")),"")</f>
        <v/>
      </c>
      <c r="M365" s="34" t="str">
        <f aca="false">IF(OR(K365="Present",K365="Manual Work",K365="Partial Vacation",K365="Partial Sick Leave"),IF(ISNUMBER(G365),G365,IF(AND(K365="Present",U365),V365,"")),"")</f>
        <v/>
      </c>
      <c r="N365" s="14" t="n">
        <f aca="false">IF(AND(ISNUMBER(L365),ISNUMBER(M365)),MAX(0,(M365-L365)*24),0)</f>
        <v>0</v>
      </c>
      <c r="O365" s="14" t="n">
        <f aca="false">IF(NOT(U365),0,IF(K365="Vacation",IF(C365="Eve",Settings!$B$9*Settings!$B$11,W365),IF(K365="Partial Vacation",IF(AND(ISNUMBER(H365),ISNUMBER(I365)),MAX(0,(I365-H365)*24),0),0)))</f>
        <v>0</v>
      </c>
      <c r="P365" s="14" t="n">
        <f aca="false">IF(NOT(U365),0,IF(K365="Sick Leave",W365,IF(K365="Partial Sick Leave",IF(AND(ISNUMBER(H365),ISNUMBER(I365)),MAX(0,(I365-H365)*24),0),0)))</f>
        <v>0</v>
      </c>
      <c r="Q365" s="14" t="n">
        <f aca="false">IF(NOT(U365),0,IF(K365="Vacation",IF(C365="Eve",Settings!$B$11,1),IF(K365="Partial Vacation",O365/Settings!$B$9,0)))</f>
        <v>0</v>
      </c>
      <c r="R365" s="14" t="n">
        <f aca="false">IF(NOT(U365),0,IF(K365="Sick Leave",1,IF(K365="Partial Sick Leave",P365/Settings!$B$9,0)))</f>
        <v>0</v>
      </c>
      <c r="S365" s="35" t="str">
        <f aca="false">IF(AND(OR(E365="Vacation",E365="Sick Leave",E365="Partial Vacation",E365="Partial Sick Leave"),NOT(U365)),"Leave not allowed on this day",IF(AND(E365="Manual Work",OR(NOT(ISNUMBER(F365)),NOT(ISNUMBER(G365)))),"Enter start and end",IF(AND(OR(E365="Partial Vacation",E365="Partial Sick Leave"),OR(NOT(ISNUMBER(H365)),NOT(ISNUMBER(I365)))),"Enter leave from and to",IF(AND(ISNUMBER(F365),ISNUMBER(G365),G365&lt;=F365),"End is before start",IF(AND(ISNUMBER(H365),ISNUMBER(I365),I365&lt;=H365),"Leave end is before start",IF(AND(ISNUMBER(F365),ISNUMBER(G365),ISNUMBER(H365),ISNUMBER(I365),F365&lt;I365,H365&lt;G365),"Work and leave hours overlap",IF(AND(E365&lt;&gt;"",WEEKDAY(A365)=7),"Saturday - administrator only","")))))))</f>
        <v/>
      </c>
      <c r="T365" s="36" t="n">
        <f aca="false">MONTH(A365)</f>
        <v>12</v>
      </c>
      <c r="U365" s="37" t="b">
        <f aca="false">OR(C365="Workday",C365="Eve")</f>
        <v>0</v>
      </c>
      <c r="V365" s="34" t="n">
        <f aca="false">IF(C365="Eve",Settings!$B$8,Settings!$B$7)</f>
        <v>0.6875</v>
      </c>
      <c r="W365" s="14" t="n">
        <f aca="false">IF(U365,(V365-Settings!$B$6)*24,0)</f>
        <v>0</v>
      </c>
    </row>
    <row r="366" customFormat="false" ht="15" hidden="false" customHeight="false" outlineLevel="0" collapsed="false">
      <c r="A366" s="29" t="n">
        <v>46382</v>
      </c>
      <c r="B366" s="30" t="str">
        <f aca="false">CHOOSE(WEEKDAY(A366),"Sun","Mon","Tue","Wed","Thu","Fri","Sat")</f>
        <v>Sat</v>
      </c>
      <c r="C366" s="30" t="str">
        <f aca="false">IF(IFERROR(INDEX(Holidays!$D$5:$D$60,MATCH(A366,Holidays!$A$5:$A$60,0)),"")="Holiday","Holiday",IF(WEEKDAY(A366)&gt;=6,"Weekend",IF(IFERROR(INDEX(Holidays!$D$5:$D$60,MATCH(A366,Holidays!$A$5:$A$60,0)),"")="Eve","Eve","Workday")))</f>
        <v>Weekend</v>
      </c>
      <c r="D366" s="18" t="str">
        <f aca="false">IFERROR(INDEX(Holidays!$C$5:$C$60,MATCH(A366,Holidays!$A$5:$A$60,0)),"")</f>
        <v/>
      </c>
      <c r="E366" s="31"/>
      <c r="F366" s="32"/>
      <c r="G366" s="32"/>
      <c r="H366" s="32"/>
      <c r="I366" s="32"/>
      <c r="J366" s="31"/>
      <c r="K366" s="33" t="str">
        <f aca="false">IF(E366&lt;&gt;"",E366,IF(U366,"Present",IF(C366="Holiday","Holiday","Weekend")))</f>
        <v>Weekend</v>
      </c>
      <c r="L366" s="34" t="str">
        <f aca="false">IF(OR(K366="Present",K366="Manual Work",K366="Partial Vacation",K366="Partial Sick Leave"),IF(ISNUMBER(F366),F366,IF(AND(K366="Present",U366),Settings!$B$6,"")),"")</f>
        <v/>
      </c>
      <c r="M366" s="34" t="str">
        <f aca="false">IF(OR(K366="Present",K366="Manual Work",K366="Partial Vacation",K366="Partial Sick Leave"),IF(ISNUMBER(G366),G366,IF(AND(K366="Present",U366),V366,"")),"")</f>
        <v/>
      </c>
      <c r="N366" s="14" t="n">
        <f aca="false">IF(AND(ISNUMBER(L366),ISNUMBER(M366)),MAX(0,(M366-L366)*24),0)</f>
        <v>0</v>
      </c>
      <c r="O366" s="14" t="n">
        <f aca="false">IF(NOT(U366),0,IF(K366="Vacation",IF(C366="Eve",Settings!$B$9*Settings!$B$11,W366),IF(K366="Partial Vacation",IF(AND(ISNUMBER(H366),ISNUMBER(I366)),MAX(0,(I366-H366)*24),0),0)))</f>
        <v>0</v>
      </c>
      <c r="P366" s="14" t="n">
        <f aca="false">IF(NOT(U366),0,IF(K366="Sick Leave",W366,IF(K366="Partial Sick Leave",IF(AND(ISNUMBER(H366),ISNUMBER(I366)),MAX(0,(I366-H366)*24),0),0)))</f>
        <v>0</v>
      </c>
      <c r="Q366" s="14" t="n">
        <f aca="false">IF(NOT(U366),0,IF(K366="Vacation",IF(C366="Eve",Settings!$B$11,1),IF(K366="Partial Vacation",O366/Settings!$B$9,0)))</f>
        <v>0</v>
      </c>
      <c r="R366" s="14" t="n">
        <f aca="false">IF(NOT(U366),0,IF(K366="Sick Leave",1,IF(K366="Partial Sick Leave",P366/Settings!$B$9,0)))</f>
        <v>0</v>
      </c>
      <c r="S366" s="35" t="str">
        <f aca="false">IF(AND(OR(E366="Vacation",E366="Sick Leave",E366="Partial Vacation",E366="Partial Sick Leave"),NOT(U366)),"Leave not allowed on this day",IF(AND(E366="Manual Work",OR(NOT(ISNUMBER(F366)),NOT(ISNUMBER(G366)))),"Enter start and end",IF(AND(OR(E366="Partial Vacation",E366="Partial Sick Leave"),OR(NOT(ISNUMBER(H366)),NOT(ISNUMBER(I366)))),"Enter leave from and to",IF(AND(ISNUMBER(F366),ISNUMBER(G366),G366&lt;=F366),"End is before start",IF(AND(ISNUMBER(H366),ISNUMBER(I366),I366&lt;=H366),"Leave end is before start",IF(AND(ISNUMBER(F366),ISNUMBER(G366),ISNUMBER(H366),ISNUMBER(I366),F366&lt;I366,H366&lt;G366),"Work and leave hours overlap",IF(AND(E366&lt;&gt;"",WEEKDAY(A366)=7),"Saturday - administrator only","")))))))</f>
        <v/>
      </c>
      <c r="T366" s="36" t="n">
        <f aca="false">MONTH(A366)</f>
        <v>12</v>
      </c>
      <c r="U366" s="37" t="b">
        <f aca="false">OR(C366="Workday",C366="Eve")</f>
        <v>0</v>
      </c>
      <c r="V366" s="34" t="n">
        <f aca="false">IF(C366="Eve",Settings!$B$8,Settings!$B$7)</f>
        <v>0.6875</v>
      </c>
      <c r="W366" s="14" t="n">
        <f aca="false">IF(U366,(V366-Settings!$B$6)*24,0)</f>
        <v>0</v>
      </c>
    </row>
    <row r="367" customFormat="false" ht="15" hidden="false" customHeight="false" outlineLevel="0" collapsed="false">
      <c r="A367" s="29" t="n">
        <v>46383</v>
      </c>
      <c r="B367" s="30" t="str">
        <f aca="false">CHOOSE(WEEKDAY(A367),"Sun","Mon","Tue","Wed","Thu","Fri","Sat")</f>
        <v>Sun</v>
      </c>
      <c r="C367" s="30" t="str">
        <f aca="false">IF(IFERROR(INDEX(Holidays!$D$5:$D$60,MATCH(A367,Holidays!$A$5:$A$60,0)),"")="Holiday","Holiday",IF(WEEKDAY(A367)&gt;=6,"Weekend",IF(IFERROR(INDEX(Holidays!$D$5:$D$60,MATCH(A367,Holidays!$A$5:$A$60,0)),"")="Eve","Eve","Workday")))</f>
        <v>Workday</v>
      </c>
      <c r="D367" s="18" t="str">
        <f aca="false">IFERROR(INDEX(Holidays!$C$5:$C$60,MATCH(A367,Holidays!$A$5:$A$60,0)),"")</f>
        <v/>
      </c>
      <c r="E367" s="31"/>
      <c r="F367" s="32"/>
      <c r="G367" s="32"/>
      <c r="H367" s="32"/>
      <c r="I367" s="32"/>
      <c r="J367" s="31"/>
      <c r="K367" s="33" t="str">
        <f aca="false">IF(E367&lt;&gt;"",E367,IF(U367,"Present",IF(C367="Holiday","Holiday","Weekend")))</f>
        <v>Present</v>
      </c>
      <c r="L367" s="34" t="n">
        <f aca="false">IF(OR(K367="Present",K367="Manual Work",K367="Partial Vacation",K367="Partial Sick Leave"),IF(ISNUMBER(F367),F367,IF(AND(K367="Present",U367),Settings!$B$6,"")),"")</f>
        <v>0.333333333333333</v>
      </c>
      <c r="M367" s="34" t="n">
        <f aca="false">IF(OR(K367="Present",K367="Manual Work",K367="Partial Vacation",K367="Partial Sick Leave"),IF(ISNUMBER(G367),G367,IF(AND(K367="Present",U367),V367,"")),"")</f>
        <v>0.6875</v>
      </c>
      <c r="N367" s="14" t="n">
        <f aca="false">IF(AND(ISNUMBER(L367),ISNUMBER(M367)),MAX(0,(M367-L367)*24),0)</f>
        <v>8.5</v>
      </c>
      <c r="O367" s="14" t="n">
        <f aca="false">IF(NOT(U367),0,IF(K367="Vacation",IF(C367="Eve",Settings!$B$9*Settings!$B$11,W367),IF(K367="Partial Vacation",IF(AND(ISNUMBER(H367),ISNUMBER(I367)),MAX(0,(I367-H367)*24),0),0)))</f>
        <v>0</v>
      </c>
      <c r="P367" s="14" t="n">
        <f aca="false">IF(NOT(U367),0,IF(K367="Sick Leave",W367,IF(K367="Partial Sick Leave",IF(AND(ISNUMBER(H367),ISNUMBER(I367)),MAX(0,(I367-H367)*24),0),0)))</f>
        <v>0</v>
      </c>
      <c r="Q367" s="14" t="n">
        <f aca="false">IF(NOT(U367),0,IF(K367="Vacation",IF(C367="Eve",Settings!$B$11,1),IF(K367="Partial Vacation",O367/Settings!$B$9,0)))</f>
        <v>0</v>
      </c>
      <c r="R367" s="14" t="n">
        <f aca="false">IF(NOT(U367),0,IF(K367="Sick Leave",1,IF(K367="Partial Sick Leave",P367/Settings!$B$9,0)))</f>
        <v>0</v>
      </c>
      <c r="S367" s="35" t="str">
        <f aca="false">IF(AND(OR(E367="Vacation",E367="Sick Leave",E367="Partial Vacation",E367="Partial Sick Leave"),NOT(U367)),"Leave not allowed on this day",IF(AND(E367="Manual Work",OR(NOT(ISNUMBER(F367)),NOT(ISNUMBER(G367)))),"Enter start and end",IF(AND(OR(E367="Partial Vacation",E367="Partial Sick Leave"),OR(NOT(ISNUMBER(H367)),NOT(ISNUMBER(I367)))),"Enter leave from and to",IF(AND(ISNUMBER(F367),ISNUMBER(G367),G367&lt;=F367),"End is before start",IF(AND(ISNUMBER(H367),ISNUMBER(I367),I367&lt;=H367),"Leave end is before start",IF(AND(ISNUMBER(F367),ISNUMBER(G367),ISNUMBER(H367),ISNUMBER(I367),F367&lt;I367,H367&lt;G367),"Work and leave hours overlap",IF(AND(E367&lt;&gt;"",WEEKDAY(A367)=7),"Saturday - administrator only","")))))))</f>
        <v/>
      </c>
      <c r="T367" s="36" t="n">
        <f aca="false">MONTH(A367)</f>
        <v>12</v>
      </c>
      <c r="U367" s="37" t="b">
        <f aca="false">OR(C367="Workday",C367="Eve")</f>
        <v>1</v>
      </c>
      <c r="V367" s="34" t="n">
        <f aca="false">IF(C367="Eve",Settings!$B$8,Settings!$B$7)</f>
        <v>0.6875</v>
      </c>
      <c r="W367" s="14" t="n">
        <f aca="false">IF(U367,(V367-Settings!$B$6)*24,0)</f>
        <v>8.5</v>
      </c>
    </row>
    <row r="368" customFormat="false" ht="15" hidden="false" customHeight="false" outlineLevel="0" collapsed="false">
      <c r="A368" s="29" t="n">
        <v>46384</v>
      </c>
      <c r="B368" s="30" t="str">
        <f aca="false">CHOOSE(WEEKDAY(A368),"Sun","Mon","Tue","Wed","Thu","Fri","Sat")</f>
        <v>Mon</v>
      </c>
      <c r="C368" s="30" t="str">
        <f aca="false">IF(IFERROR(INDEX(Holidays!$D$5:$D$60,MATCH(A368,Holidays!$A$5:$A$60,0)),"")="Holiday","Holiday",IF(WEEKDAY(A368)&gt;=6,"Weekend",IF(IFERROR(INDEX(Holidays!$D$5:$D$60,MATCH(A368,Holidays!$A$5:$A$60,0)),"")="Eve","Eve","Workday")))</f>
        <v>Workday</v>
      </c>
      <c r="D368" s="18" t="str">
        <f aca="false">IFERROR(INDEX(Holidays!$C$5:$C$60,MATCH(A368,Holidays!$A$5:$A$60,0)),"")</f>
        <v/>
      </c>
      <c r="E368" s="31"/>
      <c r="F368" s="32"/>
      <c r="G368" s="32"/>
      <c r="H368" s="32"/>
      <c r="I368" s="32"/>
      <c r="J368" s="31"/>
      <c r="K368" s="33" t="str">
        <f aca="false">IF(E368&lt;&gt;"",E368,IF(U368,"Present",IF(C368="Holiday","Holiday","Weekend")))</f>
        <v>Present</v>
      </c>
      <c r="L368" s="34" t="n">
        <f aca="false">IF(OR(K368="Present",K368="Manual Work",K368="Partial Vacation",K368="Partial Sick Leave"),IF(ISNUMBER(F368),F368,IF(AND(K368="Present",U368),Settings!$B$6,"")),"")</f>
        <v>0.333333333333333</v>
      </c>
      <c r="M368" s="34" t="n">
        <f aca="false">IF(OR(K368="Present",K368="Manual Work",K368="Partial Vacation",K368="Partial Sick Leave"),IF(ISNUMBER(G368),G368,IF(AND(K368="Present",U368),V368,"")),"")</f>
        <v>0.6875</v>
      </c>
      <c r="N368" s="14" t="n">
        <f aca="false">IF(AND(ISNUMBER(L368),ISNUMBER(M368)),MAX(0,(M368-L368)*24),0)</f>
        <v>8.5</v>
      </c>
      <c r="O368" s="14" t="n">
        <f aca="false">IF(NOT(U368),0,IF(K368="Vacation",IF(C368="Eve",Settings!$B$9*Settings!$B$11,W368),IF(K368="Partial Vacation",IF(AND(ISNUMBER(H368),ISNUMBER(I368)),MAX(0,(I368-H368)*24),0),0)))</f>
        <v>0</v>
      </c>
      <c r="P368" s="14" t="n">
        <f aca="false">IF(NOT(U368),0,IF(K368="Sick Leave",W368,IF(K368="Partial Sick Leave",IF(AND(ISNUMBER(H368),ISNUMBER(I368)),MAX(0,(I368-H368)*24),0),0)))</f>
        <v>0</v>
      </c>
      <c r="Q368" s="14" t="n">
        <f aca="false">IF(NOT(U368),0,IF(K368="Vacation",IF(C368="Eve",Settings!$B$11,1),IF(K368="Partial Vacation",O368/Settings!$B$9,0)))</f>
        <v>0</v>
      </c>
      <c r="R368" s="14" t="n">
        <f aca="false">IF(NOT(U368),0,IF(K368="Sick Leave",1,IF(K368="Partial Sick Leave",P368/Settings!$B$9,0)))</f>
        <v>0</v>
      </c>
      <c r="S368" s="35" t="str">
        <f aca="false">IF(AND(OR(E368="Vacation",E368="Sick Leave",E368="Partial Vacation",E368="Partial Sick Leave"),NOT(U368)),"Leave not allowed on this day",IF(AND(E368="Manual Work",OR(NOT(ISNUMBER(F368)),NOT(ISNUMBER(G368)))),"Enter start and end",IF(AND(OR(E368="Partial Vacation",E368="Partial Sick Leave"),OR(NOT(ISNUMBER(H368)),NOT(ISNUMBER(I368)))),"Enter leave from and to",IF(AND(ISNUMBER(F368),ISNUMBER(G368),G368&lt;=F368),"End is before start",IF(AND(ISNUMBER(H368),ISNUMBER(I368),I368&lt;=H368),"Leave end is before start",IF(AND(ISNUMBER(F368),ISNUMBER(G368),ISNUMBER(H368),ISNUMBER(I368),F368&lt;I368,H368&lt;G368),"Work and leave hours overlap",IF(AND(E368&lt;&gt;"",WEEKDAY(A368)=7),"Saturday - administrator only","")))))))</f>
        <v/>
      </c>
      <c r="T368" s="36" t="n">
        <f aca="false">MONTH(A368)</f>
        <v>12</v>
      </c>
      <c r="U368" s="37" t="b">
        <f aca="false">OR(C368="Workday",C368="Eve")</f>
        <v>1</v>
      </c>
      <c r="V368" s="34" t="n">
        <f aca="false">IF(C368="Eve",Settings!$B$8,Settings!$B$7)</f>
        <v>0.6875</v>
      </c>
      <c r="W368" s="14" t="n">
        <f aca="false">IF(U368,(V368-Settings!$B$6)*24,0)</f>
        <v>8.5</v>
      </c>
    </row>
    <row r="369" customFormat="false" ht="15" hidden="false" customHeight="false" outlineLevel="0" collapsed="false">
      <c r="A369" s="29" t="n">
        <v>46385</v>
      </c>
      <c r="B369" s="30" t="str">
        <f aca="false">CHOOSE(WEEKDAY(A369),"Sun","Mon","Tue","Wed","Thu","Fri","Sat")</f>
        <v>Tue</v>
      </c>
      <c r="C369" s="30" t="str">
        <f aca="false">IF(IFERROR(INDEX(Holidays!$D$5:$D$60,MATCH(A369,Holidays!$A$5:$A$60,0)),"")="Holiday","Holiday",IF(WEEKDAY(A369)&gt;=6,"Weekend",IF(IFERROR(INDEX(Holidays!$D$5:$D$60,MATCH(A369,Holidays!$A$5:$A$60,0)),"")="Eve","Eve","Workday")))</f>
        <v>Workday</v>
      </c>
      <c r="D369" s="18" t="str">
        <f aca="false">IFERROR(INDEX(Holidays!$C$5:$C$60,MATCH(A369,Holidays!$A$5:$A$60,0)),"")</f>
        <v/>
      </c>
      <c r="E369" s="31"/>
      <c r="F369" s="32"/>
      <c r="G369" s="32"/>
      <c r="H369" s="32"/>
      <c r="I369" s="32"/>
      <c r="J369" s="31"/>
      <c r="K369" s="33" t="str">
        <f aca="false">IF(E369&lt;&gt;"",E369,IF(U369,"Present",IF(C369="Holiday","Holiday","Weekend")))</f>
        <v>Present</v>
      </c>
      <c r="L369" s="34" t="n">
        <f aca="false">IF(OR(K369="Present",K369="Manual Work",K369="Partial Vacation",K369="Partial Sick Leave"),IF(ISNUMBER(F369),F369,IF(AND(K369="Present",U369),Settings!$B$6,"")),"")</f>
        <v>0.333333333333333</v>
      </c>
      <c r="M369" s="34" t="n">
        <f aca="false">IF(OR(K369="Present",K369="Manual Work",K369="Partial Vacation",K369="Partial Sick Leave"),IF(ISNUMBER(G369),G369,IF(AND(K369="Present",U369),V369,"")),"")</f>
        <v>0.6875</v>
      </c>
      <c r="N369" s="14" t="n">
        <f aca="false">IF(AND(ISNUMBER(L369),ISNUMBER(M369)),MAX(0,(M369-L369)*24),0)</f>
        <v>8.5</v>
      </c>
      <c r="O369" s="14" t="n">
        <f aca="false">IF(NOT(U369),0,IF(K369="Vacation",IF(C369="Eve",Settings!$B$9*Settings!$B$11,W369),IF(K369="Partial Vacation",IF(AND(ISNUMBER(H369),ISNUMBER(I369)),MAX(0,(I369-H369)*24),0),0)))</f>
        <v>0</v>
      </c>
      <c r="P369" s="14" t="n">
        <f aca="false">IF(NOT(U369),0,IF(K369="Sick Leave",W369,IF(K369="Partial Sick Leave",IF(AND(ISNUMBER(H369),ISNUMBER(I369)),MAX(0,(I369-H369)*24),0),0)))</f>
        <v>0</v>
      </c>
      <c r="Q369" s="14" t="n">
        <f aca="false">IF(NOT(U369),0,IF(K369="Vacation",IF(C369="Eve",Settings!$B$11,1),IF(K369="Partial Vacation",O369/Settings!$B$9,0)))</f>
        <v>0</v>
      </c>
      <c r="R369" s="14" t="n">
        <f aca="false">IF(NOT(U369),0,IF(K369="Sick Leave",1,IF(K369="Partial Sick Leave",P369/Settings!$B$9,0)))</f>
        <v>0</v>
      </c>
      <c r="S369" s="35" t="str">
        <f aca="false">IF(AND(OR(E369="Vacation",E369="Sick Leave",E369="Partial Vacation",E369="Partial Sick Leave"),NOT(U369)),"Leave not allowed on this day",IF(AND(E369="Manual Work",OR(NOT(ISNUMBER(F369)),NOT(ISNUMBER(G369)))),"Enter start and end",IF(AND(OR(E369="Partial Vacation",E369="Partial Sick Leave"),OR(NOT(ISNUMBER(H369)),NOT(ISNUMBER(I369)))),"Enter leave from and to",IF(AND(ISNUMBER(F369),ISNUMBER(G369),G369&lt;=F369),"End is before start",IF(AND(ISNUMBER(H369),ISNUMBER(I369),I369&lt;=H369),"Leave end is before start",IF(AND(ISNUMBER(F369),ISNUMBER(G369),ISNUMBER(H369),ISNUMBER(I369),F369&lt;I369,H369&lt;G369),"Work and leave hours overlap",IF(AND(E369&lt;&gt;"",WEEKDAY(A369)=7),"Saturday - administrator only","")))))))</f>
        <v/>
      </c>
      <c r="T369" s="36" t="n">
        <f aca="false">MONTH(A369)</f>
        <v>12</v>
      </c>
      <c r="U369" s="37" t="b">
        <f aca="false">OR(C369="Workday",C369="Eve")</f>
        <v>1</v>
      </c>
      <c r="V369" s="34" t="n">
        <f aca="false">IF(C369="Eve",Settings!$B$8,Settings!$B$7)</f>
        <v>0.6875</v>
      </c>
      <c r="W369" s="14" t="n">
        <f aca="false">IF(U369,(V369-Settings!$B$6)*24,0)</f>
        <v>8.5</v>
      </c>
    </row>
    <row r="370" customFormat="false" ht="15" hidden="false" customHeight="false" outlineLevel="0" collapsed="false">
      <c r="A370" s="29" t="n">
        <v>46386</v>
      </c>
      <c r="B370" s="30" t="str">
        <f aca="false">CHOOSE(WEEKDAY(A370),"Sun","Mon","Tue","Wed","Thu","Fri","Sat")</f>
        <v>Wed</v>
      </c>
      <c r="C370" s="30" t="str">
        <f aca="false">IF(IFERROR(INDEX(Holidays!$D$5:$D$60,MATCH(A370,Holidays!$A$5:$A$60,0)),"")="Holiday","Holiday",IF(WEEKDAY(A370)&gt;=6,"Weekend",IF(IFERROR(INDEX(Holidays!$D$5:$D$60,MATCH(A370,Holidays!$A$5:$A$60,0)),"")="Eve","Eve","Workday")))</f>
        <v>Workday</v>
      </c>
      <c r="D370" s="18" t="str">
        <f aca="false">IFERROR(INDEX(Holidays!$C$5:$C$60,MATCH(A370,Holidays!$A$5:$A$60,0)),"")</f>
        <v/>
      </c>
      <c r="E370" s="31"/>
      <c r="F370" s="32"/>
      <c r="G370" s="32"/>
      <c r="H370" s="32"/>
      <c r="I370" s="32"/>
      <c r="J370" s="31"/>
      <c r="K370" s="33" t="str">
        <f aca="false">IF(E370&lt;&gt;"",E370,IF(U370,"Present",IF(C370="Holiday","Holiday","Weekend")))</f>
        <v>Present</v>
      </c>
      <c r="L370" s="34" t="n">
        <f aca="false">IF(OR(K370="Present",K370="Manual Work",K370="Partial Vacation",K370="Partial Sick Leave"),IF(ISNUMBER(F370),F370,IF(AND(K370="Present",U370),Settings!$B$6,"")),"")</f>
        <v>0.333333333333333</v>
      </c>
      <c r="M370" s="34" t="n">
        <f aca="false">IF(OR(K370="Present",K370="Manual Work",K370="Partial Vacation",K370="Partial Sick Leave"),IF(ISNUMBER(G370),G370,IF(AND(K370="Present",U370),V370,"")),"")</f>
        <v>0.6875</v>
      </c>
      <c r="N370" s="14" t="n">
        <f aca="false">IF(AND(ISNUMBER(L370),ISNUMBER(M370)),MAX(0,(M370-L370)*24),0)</f>
        <v>8.5</v>
      </c>
      <c r="O370" s="14" t="n">
        <f aca="false">IF(NOT(U370),0,IF(K370="Vacation",IF(C370="Eve",Settings!$B$9*Settings!$B$11,W370),IF(K370="Partial Vacation",IF(AND(ISNUMBER(H370),ISNUMBER(I370)),MAX(0,(I370-H370)*24),0),0)))</f>
        <v>0</v>
      </c>
      <c r="P370" s="14" t="n">
        <f aca="false">IF(NOT(U370),0,IF(K370="Sick Leave",W370,IF(K370="Partial Sick Leave",IF(AND(ISNUMBER(H370),ISNUMBER(I370)),MAX(0,(I370-H370)*24),0),0)))</f>
        <v>0</v>
      </c>
      <c r="Q370" s="14" t="n">
        <f aca="false">IF(NOT(U370),0,IF(K370="Vacation",IF(C370="Eve",Settings!$B$11,1),IF(K370="Partial Vacation",O370/Settings!$B$9,0)))</f>
        <v>0</v>
      </c>
      <c r="R370" s="14" t="n">
        <f aca="false">IF(NOT(U370),0,IF(K370="Sick Leave",1,IF(K370="Partial Sick Leave",P370/Settings!$B$9,0)))</f>
        <v>0</v>
      </c>
      <c r="S370" s="35" t="str">
        <f aca="false">IF(AND(OR(E370="Vacation",E370="Sick Leave",E370="Partial Vacation",E370="Partial Sick Leave"),NOT(U370)),"Leave not allowed on this day",IF(AND(E370="Manual Work",OR(NOT(ISNUMBER(F370)),NOT(ISNUMBER(G370)))),"Enter start and end",IF(AND(OR(E370="Partial Vacation",E370="Partial Sick Leave"),OR(NOT(ISNUMBER(H370)),NOT(ISNUMBER(I370)))),"Enter leave from and to",IF(AND(ISNUMBER(F370),ISNUMBER(G370),G370&lt;=F370),"End is before start",IF(AND(ISNUMBER(H370),ISNUMBER(I370),I370&lt;=H370),"Leave end is before start",IF(AND(ISNUMBER(F370),ISNUMBER(G370),ISNUMBER(H370),ISNUMBER(I370),F370&lt;I370,H370&lt;G370),"Work and leave hours overlap",IF(AND(E370&lt;&gt;"",WEEKDAY(A370)=7),"Saturday - administrator only","")))))))</f>
        <v/>
      </c>
      <c r="T370" s="36" t="n">
        <f aca="false">MONTH(A370)</f>
        <v>12</v>
      </c>
      <c r="U370" s="37" t="b">
        <f aca="false">OR(C370="Workday",C370="Eve")</f>
        <v>1</v>
      </c>
      <c r="V370" s="34" t="n">
        <f aca="false">IF(C370="Eve",Settings!$B$8,Settings!$B$7)</f>
        <v>0.6875</v>
      </c>
      <c r="W370" s="14" t="n">
        <f aca="false">IF(U370,(V370-Settings!$B$6)*24,0)</f>
        <v>8.5</v>
      </c>
    </row>
    <row r="371" customFormat="false" ht="15" hidden="false" customHeight="false" outlineLevel="0" collapsed="false">
      <c r="A371" s="29" t="n">
        <v>46387</v>
      </c>
      <c r="B371" s="30" t="str">
        <f aca="false">CHOOSE(WEEKDAY(A371),"Sun","Mon","Tue","Wed","Thu","Fri","Sat")</f>
        <v>Thu</v>
      </c>
      <c r="C371" s="30" t="str">
        <f aca="false">IF(IFERROR(INDEX(Holidays!$D$5:$D$60,MATCH(A371,Holidays!$A$5:$A$60,0)),"")="Holiday","Holiday",IF(WEEKDAY(A371)&gt;=6,"Weekend",IF(IFERROR(INDEX(Holidays!$D$5:$D$60,MATCH(A371,Holidays!$A$5:$A$60,0)),"")="Eve","Eve","Workday")))</f>
        <v>Workday</v>
      </c>
      <c r="D371" s="18" t="str">
        <f aca="false">IFERROR(INDEX(Holidays!$C$5:$C$60,MATCH(A371,Holidays!$A$5:$A$60,0)),"")</f>
        <v/>
      </c>
      <c r="E371" s="31"/>
      <c r="F371" s="32"/>
      <c r="G371" s="32"/>
      <c r="H371" s="32"/>
      <c r="I371" s="32"/>
      <c r="J371" s="31"/>
      <c r="K371" s="33" t="str">
        <f aca="false">IF(E371&lt;&gt;"",E371,IF(U371,"Present",IF(C371="Holiday","Holiday","Weekend")))</f>
        <v>Present</v>
      </c>
      <c r="L371" s="34" t="n">
        <f aca="false">IF(OR(K371="Present",K371="Manual Work",K371="Partial Vacation",K371="Partial Sick Leave"),IF(ISNUMBER(F371),F371,IF(AND(K371="Present",U371),Settings!$B$6,"")),"")</f>
        <v>0.333333333333333</v>
      </c>
      <c r="M371" s="34" t="n">
        <f aca="false">IF(OR(K371="Present",K371="Manual Work",K371="Partial Vacation",K371="Partial Sick Leave"),IF(ISNUMBER(G371),G371,IF(AND(K371="Present",U371),V371,"")),"")</f>
        <v>0.6875</v>
      </c>
      <c r="N371" s="14" t="n">
        <f aca="false">IF(AND(ISNUMBER(L371),ISNUMBER(M371)),MAX(0,(M371-L371)*24),0)</f>
        <v>8.5</v>
      </c>
      <c r="O371" s="14" t="n">
        <f aca="false">IF(NOT(U371),0,IF(K371="Vacation",IF(C371="Eve",Settings!$B$9*Settings!$B$11,W371),IF(K371="Partial Vacation",IF(AND(ISNUMBER(H371),ISNUMBER(I371)),MAX(0,(I371-H371)*24),0),0)))</f>
        <v>0</v>
      </c>
      <c r="P371" s="14" t="n">
        <f aca="false">IF(NOT(U371),0,IF(K371="Sick Leave",W371,IF(K371="Partial Sick Leave",IF(AND(ISNUMBER(H371),ISNUMBER(I371)),MAX(0,(I371-H371)*24),0),0)))</f>
        <v>0</v>
      </c>
      <c r="Q371" s="14" t="n">
        <f aca="false">IF(NOT(U371),0,IF(K371="Vacation",IF(C371="Eve",Settings!$B$11,1),IF(K371="Partial Vacation",O371/Settings!$B$9,0)))</f>
        <v>0</v>
      </c>
      <c r="R371" s="14" t="n">
        <f aca="false">IF(NOT(U371),0,IF(K371="Sick Leave",1,IF(K371="Partial Sick Leave",P371/Settings!$B$9,0)))</f>
        <v>0</v>
      </c>
      <c r="S371" s="35" t="str">
        <f aca="false">IF(AND(OR(E371="Vacation",E371="Sick Leave",E371="Partial Vacation",E371="Partial Sick Leave"),NOT(U371)),"Leave not allowed on this day",IF(AND(E371="Manual Work",OR(NOT(ISNUMBER(F371)),NOT(ISNUMBER(G371)))),"Enter start and end",IF(AND(OR(E371="Partial Vacation",E371="Partial Sick Leave"),OR(NOT(ISNUMBER(H371)),NOT(ISNUMBER(I371)))),"Enter leave from and to",IF(AND(ISNUMBER(F371),ISNUMBER(G371),G371&lt;=F371),"End is before start",IF(AND(ISNUMBER(H371),ISNUMBER(I371),I371&lt;=H371),"Leave end is before start",IF(AND(ISNUMBER(F371),ISNUMBER(G371),ISNUMBER(H371),ISNUMBER(I371),F371&lt;I371,H371&lt;G371),"Work and leave hours overlap",IF(AND(E371&lt;&gt;"",WEEKDAY(A371)=7),"Saturday - administrator only","")))))))</f>
        <v/>
      </c>
      <c r="T371" s="36" t="n">
        <f aca="false">MONTH(A371)</f>
        <v>12</v>
      </c>
      <c r="U371" s="37" t="b">
        <f aca="false">OR(C371="Workday",C371="Eve")</f>
        <v>1</v>
      </c>
      <c r="V371" s="34" t="n">
        <f aca="false">IF(C371="Eve",Settings!$B$8,Settings!$B$7)</f>
        <v>0.6875</v>
      </c>
      <c r="W371" s="14" t="n">
        <f aca="false">IF(U371,(V371-Settings!$B$6)*24,0)</f>
        <v>8.5</v>
      </c>
    </row>
  </sheetData>
  <sheetProtection sheet="true" formatColumns="false" formatRows="false" sort="false" autoFilter="false"/>
  <autoFilter ref="A6:S371"/>
  <mergeCells count="8">
    <mergeCell ref="A3:B3"/>
    <mergeCell ref="C3:D3"/>
    <mergeCell ref="F3:G3"/>
    <mergeCell ref="H3:I3"/>
    <mergeCell ref="A4:B4"/>
    <mergeCell ref="C4:D4"/>
    <mergeCell ref="F4:G4"/>
    <mergeCell ref="H4:I4"/>
  </mergeCells>
  <conditionalFormatting sqref="A7:S371">
    <cfRule type="expression" priority="2" aboveAverage="0" equalAverage="0" bottom="0" percent="0" rank="0" text="" dxfId="11">
      <formula>$C7="Holiday"</formula>
    </cfRule>
    <cfRule type="expression" priority="3" aboveAverage="0" equalAverage="0" bottom="0" percent="0" rank="0" text="" dxfId="12">
      <formula>$C7="Weekend"</formula>
    </cfRule>
  </conditionalFormatting>
  <conditionalFormatting sqref="K7:K371">
    <cfRule type="expression" priority="4" aboveAverage="0" equalAverage="0" bottom="0" percent="0" rank="0" text="" dxfId="13">
      <formula>$E7&lt;&gt;""</formula>
    </cfRule>
  </conditionalFormatting>
  <dataValidations count="2">
    <dataValidation allowBlank="true" error="Enter a time as hh:mm, e.g. 08:00." errorStyle="stop" operator="between" showDropDown="false" showErrorMessage="true" showInputMessage="false" sqref="F7:I371" type="time">
      <formula1>0</formula1>
      <formula2>0.999305555</formula2>
    </dataValidation>
    <dataValidation allowBlank="true" error="Choose a status from the list, or leave empty." errorStyle="stop" operator="between" showDropDown="false" showErrorMessage="true" showInputMessage="false" sqref="E7:E371" type="list">
      <formula1>Lists!$A$1:$A$7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3" min="3" style="0" width="18"/>
    <col collapsed="false" customWidth="true" hidden="false" outlineLevel="0" max="5" min="4" style="0" width="8"/>
    <col collapsed="false" customWidth="true" hidden="false" outlineLevel="0" max="6" min="6" style="0" width="12"/>
    <col collapsed="false" customWidth="true" hidden="false" outlineLevel="0" max="8" min="7" style="0" width="11"/>
    <col collapsed="false" customWidth="true" hidden="false" outlineLevel="0" max="9" min="9" style="0" width="13"/>
    <col collapsed="false" customWidth="true" hidden="false" outlineLevel="0" max="10" min="10" style="0" width="12"/>
    <col collapsed="false" customWidth="true" hidden="false" outlineLevel="0" max="11" min="11" style="0" width="28"/>
  </cols>
  <sheetData>
    <row r="1" customFormat="false" ht="17.35" hidden="false" customHeight="false" outlineLevel="0" collapsed="false">
      <c r="A1" s="1" t="s">
        <v>96</v>
      </c>
    </row>
    <row r="2" customFormat="false" ht="15" hidden="false" customHeight="false" outlineLevel="0" collapsed="false">
      <c r="A2" s="2" t="s">
        <v>97</v>
      </c>
    </row>
    <row r="3" customFormat="false" ht="15" hidden="false" customHeight="false" outlineLevel="0" collapsed="false">
      <c r="A3" s="8" t="s">
        <v>55</v>
      </c>
      <c r="B3" s="31" t="s">
        <v>98</v>
      </c>
      <c r="C3" s="31"/>
      <c r="E3" s="8" t="str">
        <f aca="false">B3&amp;" - "&amp;B4&amp;" 2026"</f>
        <v>Nir Ben Haim - January 2026</v>
      </c>
    </row>
    <row r="4" customFormat="false" ht="15" hidden="false" customHeight="false" outlineLevel="0" collapsed="false">
      <c r="A4" s="8" t="s">
        <v>90</v>
      </c>
      <c r="B4" s="31" t="s">
        <v>99</v>
      </c>
      <c r="C4" s="31"/>
      <c r="D4" s="16" t="n">
        <f aca="false">MATCH(B4,Lists!$B$1:$B$12,0)</f>
        <v>1</v>
      </c>
    </row>
    <row r="6" customFormat="false" ht="42" hidden="false" customHeight="true" outlineLevel="0" collapsed="false">
      <c r="A6" s="17" t="s">
        <v>40</v>
      </c>
      <c r="B6" s="17" t="s">
        <v>82</v>
      </c>
      <c r="C6" s="17" t="s">
        <v>16</v>
      </c>
      <c r="D6" s="17" t="s">
        <v>41</v>
      </c>
      <c r="E6" s="17" t="s">
        <v>42</v>
      </c>
      <c r="F6" s="17" t="s">
        <v>100</v>
      </c>
      <c r="G6" s="17" t="s">
        <v>46</v>
      </c>
      <c r="H6" s="17" t="s">
        <v>80</v>
      </c>
      <c r="I6" s="17" t="s">
        <v>101</v>
      </c>
      <c r="J6" s="17" t="s">
        <v>102</v>
      </c>
      <c r="K6" s="17" t="s">
        <v>22</v>
      </c>
    </row>
    <row r="7" customFormat="false" ht="15" hidden="false" customHeight="false" outlineLevel="0" collapsed="false">
      <c r="A7" s="29" t="n">
        <f aca="false">IF(1&lt;=DAY(DATE(2026,$D$4+1,0)),DATE(2026,$D$4,1),"")</f>
        <v>46023</v>
      </c>
      <c r="B7" s="30" t="str">
        <f aca="true">IF($A7="","",IFERROR(INDEX(INDIRECT("'"&amp;$B$3&amp;"'!$A$7:$W$371"),$A7-DATE(2026,1,1)+1,2),""))</f>
        <v>Thu</v>
      </c>
      <c r="C7" s="33" t="str">
        <f aca="true">IF($A7="","",IFERROR(INDEX(INDIRECT("'"&amp;$B$3&amp;"'!$A$7:$W$371"),$A7-DATE(2026,1,1)+1,11),""))</f>
        <v>Present</v>
      </c>
      <c r="D7" s="34" t="n">
        <f aca="true">IF($A7="","",IFERROR(INDEX(INDIRECT("'"&amp;$B$3&amp;"'!$A$7:$W$371"),$A7-DATE(2026,1,1)+1,12),""))</f>
        <v>0.333333333333333</v>
      </c>
      <c r="E7" s="34" t="n">
        <f aca="true">IF($A7="","",IFERROR(INDEX(INDIRECT("'"&amp;$B$3&amp;"'!$A$7:$W$371"),$A7-DATE(2026,1,1)+1,13),""))</f>
        <v>0.6875</v>
      </c>
      <c r="F7" s="14" t="n">
        <f aca="true">IF($A7="","",IFERROR(INDEX(INDIRECT("'"&amp;$B$3&amp;"'!$A$7:$W$371"),$A7-DATE(2026,1,1)+1,14),""))</f>
        <v>8.5</v>
      </c>
      <c r="G7" s="14" t="n">
        <f aca="true">IF($A7="","",IFERROR(INDEX(INDIRECT("'"&amp;$B$3&amp;"'!$A$7:$W$371"),$A7-DATE(2026,1,1)+1,15),""))</f>
        <v>0</v>
      </c>
      <c r="H7" s="14" t="n">
        <f aca="true">IF($A7="","",IFERROR(INDEX(INDIRECT("'"&amp;$B$3&amp;"'!$A$7:$W$371"),$A7-DATE(2026,1,1)+1,16),""))</f>
        <v>0</v>
      </c>
      <c r="I7" s="14" t="n">
        <f aca="true">IF($A7="","",IFERROR(INDEX(INDIRECT("'"&amp;$B$3&amp;"'!$A$7:$W$371"),$A7-DATE(2026,1,1)+1,17),""))</f>
        <v>0</v>
      </c>
      <c r="J7" s="14" t="n">
        <f aca="true">IF($A7="","",IFERROR(INDEX(INDIRECT("'"&amp;$B$3&amp;"'!$A$7:$W$371"),$A7-DATE(2026,1,1)+1,18),""))</f>
        <v>0</v>
      </c>
      <c r="K7" s="33" t="str">
        <f aca="true">IF($A7="","",IFERROR(""&amp;INDEX(INDIRECT("'"&amp;$B$3&amp;"'!$A$7:$W$371"),$A7-DATE(2026,1,1)+1,10),""))</f>
        <v/>
      </c>
    </row>
    <row r="8" customFormat="false" ht="15" hidden="false" customHeight="false" outlineLevel="0" collapsed="false">
      <c r="A8" s="29" t="n">
        <f aca="false">IF(2&lt;=DAY(DATE(2026,$D$4+1,0)),DATE(2026,$D$4,2),"")</f>
        <v>46024</v>
      </c>
      <c r="B8" s="30" t="str">
        <f aca="true">IF($A8="","",IFERROR(INDEX(INDIRECT("'"&amp;$B$3&amp;"'!$A$7:$W$371"),$A8-DATE(2026,1,1)+1,2),""))</f>
        <v>Fri</v>
      </c>
      <c r="C8" s="33" t="str">
        <f aca="true">IF($A8="","",IFERROR(INDEX(INDIRECT("'"&amp;$B$3&amp;"'!$A$7:$W$371"),$A8-DATE(2026,1,1)+1,11),""))</f>
        <v>Weekend</v>
      </c>
      <c r="D8" s="34" t="str">
        <f aca="true">IF($A8="","",IFERROR(INDEX(INDIRECT("'"&amp;$B$3&amp;"'!$A$7:$W$371"),$A8-DATE(2026,1,1)+1,12),""))</f>
        <v/>
      </c>
      <c r="E8" s="34" t="str">
        <f aca="true">IF($A8="","",IFERROR(INDEX(INDIRECT("'"&amp;$B$3&amp;"'!$A$7:$W$371"),$A8-DATE(2026,1,1)+1,13),""))</f>
        <v/>
      </c>
      <c r="F8" s="14" t="n">
        <f aca="true">IF($A8="","",IFERROR(INDEX(INDIRECT("'"&amp;$B$3&amp;"'!$A$7:$W$371"),$A8-DATE(2026,1,1)+1,14),""))</f>
        <v>0</v>
      </c>
      <c r="G8" s="14" t="n">
        <f aca="true">IF($A8="","",IFERROR(INDEX(INDIRECT("'"&amp;$B$3&amp;"'!$A$7:$W$371"),$A8-DATE(2026,1,1)+1,15),""))</f>
        <v>0</v>
      </c>
      <c r="H8" s="14" t="n">
        <f aca="true">IF($A8="","",IFERROR(INDEX(INDIRECT("'"&amp;$B$3&amp;"'!$A$7:$W$371"),$A8-DATE(2026,1,1)+1,16),""))</f>
        <v>0</v>
      </c>
      <c r="I8" s="14" t="n">
        <f aca="true">IF($A8="","",IFERROR(INDEX(INDIRECT("'"&amp;$B$3&amp;"'!$A$7:$W$371"),$A8-DATE(2026,1,1)+1,17),""))</f>
        <v>0</v>
      </c>
      <c r="J8" s="14" t="n">
        <f aca="true">IF($A8="","",IFERROR(INDEX(INDIRECT("'"&amp;$B$3&amp;"'!$A$7:$W$371"),$A8-DATE(2026,1,1)+1,18),""))</f>
        <v>0</v>
      </c>
      <c r="K8" s="33" t="str">
        <f aca="true">IF($A8="","",IFERROR(""&amp;INDEX(INDIRECT("'"&amp;$B$3&amp;"'!$A$7:$W$371"),$A8-DATE(2026,1,1)+1,10),""))</f>
        <v/>
      </c>
    </row>
    <row r="9" customFormat="false" ht="15" hidden="false" customHeight="false" outlineLevel="0" collapsed="false">
      <c r="A9" s="29" t="n">
        <f aca="false">IF(3&lt;=DAY(DATE(2026,$D$4+1,0)),DATE(2026,$D$4,3),"")</f>
        <v>46025</v>
      </c>
      <c r="B9" s="30" t="str">
        <f aca="true">IF($A9="","",IFERROR(INDEX(INDIRECT("'"&amp;$B$3&amp;"'!$A$7:$W$371"),$A9-DATE(2026,1,1)+1,2),""))</f>
        <v>Sat</v>
      </c>
      <c r="C9" s="33" t="str">
        <f aca="true">IF($A9="","",IFERROR(INDEX(INDIRECT("'"&amp;$B$3&amp;"'!$A$7:$W$371"),$A9-DATE(2026,1,1)+1,11),""))</f>
        <v>Weekend</v>
      </c>
      <c r="D9" s="34" t="str">
        <f aca="true">IF($A9="","",IFERROR(INDEX(INDIRECT("'"&amp;$B$3&amp;"'!$A$7:$W$371"),$A9-DATE(2026,1,1)+1,12),""))</f>
        <v/>
      </c>
      <c r="E9" s="34" t="str">
        <f aca="true">IF($A9="","",IFERROR(INDEX(INDIRECT("'"&amp;$B$3&amp;"'!$A$7:$W$371"),$A9-DATE(2026,1,1)+1,13),""))</f>
        <v/>
      </c>
      <c r="F9" s="14" t="n">
        <f aca="true">IF($A9="","",IFERROR(INDEX(INDIRECT("'"&amp;$B$3&amp;"'!$A$7:$W$371"),$A9-DATE(2026,1,1)+1,14),""))</f>
        <v>0</v>
      </c>
      <c r="G9" s="14" t="n">
        <f aca="true">IF($A9="","",IFERROR(INDEX(INDIRECT("'"&amp;$B$3&amp;"'!$A$7:$W$371"),$A9-DATE(2026,1,1)+1,15),""))</f>
        <v>0</v>
      </c>
      <c r="H9" s="14" t="n">
        <f aca="true">IF($A9="","",IFERROR(INDEX(INDIRECT("'"&amp;$B$3&amp;"'!$A$7:$W$371"),$A9-DATE(2026,1,1)+1,16),""))</f>
        <v>0</v>
      </c>
      <c r="I9" s="14" t="n">
        <f aca="true">IF($A9="","",IFERROR(INDEX(INDIRECT("'"&amp;$B$3&amp;"'!$A$7:$W$371"),$A9-DATE(2026,1,1)+1,17),""))</f>
        <v>0</v>
      </c>
      <c r="J9" s="14" t="n">
        <f aca="true">IF($A9="","",IFERROR(INDEX(INDIRECT("'"&amp;$B$3&amp;"'!$A$7:$W$371"),$A9-DATE(2026,1,1)+1,18),""))</f>
        <v>0</v>
      </c>
      <c r="K9" s="33" t="str">
        <f aca="true">IF($A9="","",IFERROR(""&amp;INDEX(INDIRECT("'"&amp;$B$3&amp;"'!$A$7:$W$371"),$A9-DATE(2026,1,1)+1,10),""))</f>
        <v/>
      </c>
    </row>
    <row r="10" customFormat="false" ht="15" hidden="false" customHeight="false" outlineLevel="0" collapsed="false">
      <c r="A10" s="29" t="n">
        <f aca="false">IF(4&lt;=DAY(DATE(2026,$D$4+1,0)),DATE(2026,$D$4,4),"")</f>
        <v>46026</v>
      </c>
      <c r="B10" s="30" t="str">
        <f aca="true">IF($A10="","",IFERROR(INDEX(INDIRECT("'"&amp;$B$3&amp;"'!$A$7:$W$371"),$A10-DATE(2026,1,1)+1,2),""))</f>
        <v>Sun</v>
      </c>
      <c r="C10" s="33" t="str">
        <f aca="true">IF($A10="","",IFERROR(INDEX(INDIRECT("'"&amp;$B$3&amp;"'!$A$7:$W$371"),$A10-DATE(2026,1,1)+1,11),""))</f>
        <v>Present</v>
      </c>
      <c r="D10" s="34" t="n">
        <f aca="true">IF($A10="","",IFERROR(INDEX(INDIRECT("'"&amp;$B$3&amp;"'!$A$7:$W$371"),$A10-DATE(2026,1,1)+1,12),""))</f>
        <v>0.333333333333333</v>
      </c>
      <c r="E10" s="34" t="n">
        <f aca="true">IF($A10="","",IFERROR(INDEX(INDIRECT("'"&amp;$B$3&amp;"'!$A$7:$W$371"),$A10-DATE(2026,1,1)+1,13),""))</f>
        <v>0.6875</v>
      </c>
      <c r="F10" s="14" t="n">
        <f aca="true">IF($A10="","",IFERROR(INDEX(INDIRECT("'"&amp;$B$3&amp;"'!$A$7:$W$371"),$A10-DATE(2026,1,1)+1,14),""))</f>
        <v>8.5</v>
      </c>
      <c r="G10" s="14" t="n">
        <f aca="true">IF($A10="","",IFERROR(INDEX(INDIRECT("'"&amp;$B$3&amp;"'!$A$7:$W$371"),$A10-DATE(2026,1,1)+1,15),""))</f>
        <v>0</v>
      </c>
      <c r="H10" s="14" t="n">
        <f aca="true">IF($A10="","",IFERROR(INDEX(INDIRECT("'"&amp;$B$3&amp;"'!$A$7:$W$371"),$A10-DATE(2026,1,1)+1,16),""))</f>
        <v>0</v>
      </c>
      <c r="I10" s="14" t="n">
        <f aca="true">IF($A10="","",IFERROR(INDEX(INDIRECT("'"&amp;$B$3&amp;"'!$A$7:$W$371"),$A10-DATE(2026,1,1)+1,17),""))</f>
        <v>0</v>
      </c>
      <c r="J10" s="14" t="n">
        <f aca="true">IF($A10="","",IFERROR(INDEX(INDIRECT("'"&amp;$B$3&amp;"'!$A$7:$W$371"),$A10-DATE(2026,1,1)+1,18),""))</f>
        <v>0</v>
      </c>
      <c r="K10" s="33" t="str">
        <f aca="true">IF($A10="","",IFERROR(""&amp;INDEX(INDIRECT("'"&amp;$B$3&amp;"'!$A$7:$W$371"),$A10-DATE(2026,1,1)+1,10),""))</f>
        <v/>
      </c>
    </row>
    <row r="11" customFormat="false" ht="15" hidden="false" customHeight="false" outlineLevel="0" collapsed="false">
      <c r="A11" s="29" t="n">
        <f aca="false">IF(5&lt;=DAY(DATE(2026,$D$4+1,0)),DATE(2026,$D$4,5),"")</f>
        <v>46027</v>
      </c>
      <c r="B11" s="30" t="str">
        <f aca="true">IF($A11="","",IFERROR(INDEX(INDIRECT("'"&amp;$B$3&amp;"'!$A$7:$W$371"),$A11-DATE(2026,1,1)+1,2),""))</f>
        <v>Mon</v>
      </c>
      <c r="C11" s="33" t="str">
        <f aca="true">IF($A11="","",IFERROR(INDEX(INDIRECT("'"&amp;$B$3&amp;"'!$A$7:$W$371"),$A11-DATE(2026,1,1)+1,11),""))</f>
        <v>Present</v>
      </c>
      <c r="D11" s="34" t="n">
        <f aca="true">IF($A11="","",IFERROR(INDEX(INDIRECT("'"&amp;$B$3&amp;"'!$A$7:$W$371"),$A11-DATE(2026,1,1)+1,12),""))</f>
        <v>0.333333333333333</v>
      </c>
      <c r="E11" s="34" t="n">
        <f aca="true">IF($A11="","",IFERROR(INDEX(INDIRECT("'"&amp;$B$3&amp;"'!$A$7:$W$371"),$A11-DATE(2026,1,1)+1,13),""))</f>
        <v>0.6875</v>
      </c>
      <c r="F11" s="14" t="n">
        <f aca="true">IF($A11="","",IFERROR(INDEX(INDIRECT("'"&amp;$B$3&amp;"'!$A$7:$W$371"),$A11-DATE(2026,1,1)+1,14),""))</f>
        <v>8.5</v>
      </c>
      <c r="G11" s="14" t="n">
        <f aca="true">IF($A11="","",IFERROR(INDEX(INDIRECT("'"&amp;$B$3&amp;"'!$A$7:$W$371"),$A11-DATE(2026,1,1)+1,15),""))</f>
        <v>0</v>
      </c>
      <c r="H11" s="14" t="n">
        <f aca="true">IF($A11="","",IFERROR(INDEX(INDIRECT("'"&amp;$B$3&amp;"'!$A$7:$W$371"),$A11-DATE(2026,1,1)+1,16),""))</f>
        <v>0</v>
      </c>
      <c r="I11" s="14" t="n">
        <f aca="true">IF($A11="","",IFERROR(INDEX(INDIRECT("'"&amp;$B$3&amp;"'!$A$7:$W$371"),$A11-DATE(2026,1,1)+1,17),""))</f>
        <v>0</v>
      </c>
      <c r="J11" s="14" t="n">
        <f aca="true">IF($A11="","",IFERROR(INDEX(INDIRECT("'"&amp;$B$3&amp;"'!$A$7:$W$371"),$A11-DATE(2026,1,1)+1,18),""))</f>
        <v>0</v>
      </c>
      <c r="K11" s="33" t="str">
        <f aca="true">IF($A11="","",IFERROR(""&amp;INDEX(INDIRECT("'"&amp;$B$3&amp;"'!$A$7:$W$371"),$A11-DATE(2026,1,1)+1,10),""))</f>
        <v/>
      </c>
    </row>
    <row r="12" customFormat="false" ht="15" hidden="false" customHeight="false" outlineLevel="0" collapsed="false">
      <c r="A12" s="29" t="n">
        <f aca="false">IF(6&lt;=DAY(DATE(2026,$D$4+1,0)),DATE(2026,$D$4,6),"")</f>
        <v>46028</v>
      </c>
      <c r="B12" s="30" t="str">
        <f aca="true">IF($A12="","",IFERROR(INDEX(INDIRECT("'"&amp;$B$3&amp;"'!$A$7:$W$371"),$A12-DATE(2026,1,1)+1,2),""))</f>
        <v>Tue</v>
      </c>
      <c r="C12" s="33" t="str">
        <f aca="true">IF($A12="","",IFERROR(INDEX(INDIRECT("'"&amp;$B$3&amp;"'!$A$7:$W$371"),$A12-DATE(2026,1,1)+1,11),""))</f>
        <v>Present</v>
      </c>
      <c r="D12" s="34" t="n">
        <f aca="true">IF($A12="","",IFERROR(INDEX(INDIRECT("'"&amp;$B$3&amp;"'!$A$7:$W$371"),$A12-DATE(2026,1,1)+1,12),""))</f>
        <v>0.333333333333333</v>
      </c>
      <c r="E12" s="34" t="n">
        <f aca="true">IF($A12="","",IFERROR(INDEX(INDIRECT("'"&amp;$B$3&amp;"'!$A$7:$W$371"),$A12-DATE(2026,1,1)+1,13),""))</f>
        <v>0.6875</v>
      </c>
      <c r="F12" s="14" t="n">
        <f aca="true">IF($A12="","",IFERROR(INDEX(INDIRECT("'"&amp;$B$3&amp;"'!$A$7:$W$371"),$A12-DATE(2026,1,1)+1,14),""))</f>
        <v>8.5</v>
      </c>
      <c r="G12" s="14" t="n">
        <f aca="true">IF($A12="","",IFERROR(INDEX(INDIRECT("'"&amp;$B$3&amp;"'!$A$7:$W$371"),$A12-DATE(2026,1,1)+1,15),""))</f>
        <v>0</v>
      </c>
      <c r="H12" s="14" t="n">
        <f aca="true">IF($A12="","",IFERROR(INDEX(INDIRECT("'"&amp;$B$3&amp;"'!$A$7:$W$371"),$A12-DATE(2026,1,1)+1,16),""))</f>
        <v>0</v>
      </c>
      <c r="I12" s="14" t="n">
        <f aca="true">IF($A12="","",IFERROR(INDEX(INDIRECT("'"&amp;$B$3&amp;"'!$A$7:$W$371"),$A12-DATE(2026,1,1)+1,17),""))</f>
        <v>0</v>
      </c>
      <c r="J12" s="14" t="n">
        <f aca="true">IF($A12="","",IFERROR(INDEX(INDIRECT("'"&amp;$B$3&amp;"'!$A$7:$W$371"),$A12-DATE(2026,1,1)+1,18),""))</f>
        <v>0</v>
      </c>
      <c r="K12" s="33" t="str">
        <f aca="true">IF($A12="","",IFERROR(""&amp;INDEX(INDIRECT("'"&amp;$B$3&amp;"'!$A$7:$W$371"),$A12-DATE(2026,1,1)+1,10),""))</f>
        <v/>
      </c>
    </row>
    <row r="13" customFormat="false" ht="15" hidden="false" customHeight="false" outlineLevel="0" collapsed="false">
      <c r="A13" s="29" t="n">
        <f aca="false">IF(7&lt;=DAY(DATE(2026,$D$4+1,0)),DATE(2026,$D$4,7),"")</f>
        <v>46029</v>
      </c>
      <c r="B13" s="30" t="str">
        <f aca="true">IF($A13="","",IFERROR(INDEX(INDIRECT("'"&amp;$B$3&amp;"'!$A$7:$W$371"),$A13-DATE(2026,1,1)+1,2),""))</f>
        <v>Wed</v>
      </c>
      <c r="C13" s="33" t="str">
        <f aca="true">IF($A13="","",IFERROR(INDEX(INDIRECT("'"&amp;$B$3&amp;"'!$A$7:$W$371"),$A13-DATE(2026,1,1)+1,11),""))</f>
        <v>Present</v>
      </c>
      <c r="D13" s="34" t="n">
        <f aca="true">IF($A13="","",IFERROR(INDEX(INDIRECT("'"&amp;$B$3&amp;"'!$A$7:$W$371"),$A13-DATE(2026,1,1)+1,12),""))</f>
        <v>0.333333333333333</v>
      </c>
      <c r="E13" s="34" t="n">
        <f aca="true">IF($A13="","",IFERROR(INDEX(INDIRECT("'"&amp;$B$3&amp;"'!$A$7:$W$371"),$A13-DATE(2026,1,1)+1,13),""))</f>
        <v>0.6875</v>
      </c>
      <c r="F13" s="14" t="n">
        <f aca="true">IF($A13="","",IFERROR(INDEX(INDIRECT("'"&amp;$B$3&amp;"'!$A$7:$W$371"),$A13-DATE(2026,1,1)+1,14),""))</f>
        <v>8.5</v>
      </c>
      <c r="G13" s="14" t="n">
        <f aca="true">IF($A13="","",IFERROR(INDEX(INDIRECT("'"&amp;$B$3&amp;"'!$A$7:$W$371"),$A13-DATE(2026,1,1)+1,15),""))</f>
        <v>0</v>
      </c>
      <c r="H13" s="14" t="n">
        <f aca="true">IF($A13="","",IFERROR(INDEX(INDIRECT("'"&amp;$B$3&amp;"'!$A$7:$W$371"),$A13-DATE(2026,1,1)+1,16),""))</f>
        <v>0</v>
      </c>
      <c r="I13" s="14" t="n">
        <f aca="true">IF($A13="","",IFERROR(INDEX(INDIRECT("'"&amp;$B$3&amp;"'!$A$7:$W$371"),$A13-DATE(2026,1,1)+1,17),""))</f>
        <v>0</v>
      </c>
      <c r="J13" s="14" t="n">
        <f aca="true">IF($A13="","",IFERROR(INDEX(INDIRECT("'"&amp;$B$3&amp;"'!$A$7:$W$371"),$A13-DATE(2026,1,1)+1,18),""))</f>
        <v>0</v>
      </c>
      <c r="K13" s="33" t="str">
        <f aca="true">IF($A13="","",IFERROR(""&amp;INDEX(INDIRECT("'"&amp;$B$3&amp;"'!$A$7:$W$371"),$A13-DATE(2026,1,1)+1,10),""))</f>
        <v/>
      </c>
    </row>
    <row r="14" customFormat="false" ht="15" hidden="false" customHeight="false" outlineLevel="0" collapsed="false">
      <c r="A14" s="29" t="n">
        <f aca="false">IF(8&lt;=DAY(DATE(2026,$D$4+1,0)),DATE(2026,$D$4,8),"")</f>
        <v>46030</v>
      </c>
      <c r="B14" s="30" t="str">
        <f aca="true">IF($A14="","",IFERROR(INDEX(INDIRECT("'"&amp;$B$3&amp;"'!$A$7:$W$371"),$A14-DATE(2026,1,1)+1,2),""))</f>
        <v>Thu</v>
      </c>
      <c r="C14" s="33" t="str">
        <f aca="true">IF($A14="","",IFERROR(INDEX(INDIRECT("'"&amp;$B$3&amp;"'!$A$7:$W$371"),$A14-DATE(2026,1,1)+1,11),""))</f>
        <v>Present</v>
      </c>
      <c r="D14" s="34" t="n">
        <f aca="true">IF($A14="","",IFERROR(INDEX(INDIRECT("'"&amp;$B$3&amp;"'!$A$7:$W$371"),$A14-DATE(2026,1,1)+1,12),""))</f>
        <v>0.333333333333333</v>
      </c>
      <c r="E14" s="34" t="n">
        <f aca="true">IF($A14="","",IFERROR(INDEX(INDIRECT("'"&amp;$B$3&amp;"'!$A$7:$W$371"),$A14-DATE(2026,1,1)+1,13),""))</f>
        <v>0.6875</v>
      </c>
      <c r="F14" s="14" t="n">
        <f aca="true">IF($A14="","",IFERROR(INDEX(INDIRECT("'"&amp;$B$3&amp;"'!$A$7:$W$371"),$A14-DATE(2026,1,1)+1,14),""))</f>
        <v>8.5</v>
      </c>
      <c r="G14" s="14" t="n">
        <f aca="true">IF($A14="","",IFERROR(INDEX(INDIRECT("'"&amp;$B$3&amp;"'!$A$7:$W$371"),$A14-DATE(2026,1,1)+1,15),""))</f>
        <v>0</v>
      </c>
      <c r="H14" s="14" t="n">
        <f aca="true">IF($A14="","",IFERROR(INDEX(INDIRECT("'"&amp;$B$3&amp;"'!$A$7:$W$371"),$A14-DATE(2026,1,1)+1,16),""))</f>
        <v>0</v>
      </c>
      <c r="I14" s="14" t="n">
        <f aca="true">IF($A14="","",IFERROR(INDEX(INDIRECT("'"&amp;$B$3&amp;"'!$A$7:$W$371"),$A14-DATE(2026,1,1)+1,17),""))</f>
        <v>0</v>
      </c>
      <c r="J14" s="14" t="n">
        <f aca="true">IF($A14="","",IFERROR(INDEX(INDIRECT("'"&amp;$B$3&amp;"'!$A$7:$W$371"),$A14-DATE(2026,1,1)+1,18),""))</f>
        <v>0</v>
      </c>
      <c r="K14" s="33" t="str">
        <f aca="true">IF($A14="","",IFERROR(""&amp;INDEX(INDIRECT("'"&amp;$B$3&amp;"'!$A$7:$W$371"),$A14-DATE(2026,1,1)+1,10),""))</f>
        <v/>
      </c>
    </row>
    <row r="15" customFormat="false" ht="15" hidden="false" customHeight="false" outlineLevel="0" collapsed="false">
      <c r="A15" s="29" t="n">
        <f aca="false">IF(9&lt;=DAY(DATE(2026,$D$4+1,0)),DATE(2026,$D$4,9),"")</f>
        <v>46031</v>
      </c>
      <c r="B15" s="30" t="str">
        <f aca="true">IF($A15="","",IFERROR(INDEX(INDIRECT("'"&amp;$B$3&amp;"'!$A$7:$W$371"),$A15-DATE(2026,1,1)+1,2),""))</f>
        <v>Fri</v>
      </c>
      <c r="C15" s="33" t="str">
        <f aca="true">IF($A15="","",IFERROR(INDEX(INDIRECT("'"&amp;$B$3&amp;"'!$A$7:$W$371"),$A15-DATE(2026,1,1)+1,11),""))</f>
        <v>Weekend</v>
      </c>
      <c r="D15" s="34" t="str">
        <f aca="true">IF($A15="","",IFERROR(INDEX(INDIRECT("'"&amp;$B$3&amp;"'!$A$7:$W$371"),$A15-DATE(2026,1,1)+1,12),""))</f>
        <v/>
      </c>
      <c r="E15" s="34" t="str">
        <f aca="true">IF($A15="","",IFERROR(INDEX(INDIRECT("'"&amp;$B$3&amp;"'!$A$7:$W$371"),$A15-DATE(2026,1,1)+1,13),""))</f>
        <v/>
      </c>
      <c r="F15" s="14" t="n">
        <f aca="true">IF($A15="","",IFERROR(INDEX(INDIRECT("'"&amp;$B$3&amp;"'!$A$7:$W$371"),$A15-DATE(2026,1,1)+1,14),""))</f>
        <v>0</v>
      </c>
      <c r="G15" s="14" t="n">
        <f aca="true">IF($A15="","",IFERROR(INDEX(INDIRECT("'"&amp;$B$3&amp;"'!$A$7:$W$371"),$A15-DATE(2026,1,1)+1,15),""))</f>
        <v>0</v>
      </c>
      <c r="H15" s="14" t="n">
        <f aca="true">IF($A15="","",IFERROR(INDEX(INDIRECT("'"&amp;$B$3&amp;"'!$A$7:$W$371"),$A15-DATE(2026,1,1)+1,16),""))</f>
        <v>0</v>
      </c>
      <c r="I15" s="14" t="n">
        <f aca="true">IF($A15="","",IFERROR(INDEX(INDIRECT("'"&amp;$B$3&amp;"'!$A$7:$W$371"),$A15-DATE(2026,1,1)+1,17),""))</f>
        <v>0</v>
      </c>
      <c r="J15" s="14" t="n">
        <f aca="true">IF($A15="","",IFERROR(INDEX(INDIRECT("'"&amp;$B$3&amp;"'!$A$7:$W$371"),$A15-DATE(2026,1,1)+1,18),""))</f>
        <v>0</v>
      </c>
      <c r="K15" s="33" t="str">
        <f aca="true">IF($A15="","",IFERROR(""&amp;INDEX(INDIRECT("'"&amp;$B$3&amp;"'!$A$7:$W$371"),$A15-DATE(2026,1,1)+1,10),""))</f>
        <v/>
      </c>
    </row>
    <row r="16" customFormat="false" ht="15" hidden="false" customHeight="false" outlineLevel="0" collapsed="false">
      <c r="A16" s="29" t="n">
        <f aca="false">IF(10&lt;=DAY(DATE(2026,$D$4+1,0)),DATE(2026,$D$4,10),"")</f>
        <v>46032</v>
      </c>
      <c r="B16" s="30" t="str">
        <f aca="true">IF($A16="","",IFERROR(INDEX(INDIRECT("'"&amp;$B$3&amp;"'!$A$7:$W$371"),$A16-DATE(2026,1,1)+1,2),""))</f>
        <v>Sat</v>
      </c>
      <c r="C16" s="33" t="str">
        <f aca="true">IF($A16="","",IFERROR(INDEX(INDIRECT("'"&amp;$B$3&amp;"'!$A$7:$W$371"),$A16-DATE(2026,1,1)+1,11),""))</f>
        <v>Weekend</v>
      </c>
      <c r="D16" s="34" t="str">
        <f aca="true">IF($A16="","",IFERROR(INDEX(INDIRECT("'"&amp;$B$3&amp;"'!$A$7:$W$371"),$A16-DATE(2026,1,1)+1,12),""))</f>
        <v/>
      </c>
      <c r="E16" s="34" t="str">
        <f aca="true">IF($A16="","",IFERROR(INDEX(INDIRECT("'"&amp;$B$3&amp;"'!$A$7:$W$371"),$A16-DATE(2026,1,1)+1,13),""))</f>
        <v/>
      </c>
      <c r="F16" s="14" t="n">
        <f aca="true">IF($A16="","",IFERROR(INDEX(INDIRECT("'"&amp;$B$3&amp;"'!$A$7:$W$371"),$A16-DATE(2026,1,1)+1,14),""))</f>
        <v>0</v>
      </c>
      <c r="G16" s="14" t="n">
        <f aca="true">IF($A16="","",IFERROR(INDEX(INDIRECT("'"&amp;$B$3&amp;"'!$A$7:$W$371"),$A16-DATE(2026,1,1)+1,15),""))</f>
        <v>0</v>
      </c>
      <c r="H16" s="14" t="n">
        <f aca="true">IF($A16="","",IFERROR(INDEX(INDIRECT("'"&amp;$B$3&amp;"'!$A$7:$W$371"),$A16-DATE(2026,1,1)+1,16),""))</f>
        <v>0</v>
      </c>
      <c r="I16" s="14" t="n">
        <f aca="true">IF($A16="","",IFERROR(INDEX(INDIRECT("'"&amp;$B$3&amp;"'!$A$7:$W$371"),$A16-DATE(2026,1,1)+1,17),""))</f>
        <v>0</v>
      </c>
      <c r="J16" s="14" t="n">
        <f aca="true">IF($A16="","",IFERROR(INDEX(INDIRECT("'"&amp;$B$3&amp;"'!$A$7:$W$371"),$A16-DATE(2026,1,1)+1,18),""))</f>
        <v>0</v>
      </c>
      <c r="K16" s="33" t="str">
        <f aca="true">IF($A16="","",IFERROR(""&amp;INDEX(INDIRECT("'"&amp;$B$3&amp;"'!$A$7:$W$371"),$A16-DATE(2026,1,1)+1,10),""))</f>
        <v/>
      </c>
    </row>
    <row r="17" customFormat="false" ht="15" hidden="false" customHeight="false" outlineLevel="0" collapsed="false">
      <c r="A17" s="29" t="n">
        <f aca="false">IF(11&lt;=DAY(DATE(2026,$D$4+1,0)),DATE(2026,$D$4,11),"")</f>
        <v>46033</v>
      </c>
      <c r="B17" s="30" t="str">
        <f aca="true">IF($A17="","",IFERROR(INDEX(INDIRECT("'"&amp;$B$3&amp;"'!$A$7:$W$371"),$A17-DATE(2026,1,1)+1,2),""))</f>
        <v>Sun</v>
      </c>
      <c r="C17" s="33" t="str">
        <f aca="true">IF($A17="","",IFERROR(INDEX(INDIRECT("'"&amp;$B$3&amp;"'!$A$7:$W$371"),$A17-DATE(2026,1,1)+1,11),""))</f>
        <v>Present</v>
      </c>
      <c r="D17" s="34" t="n">
        <f aca="true">IF($A17="","",IFERROR(INDEX(INDIRECT("'"&amp;$B$3&amp;"'!$A$7:$W$371"),$A17-DATE(2026,1,1)+1,12),""))</f>
        <v>0.333333333333333</v>
      </c>
      <c r="E17" s="34" t="n">
        <f aca="true">IF($A17="","",IFERROR(INDEX(INDIRECT("'"&amp;$B$3&amp;"'!$A$7:$W$371"),$A17-DATE(2026,1,1)+1,13),""))</f>
        <v>0.6875</v>
      </c>
      <c r="F17" s="14" t="n">
        <f aca="true">IF($A17="","",IFERROR(INDEX(INDIRECT("'"&amp;$B$3&amp;"'!$A$7:$W$371"),$A17-DATE(2026,1,1)+1,14),""))</f>
        <v>8.5</v>
      </c>
      <c r="G17" s="14" t="n">
        <f aca="true">IF($A17="","",IFERROR(INDEX(INDIRECT("'"&amp;$B$3&amp;"'!$A$7:$W$371"),$A17-DATE(2026,1,1)+1,15),""))</f>
        <v>0</v>
      </c>
      <c r="H17" s="14" t="n">
        <f aca="true">IF($A17="","",IFERROR(INDEX(INDIRECT("'"&amp;$B$3&amp;"'!$A$7:$W$371"),$A17-DATE(2026,1,1)+1,16),""))</f>
        <v>0</v>
      </c>
      <c r="I17" s="14" t="n">
        <f aca="true">IF($A17="","",IFERROR(INDEX(INDIRECT("'"&amp;$B$3&amp;"'!$A$7:$W$371"),$A17-DATE(2026,1,1)+1,17),""))</f>
        <v>0</v>
      </c>
      <c r="J17" s="14" t="n">
        <f aca="true">IF($A17="","",IFERROR(INDEX(INDIRECT("'"&amp;$B$3&amp;"'!$A$7:$W$371"),$A17-DATE(2026,1,1)+1,18),""))</f>
        <v>0</v>
      </c>
      <c r="K17" s="33" t="str">
        <f aca="true">IF($A17="","",IFERROR(""&amp;INDEX(INDIRECT("'"&amp;$B$3&amp;"'!$A$7:$W$371"),$A17-DATE(2026,1,1)+1,10),""))</f>
        <v/>
      </c>
    </row>
    <row r="18" customFormat="false" ht="15" hidden="false" customHeight="false" outlineLevel="0" collapsed="false">
      <c r="A18" s="29" t="n">
        <f aca="false">IF(12&lt;=DAY(DATE(2026,$D$4+1,0)),DATE(2026,$D$4,12),"")</f>
        <v>46034</v>
      </c>
      <c r="B18" s="30" t="str">
        <f aca="true">IF($A18="","",IFERROR(INDEX(INDIRECT("'"&amp;$B$3&amp;"'!$A$7:$W$371"),$A18-DATE(2026,1,1)+1,2),""))</f>
        <v>Mon</v>
      </c>
      <c r="C18" s="33" t="str">
        <f aca="true">IF($A18="","",IFERROR(INDEX(INDIRECT("'"&amp;$B$3&amp;"'!$A$7:$W$371"),$A18-DATE(2026,1,1)+1,11),""))</f>
        <v>Present</v>
      </c>
      <c r="D18" s="34" t="n">
        <f aca="true">IF($A18="","",IFERROR(INDEX(INDIRECT("'"&amp;$B$3&amp;"'!$A$7:$W$371"),$A18-DATE(2026,1,1)+1,12),""))</f>
        <v>0.333333333333333</v>
      </c>
      <c r="E18" s="34" t="n">
        <f aca="true">IF($A18="","",IFERROR(INDEX(INDIRECT("'"&amp;$B$3&amp;"'!$A$7:$W$371"),$A18-DATE(2026,1,1)+1,13),""))</f>
        <v>0.6875</v>
      </c>
      <c r="F18" s="14" t="n">
        <f aca="true">IF($A18="","",IFERROR(INDEX(INDIRECT("'"&amp;$B$3&amp;"'!$A$7:$W$371"),$A18-DATE(2026,1,1)+1,14),""))</f>
        <v>8.5</v>
      </c>
      <c r="G18" s="14" t="n">
        <f aca="true">IF($A18="","",IFERROR(INDEX(INDIRECT("'"&amp;$B$3&amp;"'!$A$7:$W$371"),$A18-DATE(2026,1,1)+1,15),""))</f>
        <v>0</v>
      </c>
      <c r="H18" s="14" t="n">
        <f aca="true">IF($A18="","",IFERROR(INDEX(INDIRECT("'"&amp;$B$3&amp;"'!$A$7:$W$371"),$A18-DATE(2026,1,1)+1,16),""))</f>
        <v>0</v>
      </c>
      <c r="I18" s="14" t="n">
        <f aca="true">IF($A18="","",IFERROR(INDEX(INDIRECT("'"&amp;$B$3&amp;"'!$A$7:$W$371"),$A18-DATE(2026,1,1)+1,17),""))</f>
        <v>0</v>
      </c>
      <c r="J18" s="14" t="n">
        <f aca="true">IF($A18="","",IFERROR(INDEX(INDIRECT("'"&amp;$B$3&amp;"'!$A$7:$W$371"),$A18-DATE(2026,1,1)+1,18),""))</f>
        <v>0</v>
      </c>
      <c r="K18" s="33" t="str">
        <f aca="true">IF($A18="","",IFERROR(""&amp;INDEX(INDIRECT("'"&amp;$B$3&amp;"'!$A$7:$W$371"),$A18-DATE(2026,1,1)+1,10),""))</f>
        <v/>
      </c>
    </row>
    <row r="19" customFormat="false" ht="15" hidden="false" customHeight="false" outlineLevel="0" collapsed="false">
      <c r="A19" s="29" t="n">
        <f aca="false">IF(13&lt;=DAY(DATE(2026,$D$4+1,0)),DATE(2026,$D$4,13),"")</f>
        <v>46035</v>
      </c>
      <c r="B19" s="30" t="str">
        <f aca="true">IF($A19="","",IFERROR(INDEX(INDIRECT("'"&amp;$B$3&amp;"'!$A$7:$W$371"),$A19-DATE(2026,1,1)+1,2),""))</f>
        <v>Tue</v>
      </c>
      <c r="C19" s="33" t="str">
        <f aca="true">IF($A19="","",IFERROR(INDEX(INDIRECT("'"&amp;$B$3&amp;"'!$A$7:$W$371"),$A19-DATE(2026,1,1)+1,11),""))</f>
        <v>Present</v>
      </c>
      <c r="D19" s="34" t="n">
        <f aca="true">IF($A19="","",IFERROR(INDEX(INDIRECT("'"&amp;$B$3&amp;"'!$A$7:$W$371"),$A19-DATE(2026,1,1)+1,12),""))</f>
        <v>0.333333333333333</v>
      </c>
      <c r="E19" s="34" t="n">
        <f aca="true">IF($A19="","",IFERROR(INDEX(INDIRECT("'"&amp;$B$3&amp;"'!$A$7:$W$371"),$A19-DATE(2026,1,1)+1,13),""))</f>
        <v>0.6875</v>
      </c>
      <c r="F19" s="14" t="n">
        <f aca="true">IF($A19="","",IFERROR(INDEX(INDIRECT("'"&amp;$B$3&amp;"'!$A$7:$W$371"),$A19-DATE(2026,1,1)+1,14),""))</f>
        <v>8.5</v>
      </c>
      <c r="G19" s="14" t="n">
        <f aca="true">IF($A19="","",IFERROR(INDEX(INDIRECT("'"&amp;$B$3&amp;"'!$A$7:$W$371"),$A19-DATE(2026,1,1)+1,15),""))</f>
        <v>0</v>
      </c>
      <c r="H19" s="14" t="n">
        <f aca="true">IF($A19="","",IFERROR(INDEX(INDIRECT("'"&amp;$B$3&amp;"'!$A$7:$W$371"),$A19-DATE(2026,1,1)+1,16),""))</f>
        <v>0</v>
      </c>
      <c r="I19" s="14" t="n">
        <f aca="true">IF($A19="","",IFERROR(INDEX(INDIRECT("'"&amp;$B$3&amp;"'!$A$7:$W$371"),$A19-DATE(2026,1,1)+1,17),""))</f>
        <v>0</v>
      </c>
      <c r="J19" s="14" t="n">
        <f aca="true">IF($A19="","",IFERROR(INDEX(INDIRECT("'"&amp;$B$3&amp;"'!$A$7:$W$371"),$A19-DATE(2026,1,1)+1,18),""))</f>
        <v>0</v>
      </c>
      <c r="K19" s="33" t="str">
        <f aca="true">IF($A19="","",IFERROR(""&amp;INDEX(INDIRECT("'"&amp;$B$3&amp;"'!$A$7:$W$371"),$A19-DATE(2026,1,1)+1,10),""))</f>
        <v/>
      </c>
    </row>
    <row r="20" customFormat="false" ht="15" hidden="false" customHeight="false" outlineLevel="0" collapsed="false">
      <c r="A20" s="29" t="n">
        <f aca="false">IF(14&lt;=DAY(DATE(2026,$D$4+1,0)),DATE(2026,$D$4,14),"")</f>
        <v>46036</v>
      </c>
      <c r="B20" s="30" t="str">
        <f aca="true">IF($A20="","",IFERROR(INDEX(INDIRECT("'"&amp;$B$3&amp;"'!$A$7:$W$371"),$A20-DATE(2026,1,1)+1,2),""))</f>
        <v>Wed</v>
      </c>
      <c r="C20" s="33" t="str">
        <f aca="true">IF($A20="","",IFERROR(INDEX(INDIRECT("'"&amp;$B$3&amp;"'!$A$7:$W$371"),$A20-DATE(2026,1,1)+1,11),""))</f>
        <v>Present</v>
      </c>
      <c r="D20" s="34" t="n">
        <f aca="true">IF($A20="","",IFERROR(INDEX(INDIRECT("'"&amp;$B$3&amp;"'!$A$7:$W$371"),$A20-DATE(2026,1,1)+1,12),""))</f>
        <v>0.333333333333333</v>
      </c>
      <c r="E20" s="34" t="n">
        <f aca="true">IF($A20="","",IFERROR(INDEX(INDIRECT("'"&amp;$B$3&amp;"'!$A$7:$W$371"),$A20-DATE(2026,1,1)+1,13),""))</f>
        <v>0.6875</v>
      </c>
      <c r="F20" s="14" t="n">
        <f aca="true">IF($A20="","",IFERROR(INDEX(INDIRECT("'"&amp;$B$3&amp;"'!$A$7:$W$371"),$A20-DATE(2026,1,1)+1,14),""))</f>
        <v>8.5</v>
      </c>
      <c r="G20" s="14" t="n">
        <f aca="true">IF($A20="","",IFERROR(INDEX(INDIRECT("'"&amp;$B$3&amp;"'!$A$7:$W$371"),$A20-DATE(2026,1,1)+1,15),""))</f>
        <v>0</v>
      </c>
      <c r="H20" s="14" t="n">
        <f aca="true">IF($A20="","",IFERROR(INDEX(INDIRECT("'"&amp;$B$3&amp;"'!$A$7:$W$371"),$A20-DATE(2026,1,1)+1,16),""))</f>
        <v>0</v>
      </c>
      <c r="I20" s="14" t="n">
        <f aca="true">IF($A20="","",IFERROR(INDEX(INDIRECT("'"&amp;$B$3&amp;"'!$A$7:$W$371"),$A20-DATE(2026,1,1)+1,17),""))</f>
        <v>0</v>
      </c>
      <c r="J20" s="14" t="n">
        <f aca="true">IF($A20="","",IFERROR(INDEX(INDIRECT("'"&amp;$B$3&amp;"'!$A$7:$W$371"),$A20-DATE(2026,1,1)+1,18),""))</f>
        <v>0</v>
      </c>
      <c r="K20" s="33" t="str">
        <f aca="true">IF($A20="","",IFERROR(""&amp;INDEX(INDIRECT("'"&amp;$B$3&amp;"'!$A$7:$W$371"),$A20-DATE(2026,1,1)+1,10),""))</f>
        <v/>
      </c>
    </row>
    <row r="21" customFormat="false" ht="15" hidden="false" customHeight="false" outlineLevel="0" collapsed="false">
      <c r="A21" s="29" t="n">
        <f aca="false">IF(15&lt;=DAY(DATE(2026,$D$4+1,0)),DATE(2026,$D$4,15),"")</f>
        <v>46037</v>
      </c>
      <c r="B21" s="30" t="str">
        <f aca="true">IF($A21="","",IFERROR(INDEX(INDIRECT("'"&amp;$B$3&amp;"'!$A$7:$W$371"),$A21-DATE(2026,1,1)+1,2),""))</f>
        <v>Thu</v>
      </c>
      <c r="C21" s="33" t="str">
        <f aca="true">IF($A21="","",IFERROR(INDEX(INDIRECT("'"&amp;$B$3&amp;"'!$A$7:$W$371"),$A21-DATE(2026,1,1)+1,11),""))</f>
        <v>Present</v>
      </c>
      <c r="D21" s="34" t="n">
        <f aca="true">IF($A21="","",IFERROR(INDEX(INDIRECT("'"&amp;$B$3&amp;"'!$A$7:$W$371"),$A21-DATE(2026,1,1)+1,12),""))</f>
        <v>0.333333333333333</v>
      </c>
      <c r="E21" s="34" t="n">
        <f aca="true">IF($A21="","",IFERROR(INDEX(INDIRECT("'"&amp;$B$3&amp;"'!$A$7:$W$371"),$A21-DATE(2026,1,1)+1,13),""))</f>
        <v>0.6875</v>
      </c>
      <c r="F21" s="14" t="n">
        <f aca="true">IF($A21="","",IFERROR(INDEX(INDIRECT("'"&amp;$B$3&amp;"'!$A$7:$W$371"),$A21-DATE(2026,1,1)+1,14),""))</f>
        <v>8.5</v>
      </c>
      <c r="G21" s="14" t="n">
        <f aca="true">IF($A21="","",IFERROR(INDEX(INDIRECT("'"&amp;$B$3&amp;"'!$A$7:$W$371"),$A21-DATE(2026,1,1)+1,15),""))</f>
        <v>0</v>
      </c>
      <c r="H21" s="14" t="n">
        <f aca="true">IF($A21="","",IFERROR(INDEX(INDIRECT("'"&amp;$B$3&amp;"'!$A$7:$W$371"),$A21-DATE(2026,1,1)+1,16),""))</f>
        <v>0</v>
      </c>
      <c r="I21" s="14" t="n">
        <f aca="true">IF($A21="","",IFERROR(INDEX(INDIRECT("'"&amp;$B$3&amp;"'!$A$7:$W$371"),$A21-DATE(2026,1,1)+1,17),""))</f>
        <v>0</v>
      </c>
      <c r="J21" s="14" t="n">
        <f aca="true">IF($A21="","",IFERROR(INDEX(INDIRECT("'"&amp;$B$3&amp;"'!$A$7:$W$371"),$A21-DATE(2026,1,1)+1,18),""))</f>
        <v>0</v>
      </c>
      <c r="K21" s="33" t="str">
        <f aca="true">IF($A21="","",IFERROR(""&amp;INDEX(INDIRECT("'"&amp;$B$3&amp;"'!$A$7:$W$371"),$A21-DATE(2026,1,1)+1,10),""))</f>
        <v/>
      </c>
    </row>
    <row r="22" customFormat="false" ht="15" hidden="false" customHeight="false" outlineLevel="0" collapsed="false">
      <c r="A22" s="29" t="n">
        <f aca="false">IF(16&lt;=DAY(DATE(2026,$D$4+1,0)),DATE(2026,$D$4,16),"")</f>
        <v>46038</v>
      </c>
      <c r="B22" s="30" t="str">
        <f aca="true">IF($A22="","",IFERROR(INDEX(INDIRECT("'"&amp;$B$3&amp;"'!$A$7:$W$371"),$A22-DATE(2026,1,1)+1,2),""))</f>
        <v>Fri</v>
      </c>
      <c r="C22" s="33" t="str">
        <f aca="true">IF($A22="","",IFERROR(INDEX(INDIRECT("'"&amp;$B$3&amp;"'!$A$7:$W$371"),$A22-DATE(2026,1,1)+1,11),""))</f>
        <v>Weekend</v>
      </c>
      <c r="D22" s="34" t="str">
        <f aca="true">IF($A22="","",IFERROR(INDEX(INDIRECT("'"&amp;$B$3&amp;"'!$A$7:$W$371"),$A22-DATE(2026,1,1)+1,12),""))</f>
        <v/>
      </c>
      <c r="E22" s="34" t="str">
        <f aca="true">IF($A22="","",IFERROR(INDEX(INDIRECT("'"&amp;$B$3&amp;"'!$A$7:$W$371"),$A22-DATE(2026,1,1)+1,13),""))</f>
        <v/>
      </c>
      <c r="F22" s="14" t="n">
        <f aca="true">IF($A22="","",IFERROR(INDEX(INDIRECT("'"&amp;$B$3&amp;"'!$A$7:$W$371"),$A22-DATE(2026,1,1)+1,14),""))</f>
        <v>0</v>
      </c>
      <c r="G22" s="14" t="n">
        <f aca="true">IF($A22="","",IFERROR(INDEX(INDIRECT("'"&amp;$B$3&amp;"'!$A$7:$W$371"),$A22-DATE(2026,1,1)+1,15),""))</f>
        <v>0</v>
      </c>
      <c r="H22" s="14" t="n">
        <f aca="true">IF($A22="","",IFERROR(INDEX(INDIRECT("'"&amp;$B$3&amp;"'!$A$7:$W$371"),$A22-DATE(2026,1,1)+1,16),""))</f>
        <v>0</v>
      </c>
      <c r="I22" s="14" t="n">
        <f aca="true">IF($A22="","",IFERROR(INDEX(INDIRECT("'"&amp;$B$3&amp;"'!$A$7:$W$371"),$A22-DATE(2026,1,1)+1,17),""))</f>
        <v>0</v>
      </c>
      <c r="J22" s="14" t="n">
        <f aca="true">IF($A22="","",IFERROR(INDEX(INDIRECT("'"&amp;$B$3&amp;"'!$A$7:$W$371"),$A22-DATE(2026,1,1)+1,18),""))</f>
        <v>0</v>
      </c>
      <c r="K22" s="33" t="str">
        <f aca="true">IF($A22="","",IFERROR(""&amp;INDEX(INDIRECT("'"&amp;$B$3&amp;"'!$A$7:$W$371"),$A22-DATE(2026,1,1)+1,10),""))</f>
        <v/>
      </c>
    </row>
    <row r="23" customFormat="false" ht="15" hidden="false" customHeight="false" outlineLevel="0" collapsed="false">
      <c r="A23" s="29" t="n">
        <f aca="false">IF(17&lt;=DAY(DATE(2026,$D$4+1,0)),DATE(2026,$D$4,17),"")</f>
        <v>46039</v>
      </c>
      <c r="B23" s="30" t="str">
        <f aca="true">IF($A23="","",IFERROR(INDEX(INDIRECT("'"&amp;$B$3&amp;"'!$A$7:$W$371"),$A23-DATE(2026,1,1)+1,2),""))</f>
        <v>Sat</v>
      </c>
      <c r="C23" s="33" t="str">
        <f aca="true">IF($A23="","",IFERROR(INDEX(INDIRECT("'"&amp;$B$3&amp;"'!$A$7:$W$371"),$A23-DATE(2026,1,1)+1,11),""))</f>
        <v>Weekend</v>
      </c>
      <c r="D23" s="34" t="str">
        <f aca="true">IF($A23="","",IFERROR(INDEX(INDIRECT("'"&amp;$B$3&amp;"'!$A$7:$W$371"),$A23-DATE(2026,1,1)+1,12),""))</f>
        <v/>
      </c>
      <c r="E23" s="34" t="str">
        <f aca="true">IF($A23="","",IFERROR(INDEX(INDIRECT("'"&amp;$B$3&amp;"'!$A$7:$W$371"),$A23-DATE(2026,1,1)+1,13),""))</f>
        <v/>
      </c>
      <c r="F23" s="14" t="n">
        <f aca="true">IF($A23="","",IFERROR(INDEX(INDIRECT("'"&amp;$B$3&amp;"'!$A$7:$W$371"),$A23-DATE(2026,1,1)+1,14),""))</f>
        <v>0</v>
      </c>
      <c r="G23" s="14" t="n">
        <f aca="true">IF($A23="","",IFERROR(INDEX(INDIRECT("'"&amp;$B$3&amp;"'!$A$7:$W$371"),$A23-DATE(2026,1,1)+1,15),""))</f>
        <v>0</v>
      </c>
      <c r="H23" s="14" t="n">
        <f aca="true">IF($A23="","",IFERROR(INDEX(INDIRECT("'"&amp;$B$3&amp;"'!$A$7:$W$371"),$A23-DATE(2026,1,1)+1,16),""))</f>
        <v>0</v>
      </c>
      <c r="I23" s="14" t="n">
        <f aca="true">IF($A23="","",IFERROR(INDEX(INDIRECT("'"&amp;$B$3&amp;"'!$A$7:$W$371"),$A23-DATE(2026,1,1)+1,17),""))</f>
        <v>0</v>
      </c>
      <c r="J23" s="14" t="n">
        <f aca="true">IF($A23="","",IFERROR(INDEX(INDIRECT("'"&amp;$B$3&amp;"'!$A$7:$W$371"),$A23-DATE(2026,1,1)+1,18),""))</f>
        <v>0</v>
      </c>
      <c r="K23" s="33" t="str">
        <f aca="true">IF($A23="","",IFERROR(""&amp;INDEX(INDIRECT("'"&amp;$B$3&amp;"'!$A$7:$W$371"),$A23-DATE(2026,1,1)+1,10),""))</f>
        <v/>
      </c>
    </row>
    <row r="24" customFormat="false" ht="15" hidden="false" customHeight="false" outlineLevel="0" collapsed="false">
      <c r="A24" s="29" t="n">
        <f aca="false">IF(18&lt;=DAY(DATE(2026,$D$4+1,0)),DATE(2026,$D$4,18),"")</f>
        <v>46040</v>
      </c>
      <c r="B24" s="30" t="str">
        <f aca="true">IF($A24="","",IFERROR(INDEX(INDIRECT("'"&amp;$B$3&amp;"'!$A$7:$W$371"),$A24-DATE(2026,1,1)+1,2),""))</f>
        <v>Sun</v>
      </c>
      <c r="C24" s="33" t="str">
        <f aca="true">IF($A24="","",IFERROR(INDEX(INDIRECT("'"&amp;$B$3&amp;"'!$A$7:$W$371"),$A24-DATE(2026,1,1)+1,11),""))</f>
        <v>Present</v>
      </c>
      <c r="D24" s="34" t="n">
        <f aca="true">IF($A24="","",IFERROR(INDEX(INDIRECT("'"&amp;$B$3&amp;"'!$A$7:$W$371"),$A24-DATE(2026,1,1)+1,12),""))</f>
        <v>0.333333333333333</v>
      </c>
      <c r="E24" s="34" t="n">
        <f aca="true">IF($A24="","",IFERROR(INDEX(INDIRECT("'"&amp;$B$3&amp;"'!$A$7:$W$371"),$A24-DATE(2026,1,1)+1,13),""))</f>
        <v>0.6875</v>
      </c>
      <c r="F24" s="14" t="n">
        <f aca="true">IF($A24="","",IFERROR(INDEX(INDIRECT("'"&amp;$B$3&amp;"'!$A$7:$W$371"),$A24-DATE(2026,1,1)+1,14),""))</f>
        <v>8.5</v>
      </c>
      <c r="G24" s="14" t="n">
        <f aca="true">IF($A24="","",IFERROR(INDEX(INDIRECT("'"&amp;$B$3&amp;"'!$A$7:$W$371"),$A24-DATE(2026,1,1)+1,15),""))</f>
        <v>0</v>
      </c>
      <c r="H24" s="14" t="n">
        <f aca="true">IF($A24="","",IFERROR(INDEX(INDIRECT("'"&amp;$B$3&amp;"'!$A$7:$W$371"),$A24-DATE(2026,1,1)+1,16),""))</f>
        <v>0</v>
      </c>
      <c r="I24" s="14" t="n">
        <f aca="true">IF($A24="","",IFERROR(INDEX(INDIRECT("'"&amp;$B$3&amp;"'!$A$7:$W$371"),$A24-DATE(2026,1,1)+1,17),""))</f>
        <v>0</v>
      </c>
      <c r="J24" s="14" t="n">
        <f aca="true">IF($A24="","",IFERROR(INDEX(INDIRECT("'"&amp;$B$3&amp;"'!$A$7:$W$371"),$A24-DATE(2026,1,1)+1,18),""))</f>
        <v>0</v>
      </c>
      <c r="K24" s="33" t="str">
        <f aca="true">IF($A24="","",IFERROR(""&amp;INDEX(INDIRECT("'"&amp;$B$3&amp;"'!$A$7:$W$371"),$A24-DATE(2026,1,1)+1,10),""))</f>
        <v/>
      </c>
    </row>
    <row r="25" customFormat="false" ht="15" hidden="false" customHeight="false" outlineLevel="0" collapsed="false">
      <c r="A25" s="29" t="n">
        <f aca="false">IF(19&lt;=DAY(DATE(2026,$D$4+1,0)),DATE(2026,$D$4,19),"")</f>
        <v>46041</v>
      </c>
      <c r="B25" s="30" t="str">
        <f aca="true">IF($A25="","",IFERROR(INDEX(INDIRECT("'"&amp;$B$3&amp;"'!$A$7:$W$371"),$A25-DATE(2026,1,1)+1,2),""))</f>
        <v>Mon</v>
      </c>
      <c r="C25" s="33" t="str">
        <f aca="true">IF($A25="","",IFERROR(INDEX(INDIRECT("'"&amp;$B$3&amp;"'!$A$7:$W$371"),$A25-DATE(2026,1,1)+1,11),""))</f>
        <v>Present</v>
      </c>
      <c r="D25" s="34" t="n">
        <f aca="true">IF($A25="","",IFERROR(INDEX(INDIRECT("'"&amp;$B$3&amp;"'!$A$7:$W$371"),$A25-DATE(2026,1,1)+1,12),""))</f>
        <v>0.333333333333333</v>
      </c>
      <c r="E25" s="34" t="n">
        <f aca="true">IF($A25="","",IFERROR(INDEX(INDIRECT("'"&amp;$B$3&amp;"'!$A$7:$W$371"),$A25-DATE(2026,1,1)+1,13),""))</f>
        <v>0.6875</v>
      </c>
      <c r="F25" s="14" t="n">
        <f aca="true">IF($A25="","",IFERROR(INDEX(INDIRECT("'"&amp;$B$3&amp;"'!$A$7:$W$371"),$A25-DATE(2026,1,1)+1,14),""))</f>
        <v>8.5</v>
      </c>
      <c r="G25" s="14" t="n">
        <f aca="true">IF($A25="","",IFERROR(INDEX(INDIRECT("'"&amp;$B$3&amp;"'!$A$7:$W$371"),$A25-DATE(2026,1,1)+1,15),""))</f>
        <v>0</v>
      </c>
      <c r="H25" s="14" t="n">
        <f aca="true">IF($A25="","",IFERROR(INDEX(INDIRECT("'"&amp;$B$3&amp;"'!$A$7:$W$371"),$A25-DATE(2026,1,1)+1,16),""))</f>
        <v>0</v>
      </c>
      <c r="I25" s="14" t="n">
        <f aca="true">IF($A25="","",IFERROR(INDEX(INDIRECT("'"&amp;$B$3&amp;"'!$A$7:$W$371"),$A25-DATE(2026,1,1)+1,17),""))</f>
        <v>0</v>
      </c>
      <c r="J25" s="14" t="n">
        <f aca="true">IF($A25="","",IFERROR(INDEX(INDIRECT("'"&amp;$B$3&amp;"'!$A$7:$W$371"),$A25-DATE(2026,1,1)+1,18),""))</f>
        <v>0</v>
      </c>
      <c r="K25" s="33" t="str">
        <f aca="true">IF($A25="","",IFERROR(""&amp;INDEX(INDIRECT("'"&amp;$B$3&amp;"'!$A$7:$W$371"),$A25-DATE(2026,1,1)+1,10),""))</f>
        <v/>
      </c>
    </row>
    <row r="26" customFormat="false" ht="15" hidden="false" customHeight="false" outlineLevel="0" collapsed="false">
      <c r="A26" s="29" t="n">
        <f aca="false">IF(20&lt;=DAY(DATE(2026,$D$4+1,0)),DATE(2026,$D$4,20),"")</f>
        <v>46042</v>
      </c>
      <c r="B26" s="30" t="str">
        <f aca="true">IF($A26="","",IFERROR(INDEX(INDIRECT("'"&amp;$B$3&amp;"'!$A$7:$W$371"),$A26-DATE(2026,1,1)+1,2),""))</f>
        <v>Tue</v>
      </c>
      <c r="C26" s="33" t="str">
        <f aca="true">IF($A26="","",IFERROR(INDEX(INDIRECT("'"&amp;$B$3&amp;"'!$A$7:$W$371"),$A26-DATE(2026,1,1)+1,11),""))</f>
        <v>Present</v>
      </c>
      <c r="D26" s="34" t="n">
        <f aca="true">IF($A26="","",IFERROR(INDEX(INDIRECT("'"&amp;$B$3&amp;"'!$A$7:$W$371"),$A26-DATE(2026,1,1)+1,12),""))</f>
        <v>0.333333333333333</v>
      </c>
      <c r="E26" s="34" t="n">
        <f aca="true">IF($A26="","",IFERROR(INDEX(INDIRECT("'"&amp;$B$3&amp;"'!$A$7:$W$371"),$A26-DATE(2026,1,1)+1,13),""))</f>
        <v>0.6875</v>
      </c>
      <c r="F26" s="14" t="n">
        <f aca="true">IF($A26="","",IFERROR(INDEX(INDIRECT("'"&amp;$B$3&amp;"'!$A$7:$W$371"),$A26-DATE(2026,1,1)+1,14),""))</f>
        <v>8.5</v>
      </c>
      <c r="G26" s="14" t="n">
        <f aca="true">IF($A26="","",IFERROR(INDEX(INDIRECT("'"&amp;$B$3&amp;"'!$A$7:$W$371"),$A26-DATE(2026,1,1)+1,15),""))</f>
        <v>0</v>
      </c>
      <c r="H26" s="14" t="n">
        <f aca="true">IF($A26="","",IFERROR(INDEX(INDIRECT("'"&amp;$B$3&amp;"'!$A$7:$W$371"),$A26-DATE(2026,1,1)+1,16),""))</f>
        <v>0</v>
      </c>
      <c r="I26" s="14" t="n">
        <f aca="true">IF($A26="","",IFERROR(INDEX(INDIRECT("'"&amp;$B$3&amp;"'!$A$7:$W$371"),$A26-DATE(2026,1,1)+1,17),""))</f>
        <v>0</v>
      </c>
      <c r="J26" s="14" t="n">
        <f aca="true">IF($A26="","",IFERROR(INDEX(INDIRECT("'"&amp;$B$3&amp;"'!$A$7:$W$371"),$A26-DATE(2026,1,1)+1,18),""))</f>
        <v>0</v>
      </c>
      <c r="K26" s="33" t="str">
        <f aca="true">IF($A26="","",IFERROR(""&amp;INDEX(INDIRECT("'"&amp;$B$3&amp;"'!$A$7:$W$371"),$A26-DATE(2026,1,1)+1,10),""))</f>
        <v/>
      </c>
    </row>
    <row r="27" customFormat="false" ht="15" hidden="false" customHeight="false" outlineLevel="0" collapsed="false">
      <c r="A27" s="29" t="n">
        <f aca="false">IF(21&lt;=DAY(DATE(2026,$D$4+1,0)),DATE(2026,$D$4,21),"")</f>
        <v>46043</v>
      </c>
      <c r="B27" s="30" t="str">
        <f aca="true">IF($A27="","",IFERROR(INDEX(INDIRECT("'"&amp;$B$3&amp;"'!$A$7:$W$371"),$A27-DATE(2026,1,1)+1,2),""))</f>
        <v>Wed</v>
      </c>
      <c r="C27" s="33" t="str">
        <f aca="true">IF($A27="","",IFERROR(INDEX(INDIRECT("'"&amp;$B$3&amp;"'!$A$7:$W$371"),$A27-DATE(2026,1,1)+1,11),""))</f>
        <v>Present</v>
      </c>
      <c r="D27" s="34" t="n">
        <f aca="true">IF($A27="","",IFERROR(INDEX(INDIRECT("'"&amp;$B$3&amp;"'!$A$7:$W$371"),$A27-DATE(2026,1,1)+1,12),""))</f>
        <v>0.333333333333333</v>
      </c>
      <c r="E27" s="34" t="n">
        <f aca="true">IF($A27="","",IFERROR(INDEX(INDIRECT("'"&amp;$B$3&amp;"'!$A$7:$W$371"),$A27-DATE(2026,1,1)+1,13),""))</f>
        <v>0.6875</v>
      </c>
      <c r="F27" s="14" t="n">
        <f aca="true">IF($A27="","",IFERROR(INDEX(INDIRECT("'"&amp;$B$3&amp;"'!$A$7:$W$371"),$A27-DATE(2026,1,1)+1,14),""))</f>
        <v>8.5</v>
      </c>
      <c r="G27" s="14" t="n">
        <f aca="true">IF($A27="","",IFERROR(INDEX(INDIRECT("'"&amp;$B$3&amp;"'!$A$7:$W$371"),$A27-DATE(2026,1,1)+1,15),""))</f>
        <v>0</v>
      </c>
      <c r="H27" s="14" t="n">
        <f aca="true">IF($A27="","",IFERROR(INDEX(INDIRECT("'"&amp;$B$3&amp;"'!$A$7:$W$371"),$A27-DATE(2026,1,1)+1,16),""))</f>
        <v>0</v>
      </c>
      <c r="I27" s="14" t="n">
        <f aca="true">IF($A27="","",IFERROR(INDEX(INDIRECT("'"&amp;$B$3&amp;"'!$A$7:$W$371"),$A27-DATE(2026,1,1)+1,17),""))</f>
        <v>0</v>
      </c>
      <c r="J27" s="14" t="n">
        <f aca="true">IF($A27="","",IFERROR(INDEX(INDIRECT("'"&amp;$B$3&amp;"'!$A$7:$W$371"),$A27-DATE(2026,1,1)+1,18),""))</f>
        <v>0</v>
      </c>
      <c r="K27" s="33" t="str">
        <f aca="true">IF($A27="","",IFERROR(""&amp;INDEX(INDIRECT("'"&amp;$B$3&amp;"'!$A$7:$W$371"),$A27-DATE(2026,1,1)+1,10),""))</f>
        <v/>
      </c>
    </row>
    <row r="28" customFormat="false" ht="15" hidden="false" customHeight="false" outlineLevel="0" collapsed="false">
      <c r="A28" s="29" t="n">
        <f aca="false">IF(22&lt;=DAY(DATE(2026,$D$4+1,0)),DATE(2026,$D$4,22),"")</f>
        <v>46044</v>
      </c>
      <c r="B28" s="30" t="str">
        <f aca="true">IF($A28="","",IFERROR(INDEX(INDIRECT("'"&amp;$B$3&amp;"'!$A$7:$W$371"),$A28-DATE(2026,1,1)+1,2),""))</f>
        <v>Thu</v>
      </c>
      <c r="C28" s="33" t="str">
        <f aca="true">IF($A28="","",IFERROR(INDEX(INDIRECT("'"&amp;$B$3&amp;"'!$A$7:$W$371"),$A28-DATE(2026,1,1)+1,11),""))</f>
        <v>Present</v>
      </c>
      <c r="D28" s="34" t="n">
        <f aca="true">IF($A28="","",IFERROR(INDEX(INDIRECT("'"&amp;$B$3&amp;"'!$A$7:$W$371"),$A28-DATE(2026,1,1)+1,12),""))</f>
        <v>0.333333333333333</v>
      </c>
      <c r="E28" s="34" t="n">
        <f aca="true">IF($A28="","",IFERROR(INDEX(INDIRECT("'"&amp;$B$3&amp;"'!$A$7:$W$371"),$A28-DATE(2026,1,1)+1,13),""))</f>
        <v>0.6875</v>
      </c>
      <c r="F28" s="14" t="n">
        <f aca="true">IF($A28="","",IFERROR(INDEX(INDIRECT("'"&amp;$B$3&amp;"'!$A$7:$W$371"),$A28-DATE(2026,1,1)+1,14),""))</f>
        <v>8.5</v>
      </c>
      <c r="G28" s="14" t="n">
        <f aca="true">IF($A28="","",IFERROR(INDEX(INDIRECT("'"&amp;$B$3&amp;"'!$A$7:$W$371"),$A28-DATE(2026,1,1)+1,15),""))</f>
        <v>0</v>
      </c>
      <c r="H28" s="14" t="n">
        <f aca="true">IF($A28="","",IFERROR(INDEX(INDIRECT("'"&amp;$B$3&amp;"'!$A$7:$W$371"),$A28-DATE(2026,1,1)+1,16),""))</f>
        <v>0</v>
      </c>
      <c r="I28" s="14" t="n">
        <f aca="true">IF($A28="","",IFERROR(INDEX(INDIRECT("'"&amp;$B$3&amp;"'!$A$7:$W$371"),$A28-DATE(2026,1,1)+1,17),""))</f>
        <v>0</v>
      </c>
      <c r="J28" s="14" t="n">
        <f aca="true">IF($A28="","",IFERROR(INDEX(INDIRECT("'"&amp;$B$3&amp;"'!$A$7:$W$371"),$A28-DATE(2026,1,1)+1,18),""))</f>
        <v>0</v>
      </c>
      <c r="K28" s="33" t="str">
        <f aca="true">IF($A28="","",IFERROR(""&amp;INDEX(INDIRECT("'"&amp;$B$3&amp;"'!$A$7:$W$371"),$A28-DATE(2026,1,1)+1,10),""))</f>
        <v/>
      </c>
    </row>
    <row r="29" customFormat="false" ht="15" hidden="false" customHeight="false" outlineLevel="0" collapsed="false">
      <c r="A29" s="29" t="n">
        <f aca="false">IF(23&lt;=DAY(DATE(2026,$D$4+1,0)),DATE(2026,$D$4,23),"")</f>
        <v>46045</v>
      </c>
      <c r="B29" s="30" t="str">
        <f aca="true">IF($A29="","",IFERROR(INDEX(INDIRECT("'"&amp;$B$3&amp;"'!$A$7:$W$371"),$A29-DATE(2026,1,1)+1,2),""))</f>
        <v>Fri</v>
      </c>
      <c r="C29" s="33" t="str">
        <f aca="true">IF($A29="","",IFERROR(INDEX(INDIRECT("'"&amp;$B$3&amp;"'!$A$7:$W$371"),$A29-DATE(2026,1,1)+1,11),""))</f>
        <v>Weekend</v>
      </c>
      <c r="D29" s="34" t="str">
        <f aca="true">IF($A29="","",IFERROR(INDEX(INDIRECT("'"&amp;$B$3&amp;"'!$A$7:$W$371"),$A29-DATE(2026,1,1)+1,12),""))</f>
        <v/>
      </c>
      <c r="E29" s="34" t="str">
        <f aca="true">IF($A29="","",IFERROR(INDEX(INDIRECT("'"&amp;$B$3&amp;"'!$A$7:$W$371"),$A29-DATE(2026,1,1)+1,13),""))</f>
        <v/>
      </c>
      <c r="F29" s="14" t="n">
        <f aca="true">IF($A29="","",IFERROR(INDEX(INDIRECT("'"&amp;$B$3&amp;"'!$A$7:$W$371"),$A29-DATE(2026,1,1)+1,14),""))</f>
        <v>0</v>
      </c>
      <c r="G29" s="14" t="n">
        <f aca="true">IF($A29="","",IFERROR(INDEX(INDIRECT("'"&amp;$B$3&amp;"'!$A$7:$W$371"),$A29-DATE(2026,1,1)+1,15),""))</f>
        <v>0</v>
      </c>
      <c r="H29" s="14" t="n">
        <f aca="true">IF($A29="","",IFERROR(INDEX(INDIRECT("'"&amp;$B$3&amp;"'!$A$7:$W$371"),$A29-DATE(2026,1,1)+1,16),""))</f>
        <v>0</v>
      </c>
      <c r="I29" s="14" t="n">
        <f aca="true">IF($A29="","",IFERROR(INDEX(INDIRECT("'"&amp;$B$3&amp;"'!$A$7:$W$371"),$A29-DATE(2026,1,1)+1,17),""))</f>
        <v>0</v>
      </c>
      <c r="J29" s="14" t="n">
        <f aca="true">IF($A29="","",IFERROR(INDEX(INDIRECT("'"&amp;$B$3&amp;"'!$A$7:$W$371"),$A29-DATE(2026,1,1)+1,18),""))</f>
        <v>0</v>
      </c>
      <c r="K29" s="33" t="str">
        <f aca="true">IF($A29="","",IFERROR(""&amp;INDEX(INDIRECT("'"&amp;$B$3&amp;"'!$A$7:$W$371"),$A29-DATE(2026,1,1)+1,10),""))</f>
        <v/>
      </c>
    </row>
    <row r="30" customFormat="false" ht="15" hidden="false" customHeight="false" outlineLevel="0" collapsed="false">
      <c r="A30" s="29" t="n">
        <f aca="false">IF(24&lt;=DAY(DATE(2026,$D$4+1,0)),DATE(2026,$D$4,24),"")</f>
        <v>46046</v>
      </c>
      <c r="B30" s="30" t="str">
        <f aca="true">IF($A30="","",IFERROR(INDEX(INDIRECT("'"&amp;$B$3&amp;"'!$A$7:$W$371"),$A30-DATE(2026,1,1)+1,2),""))</f>
        <v>Sat</v>
      </c>
      <c r="C30" s="33" t="str">
        <f aca="true">IF($A30="","",IFERROR(INDEX(INDIRECT("'"&amp;$B$3&amp;"'!$A$7:$W$371"),$A30-DATE(2026,1,1)+1,11),""))</f>
        <v>Weekend</v>
      </c>
      <c r="D30" s="34" t="str">
        <f aca="true">IF($A30="","",IFERROR(INDEX(INDIRECT("'"&amp;$B$3&amp;"'!$A$7:$W$371"),$A30-DATE(2026,1,1)+1,12),""))</f>
        <v/>
      </c>
      <c r="E30" s="34" t="str">
        <f aca="true">IF($A30="","",IFERROR(INDEX(INDIRECT("'"&amp;$B$3&amp;"'!$A$7:$W$371"),$A30-DATE(2026,1,1)+1,13),""))</f>
        <v/>
      </c>
      <c r="F30" s="14" t="n">
        <f aca="true">IF($A30="","",IFERROR(INDEX(INDIRECT("'"&amp;$B$3&amp;"'!$A$7:$W$371"),$A30-DATE(2026,1,1)+1,14),""))</f>
        <v>0</v>
      </c>
      <c r="G30" s="14" t="n">
        <f aca="true">IF($A30="","",IFERROR(INDEX(INDIRECT("'"&amp;$B$3&amp;"'!$A$7:$W$371"),$A30-DATE(2026,1,1)+1,15),""))</f>
        <v>0</v>
      </c>
      <c r="H30" s="14" t="n">
        <f aca="true">IF($A30="","",IFERROR(INDEX(INDIRECT("'"&amp;$B$3&amp;"'!$A$7:$W$371"),$A30-DATE(2026,1,1)+1,16),""))</f>
        <v>0</v>
      </c>
      <c r="I30" s="14" t="n">
        <f aca="true">IF($A30="","",IFERROR(INDEX(INDIRECT("'"&amp;$B$3&amp;"'!$A$7:$W$371"),$A30-DATE(2026,1,1)+1,17),""))</f>
        <v>0</v>
      </c>
      <c r="J30" s="14" t="n">
        <f aca="true">IF($A30="","",IFERROR(INDEX(INDIRECT("'"&amp;$B$3&amp;"'!$A$7:$W$371"),$A30-DATE(2026,1,1)+1,18),""))</f>
        <v>0</v>
      </c>
      <c r="K30" s="33" t="str">
        <f aca="true">IF($A30="","",IFERROR(""&amp;INDEX(INDIRECT("'"&amp;$B$3&amp;"'!$A$7:$W$371"),$A30-DATE(2026,1,1)+1,10),""))</f>
        <v/>
      </c>
    </row>
    <row r="31" customFormat="false" ht="15" hidden="false" customHeight="false" outlineLevel="0" collapsed="false">
      <c r="A31" s="29" t="n">
        <f aca="false">IF(25&lt;=DAY(DATE(2026,$D$4+1,0)),DATE(2026,$D$4,25),"")</f>
        <v>46047</v>
      </c>
      <c r="B31" s="30" t="str">
        <f aca="true">IF($A31="","",IFERROR(INDEX(INDIRECT("'"&amp;$B$3&amp;"'!$A$7:$W$371"),$A31-DATE(2026,1,1)+1,2),""))</f>
        <v>Sun</v>
      </c>
      <c r="C31" s="33" t="str">
        <f aca="true">IF($A31="","",IFERROR(INDEX(INDIRECT("'"&amp;$B$3&amp;"'!$A$7:$W$371"),$A31-DATE(2026,1,1)+1,11),""))</f>
        <v>Present</v>
      </c>
      <c r="D31" s="34" t="n">
        <f aca="true">IF($A31="","",IFERROR(INDEX(INDIRECT("'"&amp;$B$3&amp;"'!$A$7:$W$371"),$A31-DATE(2026,1,1)+1,12),""))</f>
        <v>0.333333333333333</v>
      </c>
      <c r="E31" s="34" t="n">
        <f aca="true">IF($A31="","",IFERROR(INDEX(INDIRECT("'"&amp;$B$3&amp;"'!$A$7:$W$371"),$A31-DATE(2026,1,1)+1,13),""))</f>
        <v>0.6875</v>
      </c>
      <c r="F31" s="14" t="n">
        <f aca="true">IF($A31="","",IFERROR(INDEX(INDIRECT("'"&amp;$B$3&amp;"'!$A$7:$W$371"),$A31-DATE(2026,1,1)+1,14),""))</f>
        <v>8.5</v>
      </c>
      <c r="G31" s="14" t="n">
        <f aca="true">IF($A31="","",IFERROR(INDEX(INDIRECT("'"&amp;$B$3&amp;"'!$A$7:$W$371"),$A31-DATE(2026,1,1)+1,15),""))</f>
        <v>0</v>
      </c>
      <c r="H31" s="14" t="n">
        <f aca="true">IF($A31="","",IFERROR(INDEX(INDIRECT("'"&amp;$B$3&amp;"'!$A$7:$W$371"),$A31-DATE(2026,1,1)+1,16),""))</f>
        <v>0</v>
      </c>
      <c r="I31" s="14" t="n">
        <f aca="true">IF($A31="","",IFERROR(INDEX(INDIRECT("'"&amp;$B$3&amp;"'!$A$7:$W$371"),$A31-DATE(2026,1,1)+1,17),""))</f>
        <v>0</v>
      </c>
      <c r="J31" s="14" t="n">
        <f aca="true">IF($A31="","",IFERROR(INDEX(INDIRECT("'"&amp;$B$3&amp;"'!$A$7:$W$371"),$A31-DATE(2026,1,1)+1,18),""))</f>
        <v>0</v>
      </c>
      <c r="K31" s="33" t="str">
        <f aca="true">IF($A31="","",IFERROR(""&amp;INDEX(INDIRECT("'"&amp;$B$3&amp;"'!$A$7:$W$371"),$A31-DATE(2026,1,1)+1,10),""))</f>
        <v/>
      </c>
    </row>
    <row r="32" customFormat="false" ht="15" hidden="false" customHeight="false" outlineLevel="0" collapsed="false">
      <c r="A32" s="29" t="n">
        <f aca="false">IF(26&lt;=DAY(DATE(2026,$D$4+1,0)),DATE(2026,$D$4,26),"")</f>
        <v>46048</v>
      </c>
      <c r="B32" s="30" t="str">
        <f aca="true">IF($A32="","",IFERROR(INDEX(INDIRECT("'"&amp;$B$3&amp;"'!$A$7:$W$371"),$A32-DATE(2026,1,1)+1,2),""))</f>
        <v>Mon</v>
      </c>
      <c r="C32" s="33" t="str">
        <f aca="true">IF($A32="","",IFERROR(INDEX(INDIRECT("'"&amp;$B$3&amp;"'!$A$7:$W$371"),$A32-DATE(2026,1,1)+1,11),""))</f>
        <v>Present</v>
      </c>
      <c r="D32" s="34" t="n">
        <f aca="true">IF($A32="","",IFERROR(INDEX(INDIRECT("'"&amp;$B$3&amp;"'!$A$7:$W$371"),$A32-DATE(2026,1,1)+1,12),""))</f>
        <v>0.333333333333333</v>
      </c>
      <c r="E32" s="34" t="n">
        <f aca="true">IF($A32="","",IFERROR(INDEX(INDIRECT("'"&amp;$B$3&amp;"'!$A$7:$W$371"),$A32-DATE(2026,1,1)+1,13),""))</f>
        <v>0.6875</v>
      </c>
      <c r="F32" s="14" t="n">
        <f aca="true">IF($A32="","",IFERROR(INDEX(INDIRECT("'"&amp;$B$3&amp;"'!$A$7:$W$371"),$A32-DATE(2026,1,1)+1,14),""))</f>
        <v>8.5</v>
      </c>
      <c r="G32" s="14" t="n">
        <f aca="true">IF($A32="","",IFERROR(INDEX(INDIRECT("'"&amp;$B$3&amp;"'!$A$7:$W$371"),$A32-DATE(2026,1,1)+1,15),""))</f>
        <v>0</v>
      </c>
      <c r="H32" s="14" t="n">
        <f aca="true">IF($A32="","",IFERROR(INDEX(INDIRECT("'"&amp;$B$3&amp;"'!$A$7:$W$371"),$A32-DATE(2026,1,1)+1,16),""))</f>
        <v>0</v>
      </c>
      <c r="I32" s="14" t="n">
        <f aca="true">IF($A32="","",IFERROR(INDEX(INDIRECT("'"&amp;$B$3&amp;"'!$A$7:$W$371"),$A32-DATE(2026,1,1)+1,17),""))</f>
        <v>0</v>
      </c>
      <c r="J32" s="14" t="n">
        <f aca="true">IF($A32="","",IFERROR(INDEX(INDIRECT("'"&amp;$B$3&amp;"'!$A$7:$W$371"),$A32-DATE(2026,1,1)+1,18),""))</f>
        <v>0</v>
      </c>
      <c r="K32" s="33" t="str">
        <f aca="true">IF($A32="","",IFERROR(""&amp;INDEX(INDIRECT("'"&amp;$B$3&amp;"'!$A$7:$W$371"),$A32-DATE(2026,1,1)+1,10),""))</f>
        <v/>
      </c>
    </row>
    <row r="33" customFormat="false" ht="15" hidden="false" customHeight="false" outlineLevel="0" collapsed="false">
      <c r="A33" s="29" t="n">
        <f aca="false">IF(27&lt;=DAY(DATE(2026,$D$4+1,0)),DATE(2026,$D$4,27),"")</f>
        <v>46049</v>
      </c>
      <c r="B33" s="30" t="str">
        <f aca="true">IF($A33="","",IFERROR(INDEX(INDIRECT("'"&amp;$B$3&amp;"'!$A$7:$W$371"),$A33-DATE(2026,1,1)+1,2),""))</f>
        <v>Tue</v>
      </c>
      <c r="C33" s="33" t="str">
        <f aca="true">IF($A33="","",IFERROR(INDEX(INDIRECT("'"&amp;$B$3&amp;"'!$A$7:$W$371"),$A33-DATE(2026,1,1)+1,11),""))</f>
        <v>Present</v>
      </c>
      <c r="D33" s="34" t="n">
        <f aca="true">IF($A33="","",IFERROR(INDEX(INDIRECT("'"&amp;$B$3&amp;"'!$A$7:$W$371"),$A33-DATE(2026,1,1)+1,12),""))</f>
        <v>0.333333333333333</v>
      </c>
      <c r="E33" s="34" t="n">
        <f aca="true">IF($A33="","",IFERROR(INDEX(INDIRECT("'"&amp;$B$3&amp;"'!$A$7:$W$371"),$A33-DATE(2026,1,1)+1,13),""))</f>
        <v>0.6875</v>
      </c>
      <c r="F33" s="14" t="n">
        <f aca="true">IF($A33="","",IFERROR(INDEX(INDIRECT("'"&amp;$B$3&amp;"'!$A$7:$W$371"),$A33-DATE(2026,1,1)+1,14),""))</f>
        <v>8.5</v>
      </c>
      <c r="G33" s="14" t="n">
        <f aca="true">IF($A33="","",IFERROR(INDEX(INDIRECT("'"&amp;$B$3&amp;"'!$A$7:$W$371"),$A33-DATE(2026,1,1)+1,15),""))</f>
        <v>0</v>
      </c>
      <c r="H33" s="14" t="n">
        <f aca="true">IF($A33="","",IFERROR(INDEX(INDIRECT("'"&amp;$B$3&amp;"'!$A$7:$W$371"),$A33-DATE(2026,1,1)+1,16),""))</f>
        <v>0</v>
      </c>
      <c r="I33" s="14" t="n">
        <f aca="true">IF($A33="","",IFERROR(INDEX(INDIRECT("'"&amp;$B$3&amp;"'!$A$7:$W$371"),$A33-DATE(2026,1,1)+1,17),""))</f>
        <v>0</v>
      </c>
      <c r="J33" s="14" t="n">
        <f aca="true">IF($A33="","",IFERROR(INDEX(INDIRECT("'"&amp;$B$3&amp;"'!$A$7:$W$371"),$A33-DATE(2026,1,1)+1,18),""))</f>
        <v>0</v>
      </c>
      <c r="K33" s="33" t="str">
        <f aca="true">IF($A33="","",IFERROR(""&amp;INDEX(INDIRECT("'"&amp;$B$3&amp;"'!$A$7:$W$371"),$A33-DATE(2026,1,1)+1,10),""))</f>
        <v/>
      </c>
    </row>
    <row r="34" customFormat="false" ht="15" hidden="false" customHeight="false" outlineLevel="0" collapsed="false">
      <c r="A34" s="29" t="n">
        <f aca="false">IF(28&lt;=DAY(DATE(2026,$D$4+1,0)),DATE(2026,$D$4,28),"")</f>
        <v>46050</v>
      </c>
      <c r="B34" s="30" t="str">
        <f aca="true">IF($A34="","",IFERROR(INDEX(INDIRECT("'"&amp;$B$3&amp;"'!$A$7:$W$371"),$A34-DATE(2026,1,1)+1,2),""))</f>
        <v>Wed</v>
      </c>
      <c r="C34" s="33" t="str">
        <f aca="true">IF($A34="","",IFERROR(INDEX(INDIRECT("'"&amp;$B$3&amp;"'!$A$7:$W$371"),$A34-DATE(2026,1,1)+1,11),""))</f>
        <v>Present</v>
      </c>
      <c r="D34" s="34" t="n">
        <f aca="true">IF($A34="","",IFERROR(INDEX(INDIRECT("'"&amp;$B$3&amp;"'!$A$7:$W$371"),$A34-DATE(2026,1,1)+1,12),""))</f>
        <v>0.333333333333333</v>
      </c>
      <c r="E34" s="34" t="n">
        <f aca="true">IF($A34="","",IFERROR(INDEX(INDIRECT("'"&amp;$B$3&amp;"'!$A$7:$W$371"),$A34-DATE(2026,1,1)+1,13),""))</f>
        <v>0.6875</v>
      </c>
      <c r="F34" s="14" t="n">
        <f aca="true">IF($A34="","",IFERROR(INDEX(INDIRECT("'"&amp;$B$3&amp;"'!$A$7:$W$371"),$A34-DATE(2026,1,1)+1,14),""))</f>
        <v>8.5</v>
      </c>
      <c r="G34" s="14" t="n">
        <f aca="true">IF($A34="","",IFERROR(INDEX(INDIRECT("'"&amp;$B$3&amp;"'!$A$7:$W$371"),$A34-DATE(2026,1,1)+1,15),""))</f>
        <v>0</v>
      </c>
      <c r="H34" s="14" t="n">
        <f aca="true">IF($A34="","",IFERROR(INDEX(INDIRECT("'"&amp;$B$3&amp;"'!$A$7:$W$371"),$A34-DATE(2026,1,1)+1,16),""))</f>
        <v>0</v>
      </c>
      <c r="I34" s="14" t="n">
        <f aca="true">IF($A34="","",IFERROR(INDEX(INDIRECT("'"&amp;$B$3&amp;"'!$A$7:$W$371"),$A34-DATE(2026,1,1)+1,17),""))</f>
        <v>0</v>
      </c>
      <c r="J34" s="14" t="n">
        <f aca="true">IF($A34="","",IFERROR(INDEX(INDIRECT("'"&amp;$B$3&amp;"'!$A$7:$W$371"),$A34-DATE(2026,1,1)+1,18),""))</f>
        <v>0</v>
      </c>
      <c r="K34" s="33" t="str">
        <f aca="true">IF($A34="","",IFERROR(""&amp;INDEX(INDIRECT("'"&amp;$B$3&amp;"'!$A$7:$W$371"),$A34-DATE(2026,1,1)+1,10),""))</f>
        <v/>
      </c>
    </row>
    <row r="35" customFormat="false" ht="15" hidden="false" customHeight="false" outlineLevel="0" collapsed="false">
      <c r="A35" s="29" t="n">
        <f aca="false">IF(29&lt;=DAY(DATE(2026,$D$4+1,0)),DATE(2026,$D$4,29),"")</f>
        <v>46051</v>
      </c>
      <c r="B35" s="30" t="str">
        <f aca="true">IF($A35="","",IFERROR(INDEX(INDIRECT("'"&amp;$B$3&amp;"'!$A$7:$W$371"),$A35-DATE(2026,1,1)+1,2),""))</f>
        <v>Thu</v>
      </c>
      <c r="C35" s="33" t="str">
        <f aca="true">IF($A35="","",IFERROR(INDEX(INDIRECT("'"&amp;$B$3&amp;"'!$A$7:$W$371"),$A35-DATE(2026,1,1)+1,11),""))</f>
        <v>Present</v>
      </c>
      <c r="D35" s="34" t="n">
        <f aca="true">IF($A35="","",IFERROR(INDEX(INDIRECT("'"&amp;$B$3&amp;"'!$A$7:$W$371"),$A35-DATE(2026,1,1)+1,12),""))</f>
        <v>0.333333333333333</v>
      </c>
      <c r="E35" s="34" t="n">
        <f aca="true">IF($A35="","",IFERROR(INDEX(INDIRECT("'"&amp;$B$3&amp;"'!$A$7:$W$371"),$A35-DATE(2026,1,1)+1,13),""))</f>
        <v>0.6875</v>
      </c>
      <c r="F35" s="14" t="n">
        <f aca="true">IF($A35="","",IFERROR(INDEX(INDIRECT("'"&amp;$B$3&amp;"'!$A$7:$W$371"),$A35-DATE(2026,1,1)+1,14),""))</f>
        <v>8.5</v>
      </c>
      <c r="G35" s="14" t="n">
        <f aca="true">IF($A35="","",IFERROR(INDEX(INDIRECT("'"&amp;$B$3&amp;"'!$A$7:$W$371"),$A35-DATE(2026,1,1)+1,15),""))</f>
        <v>0</v>
      </c>
      <c r="H35" s="14" t="n">
        <f aca="true">IF($A35="","",IFERROR(INDEX(INDIRECT("'"&amp;$B$3&amp;"'!$A$7:$W$371"),$A35-DATE(2026,1,1)+1,16),""))</f>
        <v>0</v>
      </c>
      <c r="I35" s="14" t="n">
        <f aca="true">IF($A35="","",IFERROR(INDEX(INDIRECT("'"&amp;$B$3&amp;"'!$A$7:$W$371"),$A35-DATE(2026,1,1)+1,17),""))</f>
        <v>0</v>
      </c>
      <c r="J35" s="14" t="n">
        <f aca="true">IF($A35="","",IFERROR(INDEX(INDIRECT("'"&amp;$B$3&amp;"'!$A$7:$W$371"),$A35-DATE(2026,1,1)+1,18),""))</f>
        <v>0</v>
      </c>
      <c r="K35" s="33" t="str">
        <f aca="true">IF($A35="","",IFERROR(""&amp;INDEX(INDIRECT("'"&amp;$B$3&amp;"'!$A$7:$W$371"),$A35-DATE(2026,1,1)+1,10),""))</f>
        <v/>
      </c>
    </row>
    <row r="36" customFormat="false" ht="15" hidden="false" customHeight="false" outlineLevel="0" collapsed="false">
      <c r="A36" s="29" t="n">
        <f aca="false">IF(30&lt;=DAY(DATE(2026,$D$4+1,0)),DATE(2026,$D$4,30),"")</f>
        <v>46052</v>
      </c>
      <c r="B36" s="30" t="str">
        <f aca="true">IF($A36="","",IFERROR(INDEX(INDIRECT("'"&amp;$B$3&amp;"'!$A$7:$W$371"),$A36-DATE(2026,1,1)+1,2),""))</f>
        <v>Fri</v>
      </c>
      <c r="C36" s="33" t="str">
        <f aca="true">IF($A36="","",IFERROR(INDEX(INDIRECT("'"&amp;$B$3&amp;"'!$A$7:$W$371"),$A36-DATE(2026,1,1)+1,11),""))</f>
        <v>Weekend</v>
      </c>
      <c r="D36" s="34" t="str">
        <f aca="true">IF($A36="","",IFERROR(INDEX(INDIRECT("'"&amp;$B$3&amp;"'!$A$7:$W$371"),$A36-DATE(2026,1,1)+1,12),""))</f>
        <v/>
      </c>
      <c r="E36" s="34" t="str">
        <f aca="true">IF($A36="","",IFERROR(INDEX(INDIRECT("'"&amp;$B$3&amp;"'!$A$7:$W$371"),$A36-DATE(2026,1,1)+1,13),""))</f>
        <v/>
      </c>
      <c r="F36" s="14" t="n">
        <f aca="true">IF($A36="","",IFERROR(INDEX(INDIRECT("'"&amp;$B$3&amp;"'!$A$7:$W$371"),$A36-DATE(2026,1,1)+1,14),""))</f>
        <v>0</v>
      </c>
      <c r="G36" s="14" t="n">
        <f aca="true">IF($A36="","",IFERROR(INDEX(INDIRECT("'"&amp;$B$3&amp;"'!$A$7:$W$371"),$A36-DATE(2026,1,1)+1,15),""))</f>
        <v>0</v>
      </c>
      <c r="H36" s="14" t="n">
        <f aca="true">IF($A36="","",IFERROR(INDEX(INDIRECT("'"&amp;$B$3&amp;"'!$A$7:$W$371"),$A36-DATE(2026,1,1)+1,16),""))</f>
        <v>0</v>
      </c>
      <c r="I36" s="14" t="n">
        <f aca="true">IF($A36="","",IFERROR(INDEX(INDIRECT("'"&amp;$B$3&amp;"'!$A$7:$W$371"),$A36-DATE(2026,1,1)+1,17),""))</f>
        <v>0</v>
      </c>
      <c r="J36" s="14" t="n">
        <f aca="true">IF($A36="","",IFERROR(INDEX(INDIRECT("'"&amp;$B$3&amp;"'!$A$7:$W$371"),$A36-DATE(2026,1,1)+1,18),""))</f>
        <v>0</v>
      </c>
      <c r="K36" s="33" t="str">
        <f aca="true">IF($A36="","",IFERROR(""&amp;INDEX(INDIRECT("'"&amp;$B$3&amp;"'!$A$7:$W$371"),$A36-DATE(2026,1,1)+1,10),""))</f>
        <v/>
      </c>
    </row>
    <row r="37" customFormat="false" ht="15" hidden="false" customHeight="false" outlineLevel="0" collapsed="false">
      <c r="A37" s="29" t="n">
        <f aca="false">IF(31&lt;=DAY(DATE(2026,$D$4+1,0)),DATE(2026,$D$4,31),"")</f>
        <v>46053</v>
      </c>
      <c r="B37" s="30" t="str">
        <f aca="true">IF($A37="","",IFERROR(INDEX(INDIRECT("'"&amp;$B$3&amp;"'!$A$7:$W$371"),$A37-DATE(2026,1,1)+1,2),""))</f>
        <v>Sat</v>
      </c>
      <c r="C37" s="33" t="str">
        <f aca="true">IF($A37="","",IFERROR(INDEX(INDIRECT("'"&amp;$B$3&amp;"'!$A$7:$W$371"),$A37-DATE(2026,1,1)+1,11),""))</f>
        <v>Weekend</v>
      </c>
      <c r="D37" s="34" t="str">
        <f aca="true">IF($A37="","",IFERROR(INDEX(INDIRECT("'"&amp;$B$3&amp;"'!$A$7:$W$371"),$A37-DATE(2026,1,1)+1,12),""))</f>
        <v/>
      </c>
      <c r="E37" s="34" t="str">
        <f aca="true">IF($A37="","",IFERROR(INDEX(INDIRECT("'"&amp;$B$3&amp;"'!$A$7:$W$371"),$A37-DATE(2026,1,1)+1,13),""))</f>
        <v/>
      </c>
      <c r="F37" s="14" t="n">
        <f aca="true">IF($A37="","",IFERROR(INDEX(INDIRECT("'"&amp;$B$3&amp;"'!$A$7:$W$371"),$A37-DATE(2026,1,1)+1,14),""))</f>
        <v>0</v>
      </c>
      <c r="G37" s="14" t="n">
        <f aca="true">IF($A37="","",IFERROR(INDEX(INDIRECT("'"&amp;$B$3&amp;"'!$A$7:$W$371"),$A37-DATE(2026,1,1)+1,15),""))</f>
        <v>0</v>
      </c>
      <c r="H37" s="14" t="n">
        <f aca="true">IF($A37="","",IFERROR(INDEX(INDIRECT("'"&amp;$B$3&amp;"'!$A$7:$W$371"),$A37-DATE(2026,1,1)+1,16),""))</f>
        <v>0</v>
      </c>
      <c r="I37" s="14" t="n">
        <f aca="true">IF($A37="","",IFERROR(INDEX(INDIRECT("'"&amp;$B$3&amp;"'!$A$7:$W$371"),$A37-DATE(2026,1,1)+1,17),""))</f>
        <v>0</v>
      </c>
      <c r="J37" s="14" t="n">
        <f aca="true">IF($A37="","",IFERROR(INDEX(INDIRECT("'"&amp;$B$3&amp;"'!$A$7:$W$371"),$A37-DATE(2026,1,1)+1,18),""))</f>
        <v>0</v>
      </c>
      <c r="K37" s="33" t="str">
        <f aca="true">IF($A37="","",IFERROR(""&amp;INDEX(INDIRECT("'"&amp;$B$3&amp;"'!$A$7:$W$371"),$A37-DATE(2026,1,1)+1,10),""))</f>
        <v/>
      </c>
    </row>
    <row r="39" customFormat="false" ht="15" hidden="false" customHeight="false" outlineLevel="0" collapsed="false">
      <c r="A39" s="6" t="s">
        <v>103</v>
      </c>
      <c r="B39" s="7"/>
      <c r="C39" s="7"/>
    </row>
    <row r="40" customFormat="false" ht="15" hidden="false" customHeight="false" outlineLevel="0" collapsed="false">
      <c r="A40" s="38" t="s">
        <v>104</v>
      </c>
      <c r="B40" s="38"/>
      <c r="C40" s="39" t="n">
        <f aca="false">COUNTIF(F7:F37,"&gt;0")</f>
        <v>21</v>
      </c>
    </row>
    <row r="41" customFormat="false" ht="15" hidden="false" customHeight="false" outlineLevel="0" collapsed="false">
      <c r="A41" s="38" t="s">
        <v>105</v>
      </c>
      <c r="B41" s="38"/>
      <c r="C41" s="40" t="n">
        <f aca="false">SUM(F7:F37)</f>
        <v>178.5</v>
      </c>
    </row>
    <row r="42" customFormat="false" ht="15" hidden="false" customHeight="false" outlineLevel="0" collapsed="false">
      <c r="A42" s="38" t="s">
        <v>106</v>
      </c>
      <c r="B42" s="38"/>
      <c r="C42" s="40" t="n">
        <f aca="false">SUM(I7:I37)</f>
        <v>0</v>
      </c>
    </row>
    <row r="43" customFormat="false" ht="15" hidden="false" customHeight="false" outlineLevel="0" collapsed="false">
      <c r="A43" s="38" t="s">
        <v>107</v>
      </c>
      <c r="B43" s="38"/>
      <c r="C43" s="40" t="n">
        <f aca="false">SUM(J7:J37)</f>
        <v>0</v>
      </c>
    </row>
    <row r="44" customFormat="false" ht="15" hidden="false" customHeight="false" outlineLevel="0" collapsed="false">
      <c r="A44" s="38" t="s">
        <v>108</v>
      </c>
      <c r="B44" s="38"/>
      <c r="C44" s="40" t="n">
        <f aca="false">SUM(G7:G37)</f>
        <v>0</v>
      </c>
    </row>
    <row r="45" customFormat="false" ht="15" hidden="false" customHeight="false" outlineLevel="0" collapsed="false">
      <c r="A45" s="38" t="s">
        <v>109</v>
      </c>
      <c r="B45" s="38"/>
      <c r="C45" s="40" t="n">
        <f aca="false">SUM(H7:H37)</f>
        <v>0</v>
      </c>
    </row>
  </sheetData>
  <sheetProtection sheet="true" formatColumns="false" formatRows="false" sort="false" autoFilter="false"/>
  <mergeCells count="8">
    <mergeCell ref="B3:C3"/>
    <mergeCell ref="B4:C4"/>
    <mergeCell ref="A40:B40"/>
    <mergeCell ref="A41:B41"/>
    <mergeCell ref="A42:B42"/>
    <mergeCell ref="A43:B43"/>
    <mergeCell ref="A44:B44"/>
    <mergeCell ref="A45:B45"/>
  </mergeCells>
  <conditionalFormatting sqref="A7:K37">
    <cfRule type="expression" priority="2" aboveAverage="0" equalAverage="0" bottom="0" percent="0" rank="0" text="" dxfId="12">
      <formula>OR($C7="Weekend",$C7="Holiday")</formula>
    </cfRule>
  </conditionalFormatting>
  <dataValidations count="2">
    <dataValidation allowBlank="false" errorStyle="stop" operator="between" showDropDown="false" showErrorMessage="false" showInputMessage="false" sqref="B3" type="list">
      <formula1>Employees!$A$5:$A$14</formula1>
      <formula2>0</formula2>
    </dataValidation>
    <dataValidation allowBlank="false" errorStyle="stop" operator="between" showDropDown="false" showErrorMessage="false" showInputMessage="false" sqref="B4" type="list">
      <formula1>Lists!$B$1:$B$12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3"/>
    <col collapsed="false" customWidth="true" hidden="false" outlineLevel="0" max="5" min="3" style="0" width="12"/>
    <col collapsed="false" customWidth="true" hidden="false" outlineLevel="0" max="6" min="6" style="0" width="13"/>
    <col collapsed="false" customWidth="true" hidden="false" outlineLevel="0" max="10" min="7" style="0" width="12"/>
  </cols>
  <sheetData>
    <row r="1" customFormat="false" ht="17.35" hidden="false" customHeight="false" outlineLevel="0" collapsed="false">
      <c r="A1" s="1" t="s">
        <v>110</v>
      </c>
    </row>
    <row r="2" customFormat="false" ht="15" hidden="false" customHeight="false" outlineLevel="0" collapsed="false">
      <c r="A2" s="2" t="s">
        <v>111</v>
      </c>
    </row>
    <row r="4" customFormat="false" ht="42" hidden="false" customHeight="true" outlineLevel="0" collapsed="false">
      <c r="A4" s="17" t="s">
        <v>55</v>
      </c>
      <c r="B4" s="17" t="s">
        <v>112</v>
      </c>
      <c r="C4" s="17" t="s">
        <v>113</v>
      </c>
      <c r="D4" s="17" t="s">
        <v>114</v>
      </c>
      <c r="E4" s="17" t="s">
        <v>105</v>
      </c>
      <c r="F4" s="17" t="s">
        <v>115</v>
      </c>
      <c r="G4" s="17" t="s">
        <v>108</v>
      </c>
      <c r="H4" s="17" t="s">
        <v>107</v>
      </c>
      <c r="I4" s="17" t="s">
        <v>109</v>
      </c>
      <c r="J4" s="17" t="s">
        <v>116</v>
      </c>
    </row>
    <row r="5" customFormat="false" ht="15" hidden="false" customHeight="false" outlineLevel="0" collapsed="false">
      <c r="A5" s="18" t="str">
        <f aca="false">IF(Employees!A5="","",Employees!A5)</f>
        <v>Tomer Cohen</v>
      </c>
      <c r="B5" s="19" t="n">
        <f aca="true">IF($A5="","",IFERROR(COUNTIF(INDIRECT("'"&amp;$A5&amp;"'!$U$7:$U$371"),TRUE()),"Sheet missing"))</f>
        <v>256</v>
      </c>
      <c r="C5" s="19" t="n">
        <f aca="true">IF($A5="","",IFERROR(SUMPRODUCT((INDIRECT("'"&amp;$A5&amp;"'!$C$7:$C$371")="Holiday")*(WEEKDAY(INDIRECT("'"&amp;$A5&amp;"'!$A$7:$A$371"))&lt;=5)),"Sheet missing"))</f>
        <v>5</v>
      </c>
      <c r="D5" s="19" t="n">
        <f aca="true">IF($A5="","",IFERROR(COUNTIF(INDIRECT("'"&amp;$A5&amp;"'!$N$7:$N$371"),"&gt;0"),"Sheet missing"))</f>
        <v>256</v>
      </c>
      <c r="E5" s="14" t="n">
        <f aca="true">IF($A5="","",IFERROR(SUM(INDIRECT("'"&amp;$A5&amp;"'!$N$7:$N$371")),"Sheet missing"))</f>
        <v>2166</v>
      </c>
      <c r="F5" s="14" t="n">
        <f aca="true">IF($A5="","",IFERROR(SUM(INDIRECT("'"&amp;$A5&amp;"'!$Q$7:$Q$371")),"Sheet missing"))</f>
        <v>0</v>
      </c>
      <c r="G5" s="14" t="n">
        <f aca="true">IF($A5="","",IFERROR(SUM(INDIRECT("'"&amp;$A5&amp;"'!$O$7:$O$371")),"Sheet missing"))</f>
        <v>0</v>
      </c>
      <c r="H5" s="14" t="n">
        <f aca="true">IF($A5="","",IFERROR(SUM(INDIRECT("'"&amp;$A5&amp;"'!$R$7:$R$371")),"Sheet missing"))</f>
        <v>0</v>
      </c>
      <c r="I5" s="14" t="n">
        <f aca="true">IF($A5="","",IFERROR(SUM(INDIRECT("'"&amp;$A5&amp;"'!$P$7:$P$371")),"Sheet missing"))</f>
        <v>0</v>
      </c>
      <c r="J5" s="19" t="n">
        <f aca="true">IF($A5="","",IFERROR(COUNTIF(INDIRECT("'"&amp;$A5&amp;"'!$K$7:$K$371"),"Manual Work"),"Sheet missing"))</f>
        <v>0</v>
      </c>
    </row>
    <row r="6" customFormat="false" ht="15" hidden="false" customHeight="false" outlineLevel="0" collapsed="false">
      <c r="A6" s="18" t="str">
        <f aca="false">IF(Employees!A6="","",Employees!A6)</f>
        <v>Nir Ben Haim</v>
      </c>
      <c r="B6" s="19" t="n">
        <f aca="true">IF($A6="","",IFERROR(COUNTIF(INDIRECT("'"&amp;$A6&amp;"'!$U$7:$U$371"),TRUE()),"Sheet missing"))</f>
        <v>256</v>
      </c>
      <c r="C6" s="19" t="n">
        <f aca="true">IF($A6="","",IFERROR(SUMPRODUCT((INDIRECT("'"&amp;$A6&amp;"'!$C$7:$C$371")="Holiday")*(WEEKDAY(INDIRECT("'"&amp;$A6&amp;"'!$A$7:$A$371"))&lt;=5)),"Sheet missing"))</f>
        <v>5</v>
      </c>
      <c r="D6" s="19" t="n">
        <f aca="true">IF($A6="","",IFERROR(COUNTIF(INDIRECT("'"&amp;$A6&amp;"'!$N$7:$N$371"),"&gt;0"),"Sheet missing"))</f>
        <v>256</v>
      </c>
      <c r="E6" s="14" t="n">
        <f aca="true">IF($A6="","",IFERROR(SUM(INDIRECT("'"&amp;$A6&amp;"'!$N$7:$N$371")),"Sheet missing"))</f>
        <v>2166</v>
      </c>
      <c r="F6" s="14" t="n">
        <f aca="true">IF($A6="","",IFERROR(SUM(INDIRECT("'"&amp;$A6&amp;"'!$Q$7:$Q$371")),"Sheet missing"))</f>
        <v>0</v>
      </c>
      <c r="G6" s="14" t="n">
        <f aca="true">IF($A6="","",IFERROR(SUM(INDIRECT("'"&amp;$A6&amp;"'!$O$7:$O$371")),"Sheet missing"))</f>
        <v>0</v>
      </c>
      <c r="H6" s="14" t="n">
        <f aca="true">IF($A6="","",IFERROR(SUM(INDIRECT("'"&amp;$A6&amp;"'!$R$7:$R$371")),"Sheet missing"))</f>
        <v>0</v>
      </c>
      <c r="I6" s="14" t="n">
        <f aca="true">IF($A6="","",IFERROR(SUM(INDIRECT("'"&amp;$A6&amp;"'!$P$7:$P$371")),"Sheet missing"))</f>
        <v>0</v>
      </c>
      <c r="J6" s="19" t="n">
        <f aca="true">IF($A6="","",IFERROR(COUNTIF(INDIRECT("'"&amp;$A6&amp;"'!$K$7:$K$371"),"Manual Work"),"Sheet missing"))</f>
        <v>0</v>
      </c>
    </row>
    <row r="7" customFormat="false" ht="15" hidden="false" customHeight="false" outlineLevel="0" collapsed="false">
      <c r="A7" s="18" t="str">
        <f aca="false">IF(Employees!A7="","",Employees!A7)</f>
        <v>Jonatan Ben Sudai</v>
      </c>
      <c r="B7" s="19" t="n">
        <f aca="true">IF($A7="","",IFERROR(COUNTIF(INDIRECT("'"&amp;$A7&amp;"'!$U$7:$U$371"),TRUE()),"Sheet missing"))</f>
        <v>256</v>
      </c>
      <c r="C7" s="19" t="n">
        <f aca="true">IF($A7="","",IFERROR(SUMPRODUCT((INDIRECT("'"&amp;$A7&amp;"'!$C$7:$C$371")="Holiday")*(WEEKDAY(INDIRECT("'"&amp;$A7&amp;"'!$A$7:$A$371"))&lt;=5)),"Sheet missing"))</f>
        <v>5</v>
      </c>
      <c r="D7" s="19" t="n">
        <f aca="true">IF($A7="","",IFERROR(COUNTIF(INDIRECT("'"&amp;$A7&amp;"'!$N$7:$N$371"),"&gt;0"),"Sheet missing"))</f>
        <v>256</v>
      </c>
      <c r="E7" s="14" t="n">
        <f aca="true">IF($A7="","",IFERROR(SUM(INDIRECT("'"&amp;$A7&amp;"'!$N$7:$N$371")),"Sheet missing"))</f>
        <v>2166</v>
      </c>
      <c r="F7" s="14" t="n">
        <f aca="true">IF($A7="","",IFERROR(SUM(INDIRECT("'"&amp;$A7&amp;"'!$Q$7:$Q$371")),"Sheet missing"))</f>
        <v>0</v>
      </c>
      <c r="G7" s="14" t="n">
        <f aca="true">IF($A7="","",IFERROR(SUM(INDIRECT("'"&amp;$A7&amp;"'!$O$7:$O$371")),"Sheet missing"))</f>
        <v>0</v>
      </c>
      <c r="H7" s="14" t="n">
        <f aca="true">IF($A7="","",IFERROR(SUM(INDIRECT("'"&amp;$A7&amp;"'!$R$7:$R$371")),"Sheet missing"))</f>
        <v>0</v>
      </c>
      <c r="I7" s="14" t="n">
        <f aca="true">IF($A7="","",IFERROR(SUM(INDIRECT("'"&amp;$A7&amp;"'!$P$7:$P$371")),"Sheet missing"))</f>
        <v>0</v>
      </c>
      <c r="J7" s="19" t="n">
        <f aca="true">IF($A7="","",IFERROR(COUNTIF(INDIRECT("'"&amp;$A7&amp;"'!$K$7:$K$371"),"Manual Work"),"Sheet missing"))</f>
        <v>0</v>
      </c>
    </row>
    <row r="8" customFormat="false" ht="15" hidden="false" customHeight="false" outlineLevel="0" collapsed="false">
      <c r="A8" s="18" t="str">
        <f aca="false">IF(Employees!A8="","",Employees!A8)</f>
        <v/>
      </c>
      <c r="B8" s="19" t="str">
        <f aca="true">IF($A8="","",IFERROR(COUNTIF(INDIRECT("'"&amp;$A8&amp;"'!$U$7:$U$371"),TRUE()),"Sheet missing"))</f>
        <v/>
      </c>
      <c r="C8" s="19" t="str">
        <f aca="true">IF($A8="","",IFERROR(SUMPRODUCT((INDIRECT("'"&amp;$A8&amp;"'!$C$7:$C$371")="Holiday")*(WEEKDAY(INDIRECT("'"&amp;$A8&amp;"'!$A$7:$A$371"))&lt;=5)),"Sheet missing"))</f>
        <v/>
      </c>
      <c r="D8" s="19" t="str">
        <f aca="true">IF($A8="","",IFERROR(COUNTIF(INDIRECT("'"&amp;$A8&amp;"'!$N$7:$N$371"),"&gt;0"),"Sheet missing"))</f>
        <v/>
      </c>
      <c r="E8" s="14" t="str">
        <f aca="true">IF($A8="","",IFERROR(SUM(INDIRECT("'"&amp;$A8&amp;"'!$N$7:$N$371")),"Sheet missing"))</f>
        <v/>
      </c>
      <c r="F8" s="14" t="str">
        <f aca="true">IF($A8="","",IFERROR(SUM(INDIRECT("'"&amp;$A8&amp;"'!$Q$7:$Q$371")),"Sheet missing"))</f>
        <v/>
      </c>
      <c r="G8" s="14" t="str">
        <f aca="true">IF($A8="","",IFERROR(SUM(INDIRECT("'"&amp;$A8&amp;"'!$O$7:$O$371")),"Sheet missing"))</f>
        <v/>
      </c>
      <c r="H8" s="14" t="str">
        <f aca="true">IF($A8="","",IFERROR(SUM(INDIRECT("'"&amp;$A8&amp;"'!$R$7:$R$371")),"Sheet missing"))</f>
        <v/>
      </c>
      <c r="I8" s="14" t="str">
        <f aca="true">IF($A8="","",IFERROR(SUM(INDIRECT("'"&amp;$A8&amp;"'!$P$7:$P$371")),"Sheet missing"))</f>
        <v/>
      </c>
      <c r="J8" s="19" t="str">
        <f aca="true">IF($A8="","",IFERROR(COUNTIF(INDIRECT("'"&amp;$A8&amp;"'!$K$7:$K$371"),"Manual Work"),"Sheet missing"))</f>
        <v/>
      </c>
    </row>
    <row r="9" customFormat="false" ht="15" hidden="false" customHeight="false" outlineLevel="0" collapsed="false">
      <c r="A9" s="18" t="str">
        <f aca="false">IF(Employees!A9="","",Employees!A9)</f>
        <v/>
      </c>
      <c r="B9" s="19" t="str">
        <f aca="true">IF($A9="","",IFERROR(COUNTIF(INDIRECT("'"&amp;$A9&amp;"'!$U$7:$U$371"),TRUE()),"Sheet missing"))</f>
        <v/>
      </c>
      <c r="C9" s="19" t="str">
        <f aca="true">IF($A9="","",IFERROR(SUMPRODUCT((INDIRECT("'"&amp;$A9&amp;"'!$C$7:$C$371")="Holiday")*(WEEKDAY(INDIRECT("'"&amp;$A9&amp;"'!$A$7:$A$371"))&lt;=5)),"Sheet missing"))</f>
        <v/>
      </c>
      <c r="D9" s="19" t="str">
        <f aca="true">IF($A9="","",IFERROR(COUNTIF(INDIRECT("'"&amp;$A9&amp;"'!$N$7:$N$371"),"&gt;0"),"Sheet missing"))</f>
        <v/>
      </c>
      <c r="E9" s="14" t="str">
        <f aca="true">IF($A9="","",IFERROR(SUM(INDIRECT("'"&amp;$A9&amp;"'!$N$7:$N$371")),"Sheet missing"))</f>
        <v/>
      </c>
      <c r="F9" s="14" t="str">
        <f aca="true">IF($A9="","",IFERROR(SUM(INDIRECT("'"&amp;$A9&amp;"'!$Q$7:$Q$371")),"Sheet missing"))</f>
        <v/>
      </c>
      <c r="G9" s="14" t="str">
        <f aca="true">IF($A9="","",IFERROR(SUM(INDIRECT("'"&amp;$A9&amp;"'!$O$7:$O$371")),"Sheet missing"))</f>
        <v/>
      </c>
      <c r="H9" s="14" t="str">
        <f aca="true">IF($A9="","",IFERROR(SUM(INDIRECT("'"&amp;$A9&amp;"'!$R$7:$R$371")),"Sheet missing"))</f>
        <v/>
      </c>
      <c r="I9" s="14" t="str">
        <f aca="true">IF($A9="","",IFERROR(SUM(INDIRECT("'"&amp;$A9&amp;"'!$P$7:$P$371")),"Sheet missing"))</f>
        <v/>
      </c>
      <c r="J9" s="19" t="str">
        <f aca="true">IF($A9="","",IFERROR(COUNTIF(INDIRECT("'"&amp;$A9&amp;"'!$K$7:$K$371"),"Manual Work"),"Sheet missing"))</f>
        <v/>
      </c>
    </row>
    <row r="10" customFormat="false" ht="15" hidden="false" customHeight="false" outlineLevel="0" collapsed="false">
      <c r="A10" s="18" t="str">
        <f aca="false">IF(Employees!A10="","",Employees!A10)</f>
        <v/>
      </c>
      <c r="B10" s="19" t="str">
        <f aca="true">IF($A10="","",IFERROR(COUNTIF(INDIRECT("'"&amp;$A10&amp;"'!$U$7:$U$371"),TRUE()),"Sheet missing"))</f>
        <v/>
      </c>
      <c r="C10" s="19" t="str">
        <f aca="true">IF($A10="","",IFERROR(SUMPRODUCT((INDIRECT("'"&amp;$A10&amp;"'!$C$7:$C$371")="Holiday")*(WEEKDAY(INDIRECT("'"&amp;$A10&amp;"'!$A$7:$A$371"))&lt;=5)),"Sheet missing"))</f>
        <v/>
      </c>
      <c r="D10" s="19" t="str">
        <f aca="true">IF($A10="","",IFERROR(COUNTIF(INDIRECT("'"&amp;$A10&amp;"'!$N$7:$N$371"),"&gt;0"),"Sheet missing"))</f>
        <v/>
      </c>
      <c r="E10" s="14" t="str">
        <f aca="true">IF($A10="","",IFERROR(SUM(INDIRECT("'"&amp;$A10&amp;"'!$N$7:$N$371")),"Sheet missing"))</f>
        <v/>
      </c>
      <c r="F10" s="14" t="str">
        <f aca="true">IF($A10="","",IFERROR(SUM(INDIRECT("'"&amp;$A10&amp;"'!$Q$7:$Q$371")),"Sheet missing"))</f>
        <v/>
      </c>
      <c r="G10" s="14" t="str">
        <f aca="true">IF($A10="","",IFERROR(SUM(INDIRECT("'"&amp;$A10&amp;"'!$O$7:$O$371")),"Sheet missing"))</f>
        <v/>
      </c>
      <c r="H10" s="14" t="str">
        <f aca="true">IF($A10="","",IFERROR(SUM(INDIRECT("'"&amp;$A10&amp;"'!$R$7:$R$371")),"Sheet missing"))</f>
        <v/>
      </c>
      <c r="I10" s="14" t="str">
        <f aca="true">IF($A10="","",IFERROR(SUM(INDIRECT("'"&amp;$A10&amp;"'!$P$7:$P$371")),"Sheet missing"))</f>
        <v/>
      </c>
      <c r="J10" s="19" t="str">
        <f aca="true">IF($A10="","",IFERROR(COUNTIF(INDIRECT("'"&amp;$A10&amp;"'!$K$7:$K$371"),"Manual Work"),"Sheet missing"))</f>
        <v/>
      </c>
    </row>
    <row r="11" customFormat="false" ht="15" hidden="false" customHeight="false" outlineLevel="0" collapsed="false">
      <c r="A11" s="18" t="str">
        <f aca="false">IF(Employees!A11="","",Employees!A11)</f>
        <v/>
      </c>
      <c r="B11" s="19" t="str">
        <f aca="true">IF($A11="","",IFERROR(COUNTIF(INDIRECT("'"&amp;$A11&amp;"'!$U$7:$U$371"),TRUE()),"Sheet missing"))</f>
        <v/>
      </c>
      <c r="C11" s="19" t="str">
        <f aca="true">IF($A11="","",IFERROR(SUMPRODUCT((INDIRECT("'"&amp;$A11&amp;"'!$C$7:$C$371")="Holiday")*(WEEKDAY(INDIRECT("'"&amp;$A11&amp;"'!$A$7:$A$371"))&lt;=5)),"Sheet missing"))</f>
        <v/>
      </c>
      <c r="D11" s="19" t="str">
        <f aca="true">IF($A11="","",IFERROR(COUNTIF(INDIRECT("'"&amp;$A11&amp;"'!$N$7:$N$371"),"&gt;0"),"Sheet missing"))</f>
        <v/>
      </c>
      <c r="E11" s="14" t="str">
        <f aca="true">IF($A11="","",IFERROR(SUM(INDIRECT("'"&amp;$A11&amp;"'!$N$7:$N$371")),"Sheet missing"))</f>
        <v/>
      </c>
      <c r="F11" s="14" t="str">
        <f aca="true">IF($A11="","",IFERROR(SUM(INDIRECT("'"&amp;$A11&amp;"'!$Q$7:$Q$371")),"Sheet missing"))</f>
        <v/>
      </c>
      <c r="G11" s="14" t="str">
        <f aca="true">IF($A11="","",IFERROR(SUM(INDIRECT("'"&amp;$A11&amp;"'!$O$7:$O$371")),"Sheet missing"))</f>
        <v/>
      </c>
      <c r="H11" s="14" t="str">
        <f aca="true">IF($A11="","",IFERROR(SUM(INDIRECT("'"&amp;$A11&amp;"'!$R$7:$R$371")),"Sheet missing"))</f>
        <v/>
      </c>
      <c r="I11" s="14" t="str">
        <f aca="true">IF($A11="","",IFERROR(SUM(INDIRECT("'"&amp;$A11&amp;"'!$P$7:$P$371")),"Sheet missing"))</f>
        <v/>
      </c>
      <c r="J11" s="19" t="str">
        <f aca="true">IF($A11="","",IFERROR(COUNTIF(INDIRECT("'"&amp;$A11&amp;"'!$K$7:$K$371"),"Manual Work"),"Sheet missing"))</f>
        <v/>
      </c>
    </row>
    <row r="12" customFormat="false" ht="15" hidden="false" customHeight="false" outlineLevel="0" collapsed="false">
      <c r="A12" s="18" t="str">
        <f aca="false">IF(Employees!A12="","",Employees!A12)</f>
        <v/>
      </c>
      <c r="B12" s="19" t="str">
        <f aca="true">IF($A12="","",IFERROR(COUNTIF(INDIRECT("'"&amp;$A12&amp;"'!$U$7:$U$371"),TRUE()),"Sheet missing"))</f>
        <v/>
      </c>
      <c r="C12" s="19" t="str">
        <f aca="true">IF($A12="","",IFERROR(SUMPRODUCT((INDIRECT("'"&amp;$A12&amp;"'!$C$7:$C$371")="Holiday")*(WEEKDAY(INDIRECT("'"&amp;$A12&amp;"'!$A$7:$A$371"))&lt;=5)),"Sheet missing"))</f>
        <v/>
      </c>
      <c r="D12" s="19" t="str">
        <f aca="true">IF($A12="","",IFERROR(COUNTIF(INDIRECT("'"&amp;$A12&amp;"'!$N$7:$N$371"),"&gt;0"),"Sheet missing"))</f>
        <v/>
      </c>
      <c r="E12" s="14" t="str">
        <f aca="true">IF($A12="","",IFERROR(SUM(INDIRECT("'"&amp;$A12&amp;"'!$N$7:$N$371")),"Sheet missing"))</f>
        <v/>
      </c>
      <c r="F12" s="14" t="str">
        <f aca="true">IF($A12="","",IFERROR(SUM(INDIRECT("'"&amp;$A12&amp;"'!$Q$7:$Q$371")),"Sheet missing"))</f>
        <v/>
      </c>
      <c r="G12" s="14" t="str">
        <f aca="true">IF($A12="","",IFERROR(SUM(INDIRECT("'"&amp;$A12&amp;"'!$O$7:$O$371")),"Sheet missing"))</f>
        <v/>
      </c>
      <c r="H12" s="14" t="str">
        <f aca="true">IF($A12="","",IFERROR(SUM(INDIRECT("'"&amp;$A12&amp;"'!$R$7:$R$371")),"Sheet missing"))</f>
        <v/>
      </c>
      <c r="I12" s="14" t="str">
        <f aca="true">IF($A12="","",IFERROR(SUM(INDIRECT("'"&amp;$A12&amp;"'!$P$7:$P$371")),"Sheet missing"))</f>
        <v/>
      </c>
      <c r="J12" s="19" t="str">
        <f aca="true">IF($A12="","",IFERROR(COUNTIF(INDIRECT("'"&amp;$A12&amp;"'!$K$7:$K$371"),"Manual Work"),"Sheet missing"))</f>
        <v/>
      </c>
    </row>
    <row r="13" customFormat="false" ht="15" hidden="false" customHeight="false" outlineLevel="0" collapsed="false">
      <c r="A13" s="18" t="str">
        <f aca="false">IF(Employees!A13="","",Employees!A13)</f>
        <v/>
      </c>
      <c r="B13" s="19" t="str">
        <f aca="true">IF($A13="","",IFERROR(COUNTIF(INDIRECT("'"&amp;$A13&amp;"'!$U$7:$U$371"),TRUE()),"Sheet missing"))</f>
        <v/>
      </c>
      <c r="C13" s="19" t="str">
        <f aca="true">IF($A13="","",IFERROR(SUMPRODUCT((INDIRECT("'"&amp;$A13&amp;"'!$C$7:$C$371")="Holiday")*(WEEKDAY(INDIRECT("'"&amp;$A13&amp;"'!$A$7:$A$371"))&lt;=5)),"Sheet missing"))</f>
        <v/>
      </c>
      <c r="D13" s="19" t="str">
        <f aca="true">IF($A13="","",IFERROR(COUNTIF(INDIRECT("'"&amp;$A13&amp;"'!$N$7:$N$371"),"&gt;0"),"Sheet missing"))</f>
        <v/>
      </c>
      <c r="E13" s="14" t="str">
        <f aca="true">IF($A13="","",IFERROR(SUM(INDIRECT("'"&amp;$A13&amp;"'!$N$7:$N$371")),"Sheet missing"))</f>
        <v/>
      </c>
      <c r="F13" s="14" t="str">
        <f aca="true">IF($A13="","",IFERROR(SUM(INDIRECT("'"&amp;$A13&amp;"'!$Q$7:$Q$371")),"Sheet missing"))</f>
        <v/>
      </c>
      <c r="G13" s="14" t="str">
        <f aca="true">IF($A13="","",IFERROR(SUM(INDIRECT("'"&amp;$A13&amp;"'!$O$7:$O$371")),"Sheet missing"))</f>
        <v/>
      </c>
      <c r="H13" s="14" t="str">
        <f aca="true">IF($A13="","",IFERROR(SUM(INDIRECT("'"&amp;$A13&amp;"'!$R$7:$R$371")),"Sheet missing"))</f>
        <v/>
      </c>
      <c r="I13" s="14" t="str">
        <f aca="true">IF($A13="","",IFERROR(SUM(INDIRECT("'"&amp;$A13&amp;"'!$P$7:$P$371")),"Sheet missing"))</f>
        <v/>
      </c>
      <c r="J13" s="19" t="str">
        <f aca="true">IF($A13="","",IFERROR(COUNTIF(INDIRECT("'"&amp;$A13&amp;"'!$K$7:$K$371"),"Manual Work"),"Sheet missing"))</f>
        <v/>
      </c>
    </row>
    <row r="14" customFormat="false" ht="15" hidden="false" customHeight="false" outlineLevel="0" collapsed="false">
      <c r="A14" s="18" t="str">
        <f aca="false">IF(Employees!A14="","",Employees!A14)</f>
        <v/>
      </c>
      <c r="B14" s="19" t="str">
        <f aca="true">IF($A14="","",IFERROR(COUNTIF(INDIRECT("'"&amp;$A14&amp;"'!$U$7:$U$371"),TRUE()),"Sheet missing"))</f>
        <v/>
      </c>
      <c r="C14" s="19" t="str">
        <f aca="true">IF($A14="","",IFERROR(SUMPRODUCT((INDIRECT("'"&amp;$A14&amp;"'!$C$7:$C$371")="Holiday")*(WEEKDAY(INDIRECT("'"&amp;$A14&amp;"'!$A$7:$A$371"))&lt;=5)),"Sheet missing"))</f>
        <v/>
      </c>
      <c r="D14" s="19" t="str">
        <f aca="true">IF($A14="","",IFERROR(COUNTIF(INDIRECT("'"&amp;$A14&amp;"'!$N$7:$N$371"),"&gt;0"),"Sheet missing"))</f>
        <v/>
      </c>
      <c r="E14" s="14" t="str">
        <f aca="true">IF($A14="","",IFERROR(SUM(INDIRECT("'"&amp;$A14&amp;"'!$N$7:$N$371")),"Sheet missing"))</f>
        <v/>
      </c>
      <c r="F14" s="14" t="str">
        <f aca="true">IF($A14="","",IFERROR(SUM(INDIRECT("'"&amp;$A14&amp;"'!$Q$7:$Q$371")),"Sheet missing"))</f>
        <v/>
      </c>
      <c r="G14" s="14" t="str">
        <f aca="true">IF($A14="","",IFERROR(SUM(INDIRECT("'"&amp;$A14&amp;"'!$O$7:$O$371")),"Sheet missing"))</f>
        <v/>
      </c>
      <c r="H14" s="14" t="str">
        <f aca="true">IF($A14="","",IFERROR(SUM(INDIRECT("'"&amp;$A14&amp;"'!$R$7:$R$371")),"Sheet missing"))</f>
        <v/>
      </c>
      <c r="I14" s="14" t="str">
        <f aca="true">IF($A14="","",IFERROR(SUM(INDIRECT("'"&amp;$A14&amp;"'!$P$7:$P$371")),"Sheet missing"))</f>
        <v/>
      </c>
      <c r="J14" s="19" t="str">
        <f aca="true">IF($A14="","",IFERROR(COUNTIF(INDIRECT("'"&amp;$A14&amp;"'!$K$7:$K$371"),"Manual Work"),"Sheet missing"))</f>
        <v/>
      </c>
    </row>
    <row r="15" customFormat="false" ht="15" hidden="false" customHeight="false" outlineLevel="0" collapsed="false">
      <c r="A15" s="20" t="s">
        <v>63</v>
      </c>
      <c r="B15" s="20"/>
      <c r="C15" s="20"/>
      <c r="D15" s="22" t="n">
        <f aca="false">SUM(D5:D14)</f>
        <v>768</v>
      </c>
      <c r="E15" s="21" t="n">
        <f aca="false">SUM(E5:E14)</f>
        <v>6498</v>
      </c>
      <c r="F15" s="21" t="n">
        <f aca="false">SUM(F5:F14)</f>
        <v>0</v>
      </c>
      <c r="G15" s="21" t="n">
        <f aca="false">SUM(G5:G14)</f>
        <v>0</v>
      </c>
      <c r="H15" s="21" t="n">
        <f aca="false">SUM(H5:H14)</f>
        <v>0</v>
      </c>
      <c r="I15" s="21" t="n">
        <f aca="false">SUM(I5:I14)</f>
        <v>0</v>
      </c>
      <c r="J15" s="22" t="n">
        <f aca="false">SUM(J5:J14)</f>
        <v>0</v>
      </c>
    </row>
  </sheetData>
  <sheetProtection sheet="true" formatColumns="false" formatRows="false" sort="false" autoFilter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8"/>
    <col collapsed="false" customWidth="true" hidden="false" outlineLevel="0" max="3" min="3" style="0" width="34"/>
    <col collapsed="false" customWidth="true" hidden="false" outlineLevel="0" max="4" min="4" style="0" width="12"/>
  </cols>
  <sheetData>
    <row r="1" customFormat="false" ht="17.35" hidden="false" customHeight="false" outlineLevel="0" collapsed="false">
      <c r="A1" s="1" t="s">
        <v>117</v>
      </c>
    </row>
    <row r="2" customFormat="false" ht="15" hidden="false" customHeight="false" outlineLevel="0" collapsed="false">
      <c r="A2" s="2" t="s">
        <v>118</v>
      </c>
    </row>
    <row r="4" customFormat="false" ht="42" hidden="false" customHeight="true" outlineLevel="0" collapsed="false">
      <c r="A4" s="17" t="s">
        <v>40</v>
      </c>
      <c r="B4" s="17" t="s">
        <v>82</v>
      </c>
      <c r="C4" s="17" t="s">
        <v>84</v>
      </c>
      <c r="D4" s="17" t="s">
        <v>119</v>
      </c>
    </row>
    <row r="5" customFormat="false" ht="15" hidden="false" customHeight="false" outlineLevel="0" collapsed="false">
      <c r="A5" s="41" t="n">
        <v>46113</v>
      </c>
      <c r="B5" s="30" t="str">
        <f aca="false">IF(A5="","",CHOOSE(WEEKDAY(A5),"Sun","Mon","Tue","Wed","Thu","Fri","Sat"))</f>
        <v>Wed</v>
      </c>
      <c r="C5" s="31" t="s">
        <v>120</v>
      </c>
      <c r="D5" s="42" t="s">
        <v>121</v>
      </c>
    </row>
    <row r="6" customFormat="false" ht="15" hidden="false" customHeight="false" outlineLevel="0" collapsed="false">
      <c r="A6" s="41" t="n">
        <v>46114</v>
      </c>
      <c r="B6" s="30" t="str">
        <f aca="false">IF(A6="","",CHOOSE(WEEKDAY(A6),"Sun","Mon","Tue","Wed","Thu","Fri","Sat"))</f>
        <v>Thu</v>
      </c>
      <c r="C6" s="31" t="s">
        <v>122</v>
      </c>
      <c r="D6" s="42" t="s">
        <v>84</v>
      </c>
    </row>
    <row r="7" customFormat="false" ht="15" hidden="false" customHeight="false" outlineLevel="0" collapsed="false">
      <c r="A7" s="41" t="n">
        <v>46119</v>
      </c>
      <c r="B7" s="30" t="str">
        <f aca="false">IF(A7="","",CHOOSE(WEEKDAY(A7),"Sun","Mon","Tue","Wed","Thu","Fri","Sat"))</f>
        <v>Tue</v>
      </c>
      <c r="C7" s="31" t="s">
        <v>123</v>
      </c>
      <c r="D7" s="42" t="s">
        <v>121</v>
      </c>
    </row>
    <row r="8" customFormat="false" ht="15" hidden="false" customHeight="false" outlineLevel="0" collapsed="false">
      <c r="A8" s="41" t="n">
        <v>46120</v>
      </c>
      <c r="B8" s="30" t="str">
        <f aca="false">IF(A8="","",CHOOSE(WEEKDAY(A8),"Sun","Mon","Tue","Wed","Thu","Fri","Sat"))</f>
        <v>Wed</v>
      </c>
      <c r="C8" s="31" t="s">
        <v>124</v>
      </c>
      <c r="D8" s="42" t="s">
        <v>84</v>
      </c>
    </row>
    <row r="9" customFormat="false" ht="15" hidden="false" customHeight="false" outlineLevel="0" collapsed="false">
      <c r="A9" s="41" t="n">
        <v>46134</v>
      </c>
      <c r="B9" s="30" t="str">
        <f aca="false">IF(A9="","",CHOOSE(WEEKDAY(A9),"Sun","Mon","Tue","Wed","Thu","Fri","Sat"))</f>
        <v>Wed</v>
      </c>
      <c r="C9" s="31" t="s">
        <v>125</v>
      </c>
      <c r="D9" s="42" t="s">
        <v>84</v>
      </c>
    </row>
    <row r="10" customFormat="false" ht="15" hidden="false" customHeight="false" outlineLevel="0" collapsed="false">
      <c r="A10" s="41" t="n">
        <v>46163</v>
      </c>
      <c r="B10" s="30" t="str">
        <f aca="false">IF(A10="","",CHOOSE(WEEKDAY(A10),"Sun","Mon","Tue","Wed","Thu","Fri","Sat"))</f>
        <v>Thu</v>
      </c>
      <c r="C10" s="31" t="s">
        <v>126</v>
      </c>
      <c r="D10" s="42" t="s">
        <v>121</v>
      </c>
    </row>
    <row r="11" customFormat="false" ht="15" hidden="false" customHeight="false" outlineLevel="0" collapsed="false">
      <c r="A11" s="41" t="n">
        <v>46164</v>
      </c>
      <c r="B11" s="30" t="str">
        <f aca="false">IF(A11="","",CHOOSE(WEEKDAY(A11),"Sun","Mon","Tue","Wed","Thu","Fri","Sat"))</f>
        <v>Fri</v>
      </c>
      <c r="C11" s="31" t="s">
        <v>127</v>
      </c>
      <c r="D11" s="42" t="s">
        <v>84</v>
      </c>
    </row>
    <row r="12" customFormat="false" ht="15" hidden="false" customHeight="false" outlineLevel="0" collapsed="false">
      <c r="A12" s="41" t="n">
        <v>46276</v>
      </c>
      <c r="B12" s="30" t="str">
        <f aca="false">IF(A12="","",CHOOSE(WEEKDAY(A12),"Sun","Mon","Tue","Wed","Thu","Fri","Sat"))</f>
        <v>Fri</v>
      </c>
      <c r="C12" s="31" t="s">
        <v>128</v>
      </c>
      <c r="D12" s="42" t="s">
        <v>121</v>
      </c>
    </row>
    <row r="13" customFormat="false" ht="15" hidden="false" customHeight="false" outlineLevel="0" collapsed="false">
      <c r="A13" s="41" t="n">
        <v>46277</v>
      </c>
      <c r="B13" s="30" t="str">
        <f aca="false">IF(A13="","",CHOOSE(WEEKDAY(A13),"Sun","Mon","Tue","Wed","Thu","Fri","Sat"))</f>
        <v>Sat</v>
      </c>
      <c r="C13" s="31" t="s">
        <v>129</v>
      </c>
      <c r="D13" s="42" t="s">
        <v>84</v>
      </c>
    </row>
    <row r="14" customFormat="false" ht="15" hidden="false" customHeight="false" outlineLevel="0" collapsed="false">
      <c r="A14" s="41" t="n">
        <v>46278</v>
      </c>
      <c r="B14" s="30" t="str">
        <f aca="false">IF(A14="","",CHOOSE(WEEKDAY(A14),"Sun","Mon","Tue","Wed","Thu","Fri","Sat"))</f>
        <v>Sun</v>
      </c>
      <c r="C14" s="31" t="s">
        <v>130</v>
      </c>
      <c r="D14" s="42" t="s">
        <v>84</v>
      </c>
    </row>
    <row r="15" customFormat="false" ht="15" hidden="false" customHeight="false" outlineLevel="0" collapsed="false">
      <c r="A15" s="41" t="n">
        <v>46285</v>
      </c>
      <c r="B15" s="30" t="str">
        <f aca="false">IF(A15="","",CHOOSE(WEEKDAY(A15),"Sun","Mon","Tue","Wed","Thu","Fri","Sat"))</f>
        <v>Sun</v>
      </c>
      <c r="C15" s="31" t="s">
        <v>131</v>
      </c>
      <c r="D15" s="42" t="s">
        <v>121</v>
      </c>
    </row>
    <row r="16" customFormat="false" ht="15" hidden="false" customHeight="false" outlineLevel="0" collapsed="false">
      <c r="A16" s="41" t="n">
        <v>46286</v>
      </c>
      <c r="B16" s="30" t="str">
        <f aca="false">IF(A16="","",CHOOSE(WEEKDAY(A16),"Sun","Mon","Tue","Wed","Thu","Fri","Sat"))</f>
        <v>Mon</v>
      </c>
      <c r="C16" s="31" t="s">
        <v>132</v>
      </c>
      <c r="D16" s="42" t="s">
        <v>84</v>
      </c>
    </row>
    <row r="17" customFormat="false" ht="15" hidden="false" customHeight="false" outlineLevel="0" collapsed="false">
      <c r="A17" s="41" t="n">
        <v>46290</v>
      </c>
      <c r="B17" s="30" t="str">
        <f aca="false">IF(A17="","",CHOOSE(WEEKDAY(A17),"Sun","Mon","Tue","Wed","Thu","Fri","Sat"))</f>
        <v>Fri</v>
      </c>
      <c r="C17" s="31" t="s">
        <v>133</v>
      </c>
      <c r="D17" s="42" t="s">
        <v>121</v>
      </c>
    </row>
    <row r="18" customFormat="false" ht="15" hidden="false" customHeight="false" outlineLevel="0" collapsed="false">
      <c r="A18" s="41" t="n">
        <v>46291</v>
      </c>
      <c r="B18" s="30" t="str">
        <f aca="false">IF(A18="","",CHOOSE(WEEKDAY(A18),"Sun","Mon","Tue","Wed","Thu","Fri","Sat"))</f>
        <v>Sat</v>
      </c>
      <c r="C18" s="31" t="s">
        <v>134</v>
      </c>
      <c r="D18" s="42" t="s">
        <v>84</v>
      </c>
    </row>
    <row r="19" customFormat="false" ht="15" hidden="false" customHeight="false" outlineLevel="0" collapsed="false">
      <c r="A19" s="41" t="n">
        <v>46297</v>
      </c>
      <c r="B19" s="30" t="str">
        <f aca="false">IF(A19="","",CHOOSE(WEEKDAY(A19),"Sun","Mon","Tue","Wed","Thu","Fri","Sat"))</f>
        <v>Fri</v>
      </c>
      <c r="C19" s="31" t="s">
        <v>135</v>
      </c>
      <c r="D19" s="42" t="s">
        <v>121</v>
      </c>
    </row>
    <row r="20" customFormat="false" ht="15" hidden="false" customHeight="false" outlineLevel="0" collapsed="false">
      <c r="A20" s="41" t="n">
        <v>46298</v>
      </c>
      <c r="B20" s="30" t="str">
        <f aca="false">IF(A20="","",CHOOSE(WEEKDAY(A20),"Sun","Mon","Tue","Wed","Thu","Fri","Sat"))</f>
        <v>Sat</v>
      </c>
      <c r="C20" s="31" t="s">
        <v>136</v>
      </c>
      <c r="D20" s="42" t="s">
        <v>84</v>
      </c>
    </row>
    <row r="21" customFormat="false" ht="15" hidden="false" customHeight="false" outlineLevel="0" collapsed="false">
      <c r="A21" s="41"/>
      <c r="B21" s="30" t="str">
        <f aca="false">IF(A21="","",CHOOSE(WEEKDAY(A21),"Sun","Mon","Tue","Wed","Thu","Fri","Sat"))</f>
        <v/>
      </c>
      <c r="C21" s="31"/>
      <c r="D21" s="42"/>
    </row>
    <row r="22" customFormat="false" ht="15" hidden="false" customHeight="false" outlineLevel="0" collapsed="false">
      <c r="A22" s="41"/>
      <c r="B22" s="30" t="str">
        <f aca="false">IF(A22="","",CHOOSE(WEEKDAY(A22),"Sun","Mon","Tue","Wed","Thu","Fri","Sat"))</f>
        <v/>
      </c>
      <c r="C22" s="31"/>
      <c r="D22" s="42"/>
    </row>
    <row r="23" customFormat="false" ht="15" hidden="false" customHeight="false" outlineLevel="0" collapsed="false">
      <c r="A23" s="41"/>
      <c r="B23" s="30" t="str">
        <f aca="false">IF(A23="","",CHOOSE(WEEKDAY(A23),"Sun","Mon","Tue","Wed","Thu","Fri","Sat"))</f>
        <v/>
      </c>
      <c r="C23" s="31"/>
      <c r="D23" s="42"/>
    </row>
    <row r="24" customFormat="false" ht="15" hidden="false" customHeight="false" outlineLevel="0" collapsed="false">
      <c r="A24" s="41"/>
      <c r="B24" s="30" t="str">
        <f aca="false">IF(A24="","",CHOOSE(WEEKDAY(A24),"Sun","Mon","Tue","Wed","Thu","Fri","Sat"))</f>
        <v/>
      </c>
      <c r="C24" s="31"/>
      <c r="D24" s="42"/>
    </row>
    <row r="25" customFormat="false" ht="15" hidden="false" customHeight="false" outlineLevel="0" collapsed="false">
      <c r="A25" s="41"/>
      <c r="B25" s="30" t="str">
        <f aca="false">IF(A25="","",CHOOSE(WEEKDAY(A25),"Sun","Mon","Tue","Wed","Thu","Fri","Sat"))</f>
        <v/>
      </c>
      <c r="C25" s="31"/>
      <c r="D25" s="42"/>
    </row>
    <row r="26" customFormat="false" ht="15" hidden="false" customHeight="false" outlineLevel="0" collapsed="false">
      <c r="A26" s="41"/>
      <c r="B26" s="30" t="str">
        <f aca="false">IF(A26="","",CHOOSE(WEEKDAY(A26),"Sun","Mon","Tue","Wed","Thu","Fri","Sat"))</f>
        <v/>
      </c>
      <c r="C26" s="31"/>
      <c r="D26" s="42"/>
    </row>
    <row r="27" customFormat="false" ht="15" hidden="false" customHeight="false" outlineLevel="0" collapsed="false">
      <c r="A27" s="41"/>
      <c r="B27" s="30" t="str">
        <f aca="false">IF(A27="","",CHOOSE(WEEKDAY(A27),"Sun","Mon","Tue","Wed","Thu","Fri","Sat"))</f>
        <v/>
      </c>
      <c r="C27" s="31"/>
      <c r="D27" s="42"/>
    </row>
    <row r="28" customFormat="false" ht="15" hidden="false" customHeight="false" outlineLevel="0" collapsed="false">
      <c r="A28" s="41"/>
      <c r="B28" s="30" t="str">
        <f aca="false">IF(A28="","",CHOOSE(WEEKDAY(A28),"Sun","Mon","Tue","Wed","Thu","Fri","Sat"))</f>
        <v/>
      </c>
      <c r="C28" s="31"/>
      <c r="D28" s="42"/>
    </row>
    <row r="29" customFormat="false" ht="15" hidden="false" customHeight="false" outlineLevel="0" collapsed="false">
      <c r="A29" s="41"/>
      <c r="B29" s="30" t="str">
        <f aca="false">IF(A29="","",CHOOSE(WEEKDAY(A29),"Sun","Mon","Tue","Wed","Thu","Fri","Sat"))</f>
        <v/>
      </c>
      <c r="C29" s="31"/>
      <c r="D29" s="42"/>
    </row>
    <row r="30" customFormat="false" ht="15" hidden="false" customHeight="false" outlineLevel="0" collapsed="false">
      <c r="A30" s="41"/>
      <c r="B30" s="30" t="str">
        <f aca="false">IF(A30="","",CHOOSE(WEEKDAY(A30),"Sun","Mon","Tue","Wed","Thu","Fri","Sat"))</f>
        <v/>
      </c>
      <c r="C30" s="31"/>
      <c r="D30" s="42"/>
    </row>
    <row r="31" customFormat="false" ht="15" hidden="false" customHeight="false" outlineLevel="0" collapsed="false">
      <c r="A31" s="41"/>
      <c r="B31" s="30" t="str">
        <f aca="false">IF(A31="","",CHOOSE(WEEKDAY(A31),"Sun","Mon","Tue","Wed","Thu","Fri","Sat"))</f>
        <v/>
      </c>
      <c r="C31" s="31"/>
      <c r="D31" s="42"/>
    </row>
    <row r="32" customFormat="false" ht="15" hidden="false" customHeight="false" outlineLevel="0" collapsed="false">
      <c r="A32" s="41"/>
      <c r="B32" s="30" t="str">
        <f aca="false">IF(A32="","",CHOOSE(WEEKDAY(A32),"Sun","Mon","Tue","Wed","Thu","Fri","Sat"))</f>
        <v/>
      </c>
      <c r="C32" s="31"/>
      <c r="D32" s="42"/>
    </row>
    <row r="33" customFormat="false" ht="15" hidden="false" customHeight="false" outlineLevel="0" collapsed="false">
      <c r="A33" s="41"/>
      <c r="B33" s="30" t="str">
        <f aca="false">IF(A33="","",CHOOSE(WEEKDAY(A33),"Sun","Mon","Tue","Wed","Thu","Fri","Sat"))</f>
        <v/>
      </c>
      <c r="C33" s="31"/>
      <c r="D33" s="42"/>
    </row>
    <row r="34" customFormat="false" ht="15" hidden="false" customHeight="false" outlineLevel="0" collapsed="false">
      <c r="A34" s="41"/>
      <c r="B34" s="30" t="str">
        <f aca="false">IF(A34="","",CHOOSE(WEEKDAY(A34),"Sun","Mon","Tue","Wed","Thu","Fri","Sat"))</f>
        <v/>
      </c>
      <c r="C34" s="31"/>
      <c r="D34" s="42"/>
    </row>
    <row r="35" customFormat="false" ht="15" hidden="false" customHeight="false" outlineLevel="0" collapsed="false">
      <c r="A35" s="41"/>
      <c r="B35" s="30" t="str">
        <f aca="false">IF(A35="","",CHOOSE(WEEKDAY(A35),"Sun","Mon","Tue","Wed","Thu","Fri","Sat"))</f>
        <v/>
      </c>
      <c r="C35" s="31"/>
      <c r="D35" s="42"/>
    </row>
    <row r="36" customFormat="false" ht="15" hidden="false" customHeight="false" outlineLevel="0" collapsed="false">
      <c r="A36" s="41"/>
      <c r="B36" s="30" t="str">
        <f aca="false">IF(A36="","",CHOOSE(WEEKDAY(A36),"Sun","Mon","Tue","Wed","Thu","Fri","Sat"))</f>
        <v/>
      </c>
      <c r="C36" s="31"/>
      <c r="D36" s="42"/>
    </row>
    <row r="37" customFormat="false" ht="15" hidden="false" customHeight="false" outlineLevel="0" collapsed="false">
      <c r="A37" s="41"/>
      <c r="B37" s="30" t="str">
        <f aca="false">IF(A37="","",CHOOSE(WEEKDAY(A37),"Sun","Mon","Tue","Wed","Thu","Fri","Sat"))</f>
        <v/>
      </c>
      <c r="C37" s="31"/>
      <c r="D37" s="42"/>
    </row>
    <row r="38" customFormat="false" ht="15" hidden="false" customHeight="false" outlineLevel="0" collapsed="false">
      <c r="A38" s="41"/>
      <c r="B38" s="30" t="str">
        <f aca="false">IF(A38="","",CHOOSE(WEEKDAY(A38),"Sun","Mon","Tue","Wed","Thu","Fri","Sat"))</f>
        <v/>
      </c>
      <c r="C38" s="31"/>
      <c r="D38" s="42"/>
    </row>
    <row r="39" customFormat="false" ht="15" hidden="false" customHeight="false" outlineLevel="0" collapsed="false">
      <c r="A39" s="41"/>
      <c r="B39" s="30" t="str">
        <f aca="false">IF(A39="","",CHOOSE(WEEKDAY(A39),"Sun","Mon","Tue","Wed","Thu","Fri","Sat"))</f>
        <v/>
      </c>
      <c r="C39" s="31"/>
      <c r="D39" s="42"/>
    </row>
    <row r="40" customFormat="false" ht="15" hidden="false" customHeight="false" outlineLevel="0" collapsed="false">
      <c r="A40" s="41"/>
      <c r="B40" s="30" t="str">
        <f aca="false">IF(A40="","",CHOOSE(WEEKDAY(A40),"Sun","Mon","Tue","Wed","Thu","Fri","Sat"))</f>
        <v/>
      </c>
      <c r="C40" s="31"/>
      <c r="D40" s="42"/>
    </row>
    <row r="41" customFormat="false" ht="15" hidden="false" customHeight="false" outlineLevel="0" collapsed="false">
      <c r="A41" s="41"/>
      <c r="B41" s="30" t="str">
        <f aca="false">IF(A41="","",CHOOSE(WEEKDAY(A41),"Sun","Mon","Tue","Wed","Thu","Fri","Sat"))</f>
        <v/>
      </c>
      <c r="C41" s="31"/>
      <c r="D41" s="42"/>
    </row>
    <row r="42" customFormat="false" ht="15" hidden="false" customHeight="false" outlineLevel="0" collapsed="false">
      <c r="A42" s="41"/>
      <c r="B42" s="30" t="str">
        <f aca="false">IF(A42="","",CHOOSE(WEEKDAY(A42),"Sun","Mon","Tue","Wed","Thu","Fri","Sat"))</f>
        <v/>
      </c>
      <c r="C42" s="31"/>
      <c r="D42" s="42"/>
    </row>
    <row r="43" customFormat="false" ht="15" hidden="false" customHeight="false" outlineLevel="0" collapsed="false">
      <c r="A43" s="41"/>
      <c r="B43" s="30" t="str">
        <f aca="false">IF(A43="","",CHOOSE(WEEKDAY(A43),"Sun","Mon","Tue","Wed","Thu","Fri","Sat"))</f>
        <v/>
      </c>
      <c r="C43" s="31"/>
      <c r="D43" s="42"/>
    </row>
    <row r="44" customFormat="false" ht="15" hidden="false" customHeight="false" outlineLevel="0" collapsed="false">
      <c r="A44" s="41"/>
      <c r="B44" s="30" t="str">
        <f aca="false">IF(A44="","",CHOOSE(WEEKDAY(A44),"Sun","Mon","Tue","Wed","Thu","Fri","Sat"))</f>
        <v/>
      </c>
      <c r="C44" s="31"/>
      <c r="D44" s="42"/>
    </row>
    <row r="45" customFormat="false" ht="15" hidden="false" customHeight="false" outlineLevel="0" collapsed="false">
      <c r="A45" s="41"/>
      <c r="B45" s="30" t="str">
        <f aca="false">IF(A45="","",CHOOSE(WEEKDAY(A45),"Sun","Mon","Tue","Wed","Thu","Fri","Sat"))</f>
        <v/>
      </c>
      <c r="C45" s="31"/>
      <c r="D45" s="42"/>
    </row>
    <row r="46" customFormat="false" ht="15" hidden="false" customHeight="false" outlineLevel="0" collapsed="false">
      <c r="A46" s="41"/>
      <c r="B46" s="30" t="str">
        <f aca="false">IF(A46="","",CHOOSE(WEEKDAY(A46),"Sun","Mon","Tue","Wed","Thu","Fri","Sat"))</f>
        <v/>
      </c>
      <c r="C46" s="31"/>
      <c r="D46" s="42"/>
    </row>
    <row r="47" customFormat="false" ht="15" hidden="false" customHeight="false" outlineLevel="0" collapsed="false">
      <c r="A47" s="41"/>
      <c r="B47" s="30" t="str">
        <f aca="false">IF(A47="","",CHOOSE(WEEKDAY(A47),"Sun","Mon","Tue","Wed","Thu","Fri","Sat"))</f>
        <v/>
      </c>
      <c r="C47" s="31"/>
      <c r="D47" s="42"/>
    </row>
    <row r="48" customFormat="false" ht="15" hidden="false" customHeight="false" outlineLevel="0" collapsed="false">
      <c r="A48" s="41"/>
      <c r="B48" s="30" t="str">
        <f aca="false">IF(A48="","",CHOOSE(WEEKDAY(A48),"Sun","Mon","Tue","Wed","Thu","Fri","Sat"))</f>
        <v/>
      </c>
      <c r="C48" s="31"/>
      <c r="D48" s="42"/>
    </row>
    <row r="49" customFormat="false" ht="15" hidden="false" customHeight="false" outlineLevel="0" collapsed="false">
      <c r="A49" s="41"/>
      <c r="B49" s="30" t="str">
        <f aca="false">IF(A49="","",CHOOSE(WEEKDAY(A49),"Sun","Mon","Tue","Wed","Thu","Fri","Sat"))</f>
        <v/>
      </c>
      <c r="C49" s="31"/>
      <c r="D49" s="42"/>
    </row>
    <row r="50" customFormat="false" ht="15" hidden="false" customHeight="false" outlineLevel="0" collapsed="false">
      <c r="A50" s="41"/>
      <c r="B50" s="30" t="str">
        <f aca="false">IF(A50="","",CHOOSE(WEEKDAY(A50),"Sun","Mon","Tue","Wed","Thu","Fri","Sat"))</f>
        <v/>
      </c>
      <c r="C50" s="31"/>
      <c r="D50" s="42"/>
    </row>
    <row r="51" customFormat="false" ht="15" hidden="false" customHeight="false" outlineLevel="0" collapsed="false">
      <c r="A51" s="41"/>
      <c r="B51" s="30" t="str">
        <f aca="false">IF(A51="","",CHOOSE(WEEKDAY(A51),"Sun","Mon","Tue","Wed","Thu","Fri","Sat"))</f>
        <v/>
      </c>
      <c r="C51" s="31"/>
      <c r="D51" s="42"/>
    </row>
    <row r="52" customFormat="false" ht="15" hidden="false" customHeight="false" outlineLevel="0" collapsed="false">
      <c r="A52" s="41"/>
      <c r="B52" s="30" t="str">
        <f aca="false">IF(A52="","",CHOOSE(WEEKDAY(A52),"Sun","Mon","Tue","Wed","Thu","Fri","Sat"))</f>
        <v/>
      </c>
      <c r="C52" s="31"/>
      <c r="D52" s="42"/>
    </row>
    <row r="53" customFormat="false" ht="15" hidden="false" customHeight="false" outlineLevel="0" collapsed="false">
      <c r="A53" s="41"/>
      <c r="B53" s="30" t="str">
        <f aca="false">IF(A53="","",CHOOSE(WEEKDAY(A53),"Sun","Mon","Tue","Wed","Thu","Fri","Sat"))</f>
        <v/>
      </c>
      <c r="C53" s="31"/>
      <c r="D53" s="42"/>
    </row>
    <row r="54" customFormat="false" ht="15" hidden="false" customHeight="false" outlineLevel="0" collapsed="false">
      <c r="A54" s="41"/>
      <c r="B54" s="30" t="str">
        <f aca="false">IF(A54="","",CHOOSE(WEEKDAY(A54),"Sun","Mon","Tue","Wed","Thu","Fri","Sat"))</f>
        <v/>
      </c>
      <c r="C54" s="31"/>
      <c r="D54" s="42"/>
    </row>
    <row r="55" customFormat="false" ht="15" hidden="false" customHeight="false" outlineLevel="0" collapsed="false">
      <c r="A55" s="41"/>
      <c r="B55" s="30" t="str">
        <f aca="false">IF(A55="","",CHOOSE(WEEKDAY(A55),"Sun","Mon","Tue","Wed","Thu","Fri","Sat"))</f>
        <v/>
      </c>
      <c r="C55" s="31"/>
      <c r="D55" s="42"/>
    </row>
    <row r="56" customFormat="false" ht="15" hidden="false" customHeight="false" outlineLevel="0" collapsed="false">
      <c r="A56" s="41"/>
      <c r="B56" s="30" t="str">
        <f aca="false">IF(A56="","",CHOOSE(WEEKDAY(A56),"Sun","Mon","Tue","Wed","Thu","Fri","Sat"))</f>
        <v/>
      </c>
      <c r="C56" s="31"/>
      <c r="D56" s="42"/>
    </row>
    <row r="57" customFormat="false" ht="15" hidden="false" customHeight="false" outlineLevel="0" collapsed="false">
      <c r="A57" s="41"/>
      <c r="B57" s="30" t="str">
        <f aca="false">IF(A57="","",CHOOSE(WEEKDAY(A57),"Sun","Mon","Tue","Wed","Thu","Fri","Sat"))</f>
        <v/>
      </c>
      <c r="C57" s="31"/>
      <c r="D57" s="42"/>
    </row>
    <row r="58" customFormat="false" ht="15" hidden="false" customHeight="false" outlineLevel="0" collapsed="false">
      <c r="A58" s="41"/>
      <c r="B58" s="30" t="str">
        <f aca="false">IF(A58="","",CHOOSE(WEEKDAY(A58),"Sun","Mon","Tue","Wed","Thu","Fri","Sat"))</f>
        <v/>
      </c>
      <c r="C58" s="31"/>
      <c r="D58" s="42"/>
    </row>
    <row r="59" customFormat="false" ht="15" hidden="false" customHeight="false" outlineLevel="0" collapsed="false">
      <c r="A59" s="41"/>
      <c r="B59" s="30" t="str">
        <f aca="false">IF(A59="","",CHOOSE(WEEKDAY(A59),"Sun","Mon","Tue","Wed","Thu","Fri","Sat"))</f>
        <v/>
      </c>
      <c r="C59" s="31"/>
      <c r="D59" s="42"/>
    </row>
    <row r="60" customFormat="false" ht="15" hidden="false" customHeight="false" outlineLevel="0" collapsed="false">
      <c r="A60" s="41"/>
      <c r="B60" s="30" t="str">
        <f aca="false">IF(A60="","",CHOOSE(WEEKDAY(A60),"Sun","Mon","Tue","Wed","Thu","Fri","Sat"))</f>
        <v/>
      </c>
      <c r="C60" s="31"/>
      <c r="D60" s="42"/>
    </row>
  </sheetData>
  <sheetProtection sheet="true" formatColumns="false" formatRows="false" sort="false" autoFilter="false"/>
  <dataValidations count="2">
    <dataValidation allowBlank="true" errorStyle="stop" operator="between" showDropDown="false" showErrorMessage="false" showInputMessage="false" sqref="D5:D60" type="list">
      <formula1>Lists!$C$1:$C$2</formula1>
      <formula2>0</formula2>
    </dataValidation>
    <dataValidation allowBlank="true" error="Enter a date in 2026." errorStyle="stop" operator="between" showDropDown="false" showErrorMessage="true" showInputMessage="false" sqref="A5:A60" type="date">
      <formula1>DATE(2026,1,1)</formula1>
      <formula2>DATE(2026,12,31)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6"/>
    <col collapsed="false" customWidth="true" hidden="false" outlineLevel="0" max="3" min="3" style="0" width="10"/>
  </cols>
  <sheetData>
    <row r="1" customFormat="false" ht="17.35" hidden="false" customHeight="false" outlineLevel="0" collapsed="false">
      <c r="A1" s="1" t="s">
        <v>137</v>
      </c>
    </row>
    <row r="2" customFormat="false" ht="15" hidden="false" customHeight="false" outlineLevel="0" collapsed="false">
      <c r="A2" s="2" t="s">
        <v>138</v>
      </c>
    </row>
    <row r="4" customFormat="false" ht="42" hidden="false" customHeight="true" outlineLevel="0" collapsed="false">
      <c r="A4" s="17" t="s">
        <v>55</v>
      </c>
      <c r="B4" s="17" t="s">
        <v>139</v>
      </c>
      <c r="C4" s="17" t="s">
        <v>140</v>
      </c>
    </row>
    <row r="5" customFormat="false" ht="15" hidden="false" customHeight="false" outlineLevel="0" collapsed="false">
      <c r="A5" s="31" t="s">
        <v>141</v>
      </c>
      <c r="B5" s="42" t="s">
        <v>142</v>
      </c>
      <c r="C5" s="42" t="s">
        <v>143</v>
      </c>
    </row>
    <row r="6" customFormat="false" ht="15" hidden="false" customHeight="false" outlineLevel="0" collapsed="false">
      <c r="A6" s="31" t="s">
        <v>98</v>
      </c>
      <c r="B6" s="42" t="s">
        <v>55</v>
      </c>
      <c r="C6" s="42" t="s">
        <v>143</v>
      </c>
    </row>
    <row r="7" customFormat="false" ht="15" hidden="false" customHeight="false" outlineLevel="0" collapsed="false">
      <c r="A7" s="31" t="s">
        <v>144</v>
      </c>
      <c r="B7" s="42" t="s">
        <v>55</v>
      </c>
      <c r="C7" s="42" t="s">
        <v>143</v>
      </c>
    </row>
    <row r="8" customFormat="false" ht="15" hidden="false" customHeight="false" outlineLevel="0" collapsed="false">
      <c r="A8" s="31"/>
      <c r="B8" s="42"/>
      <c r="C8" s="42"/>
    </row>
    <row r="9" customFormat="false" ht="15" hidden="false" customHeight="false" outlineLevel="0" collapsed="false">
      <c r="A9" s="31"/>
      <c r="B9" s="42"/>
      <c r="C9" s="42"/>
    </row>
    <row r="10" customFormat="false" ht="15" hidden="false" customHeight="false" outlineLevel="0" collapsed="false">
      <c r="A10" s="31"/>
      <c r="B10" s="42"/>
      <c r="C10" s="42"/>
    </row>
    <row r="11" customFormat="false" ht="15" hidden="false" customHeight="false" outlineLevel="0" collapsed="false">
      <c r="A11" s="31"/>
      <c r="B11" s="42"/>
      <c r="C11" s="42"/>
    </row>
    <row r="12" customFormat="false" ht="15" hidden="false" customHeight="false" outlineLevel="0" collapsed="false">
      <c r="A12" s="31"/>
      <c r="B12" s="42"/>
      <c r="C12" s="42"/>
    </row>
    <row r="13" customFormat="false" ht="15" hidden="false" customHeight="false" outlineLevel="0" collapsed="false">
      <c r="A13" s="31"/>
      <c r="B13" s="42"/>
      <c r="C13" s="42"/>
    </row>
    <row r="14" customFormat="false" ht="15" hidden="false" customHeight="false" outlineLevel="0" collapsed="false">
      <c r="A14" s="31"/>
      <c r="B14" s="42"/>
      <c r="C14" s="42"/>
    </row>
  </sheetData>
  <sheetProtection sheet="true" formatColumns="false" formatRows="false" sort="false" autoFilter="false"/>
  <dataValidations count="2">
    <dataValidation allowBlank="true" errorStyle="stop" operator="between" showDropDown="false" showErrorMessage="false" showInputMessage="false" sqref="B5:B14" type="list">
      <formula1>Lists!$D$1:$D$2</formula1>
      <formula2>0</formula2>
    </dataValidation>
    <dataValidation allowBlank="true" errorStyle="stop" operator="between" showDropDown="false" showErrorMessage="false" showInputMessage="false" sqref="C5:C14" type="list">
      <formula1>Lists!$E$1:$E$2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2"/>
    <col collapsed="false" customWidth="true" hidden="false" outlineLevel="0" max="3" min="3" style="0" width="64"/>
  </cols>
  <sheetData>
    <row r="1" customFormat="false" ht="17.35" hidden="false" customHeight="false" outlineLevel="0" collapsed="false">
      <c r="A1" s="1" t="s">
        <v>145</v>
      </c>
    </row>
    <row r="2" customFormat="false" ht="15" hidden="false" customHeight="false" outlineLevel="0" collapsed="false">
      <c r="A2" s="2" t="s">
        <v>146</v>
      </c>
    </row>
    <row r="4" customFormat="false" ht="42" hidden="false" customHeight="true" outlineLevel="0" collapsed="false">
      <c r="A4" s="17" t="s">
        <v>147</v>
      </c>
      <c r="B4" s="17" t="s">
        <v>148</v>
      </c>
      <c r="C4" s="17" t="s">
        <v>149</v>
      </c>
    </row>
    <row r="5" customFormat="false" ht="15" hidden="false" customHeight="false" outlineLevel="0" collapsed="false">
      <c r="A5" s="38" t="s">
        <v>150</v>
      </c>
      <c r="B5" s="43" t="n">
        <v>2026</v>
      </c>
      <c r="C5" s="44" t="s">
        <v>151</v>
      </c>
    </row>
    <row r="6" customFormat="false" ht="15" hidden="false" customHeight="false" outlineLevel="0" collapsed="false">
      <c r="A6" s="38" t="s">
        <v>152</v>
      </c>
      <c r="B6" s="45" t="n">
        <v>0.333333333333333</v>
      </c>
      <c r="C6" s="44" t="s">
        <v>153</v>
      </c>
    </row>
    <row r="7" customFormat="false" ht="15" hidden="false" customHeight="false" outlineLevel="0" collapsed="false">
      <c r="A7" s="38" t="s">
        <v>154</v>
      </c>
      <c r="B7" s="45" t="n">
        <v>0.6875</v>
      </c>
      <c r="C7" s="44" t="s">
        <v>153</v>
      </c>
    </row>
    <row r="8" customFormat="false" ht="15" hidden="false" customHeight="false" outlineLevel="0" collapsed="false">
      <c r="A8" s="38" t="s">
        <v>155</v>
      </c>
      <c r="B8" s="45" t="n">
        <v>0.583333333333333</v>
      </c>
      <c r="C8" s="44" t="s">
        <v>156</v>
      </c>
    </row>
    <row r="9" customFormat="false" ht="15" hidden="false" customHeight="false" outlineLevel="0" collapsed="false">
      <c r="A9" s="38" t="s">
        <v>157</v>
      </c>
      <c r="B9" s="14" t="n">
        <f aca="false">(B7-B6)*24</f>
        <v>8.5</v>
      </c>
      <c r="C9" s="44" t="s">
        <v>158</v>
      </c>
    </row>
    <row r="10" customFormat="false" ht="15" hidden="false" customHeight="false" outlineLevel="0" collapsed="false">
      <c r="A10" s="38" t="s">
        <v>159</v>
      </c>
      <c r="B10" s="14" t="n">
        <f aca="false">(B8-B6)*24</f>
        <v>6</v>
      </c>
      <c r="C10" s="44" t="s">
        <v>160</v>
      </c>
    </row>
    <row r="11" customFormat="false" ht="15" hidden="false" customHeight="false" outlineLevel="0" collapsed="false">
      <c r="A11" s="38" t="s">
        <v>161</v>
      </c>
      <c r="B11" s="46" t="n">
        <v>0.5</v>
      </c>
      <c r="C11" s="44" t="s">
        <v>162</v>
      </c>
    </row>
  </sheetData>
  <sheetProtection sheet="true" formatColumns="false" formatRows="false" sort="false" autoFilter="false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163</v>
      </c>
      <c r="B1" s="0" t="s">
        <v>99</v>
      </c>
      <c r="C1" s="0" t="s">
        <v>84</v>
      </c>
      <c r="D1" s="0" t="s">
        <v>142</v>
      </c>
      <c r="E1" s="0" t="s">
        <v>143</v>
      </c>
    </row>
    <row r="2" customFormat="false" ht="15" hidden="false" customHeight="false" outlineLevel="0" collapsed="false">
      <c r="A2" s="0" t="s">
        <v>164</v>
      </c>
      <c r="B2" s="0" t="s">
        <v>165</v>
      </c>
      <c r="C2" s="0" t="s">
        <v>121</v>
      </c>
      <c r="D2" s="0" t="s">
        <v>55</v>
      </c>
      <c r="E2" s="0" t="s">
        <v>166</v>
      </c>
    </row>
    <row r="3" customFormat="false" ht="15" hidden="false" customHeight="false" outlineLevel="0" collapsed="false">
      <c r="A3" s="0" t="s">
        <v>167</v>
      </c>
      <c r="B3" s="0" t="s">
        <v>168</v>
      </c>
    </row>
    <row r="4" customFormat="false" ht="15" hidden="false" customHeight="false" outlineLevel="0" collapsed="false">
      <c r="A4" s="0" t="s">
        <v>49</v>
      </c>
      <c r="B4" s="0" t="s">
        <v>169</v>
      </c>
    </row>
    <row r="5" customFormat="false" ht="15" hidden="false" customHeight="false" outlineLevel="0" collapsed="false">
      <c r="A5" s="0" t="s">
        <v>170</v>
      </c>
      <c r="B5" s="0" t="s">
        <v>69</v>
      </c>
    </row>
    <row r="6" customFormat="false" ht="15" hidden="false" customHeight="false" outlineLevel="0" collapsed="false">
      <c r="A6" s="0" t="s">
        <v>171</v>
      </c>
      <c r="B6" s="0" t="s">
        <v>172</v>
      </c>
    </row>
    <row r="7" customFormat="false" ht="15" hidden="false" customHeight="false" outlineLevel="0" collapsed="false">
      <c r="A7" s="0" t="s">
        <v>173</v>
      </c>
      <c r="B7" s="0" t="s">
        <v>174</v>
      </c>
    </row>
    <row r="8" customFormat="false" ht="15" hidden="false" customHeight="false" outlineLevel="0" collapsed="false">
      <c r="B8" s="0" t="s">
        <v>175</v>
      </c>
    </row>
    <row r="9" customFormat="false" ht="15" hidden="false" customHeight="false" outlineLevel="0" collapsed="false">
      <c r="B9" s="0" t="s">
        <v>176</v>
      </c>
    </row>
    <row r="10" customFormat="false" ht="15" hidden="false" customHeight="false" outlineLevel="0" collapsed="false">
      <c r="B10" s="0" t="s">
        <v>177</v>
      </c>
    </row>
    <row r="11" customFormat="false" ht="15" hidden="false" customHeight="false" outlineLevel="0" collapsed="false">
      <c r="B11" s="0" t="s">
        <v>178</v>
      </c>
    </row>
    <row r="12" customFormat="false" ht="15" hidden="false" customHeight="false" outlineLevel="0" collapsed="false">
      <c r="B12" s="0" t="s">
        <v>179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2026-10-15T07:48:04Z</dcterms:created>
  <dc:creator>openpyxl</dc:creator>
  <dc:description/>
  <dc:language>en-US</dc:language>
  <cp:lastModifiedBy/>
  <dcterms:modified xsi:type="dcterms:W3CDTF">2026-10-15T07:48:05Z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